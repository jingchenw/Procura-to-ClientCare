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AgedCare\IT\Interface Run Processes\Procura Activity &amp;Invoice to Client Care Interface\Interface Files\Python App\output_files\"/>
    </mc:Choice>
  </mc:AlternateContent>
  <bookViews>
    <workbookView xWindow="0" yWindow="0" windowWidth="27450" windowHeight="11565" firstSheet="1" activeTab="2"/>
  </bookViews>
  <sheets>
    <sheet name="mdStorage" sheetId="4" state="veryHidden" r:id="rId1"/>
    <sheet name="Instructions" sheetId="5" r:id="rId2"/>
    <sheet name="Paste Here" sheetId="6" r:id="rId3"/>
    <sheet name="Writeback" sheetId="2" r:id="rId4"/>
  </sheets>
  <functionGroups builtInGroupCount="18"/>
  <definedNames>
    <definedName name="_xlnm._FilterDatabase" localSheetId="2" hidden="1">'Paste Here'!$A$1:$G$1</definedName>
    <definedName name="_xlnm._FilterDatabase" localSheetId="3" hidden="1">Writeback!$A$7:$L$1009</definedName>
    <definedName name="AccommodationCode">Writeback!$G$8:$G$1009</definedName>
    <definedName name="AccountType">Writeback!$M$8:$M$1009</definedName>
    <definedName name="Amount">Writeback!$J$8:$J$1009</definedName>
    <definedName name="ClientCare_Accommodation">Writeback!$D$8:$D$1009</definedName>
    <definedName name="_xlnm.Database">Writeback!$C$2</definedName>
    <definedName name="EffectDate">Writeback!$I$8:$I$1009</definedName>
    <definedName name="Notes">Writeback!$L$8:$L$1009</definedName>
    <definedName name="PersonId">Writeback!$A$8:$A$1009</definedName>
    <definedName name="Reference">Writeback!$K$8:$K$1009</definedName>
    <definedName name="TransType">Writeback!$H$8:$H$1009</definedName>
    <definedName name="URN">Writeback!$F$8:$F$1009</definedName>
    <definedName name="WorkfileCode">Writeback!$C$3</definedName>
    <definedName name="WorkfileDescription">Writeback!$C$4</definedName>
  </definedNames>
  <calcPr calcId="152511"/>
</workbook>
</file>

<file path=xl/calcChain.xml><?xml version="1.0" encoding="utf-8"?>
<calcChain xmlns="http://schemas.openxmlformats.org/spreadsheetml/2006/main">
  <c r="L1009" i="2" l="1"/>
  <c r="K1009" i="2"/>
  <c r="J1009" i="2"/>
  <c r="I1009" i="2"/>
  <c r="H1009" i="2"/>
  <c r="G1009" i="2"/>
  <c r="F1009" i="2"/>
  <c r="A1009" i="2" s="1"/>
  <c r="L1008" i="2"/>
  <c r="K1008" i="2"/>
  <c r="J1008" i="2"/>
  <c r="I1008" i="2"/>
  <c r="H1008" i="2"/>
  <c r="G1008" i="2"/>
  <c r="F1008" i="2"/>
  <c r="D1008" i="2"/>
  <c r="E1008" i="2" s="1"/>
  <c r="A1008" i="2"/>
  <c r="L1007" i="2"/>
  <c r="K1007" i="2"/>
  <c r="J1007" i="2"/>
  <c r="I1007" i="2"/>
  <c r="H1007" i="2"/>
  <c r="G1007" i="2"/>
  <c r="F1007" i="2"/>
  <c r="A1007" i="2" s="1"/>
  <c r="L1006" i="2"/>
  <c r="K1006" i="2"/>
  <c r="J1006" i="2"/>
  <c r="I1006" i="2"/>
  <c r="H1006" i="2"/>
  <c r="G1006" i="2"/>
  <c r="F1006" i="2"/>
  <c r="A1006" i="2"/>
  <c r="L1005" i="2"/>
  <c r="K1005" i="2"/>
  <c r="J1005" i="2"/>
  <c r="I1005" i="2"/>
  <c r="H1005" i="2"/>
  <c r="G1005" i="2"/>
  <c r="F1005" i="2"/>
  <c r="A1005" i="2" s="1"/>
  <c r="L1004" i="2"/>
  <c r="K1004" i="2"/>
  <c r="J1004" i="2"/>
  <c r="I1004" i="2"/>
  <c r="H1004" i="2"/>
  <c r="G1004" i="2"/>
  <c r="F1004" i="2"/>
  <c r="A1004" i="2"/>
  <c r="L1003" i="2"/>
  <c r="K1003" i="2"/>
  <c r="J1003" i="2"/>
  <c r="I1003" i="2"/>
  <c r="H1003" i="2"/>
  <c r="G1003" i="2"/>
  <c r="F1003" i="2"/>
  <c r="A1003" i="2" s="1"/>
  <c r="L1002" i="2"/>
  <c r="K1002" i="2"/>
  <c r="J1002" i="2"/>
  <c r="I1002" i="2"/>
  <c r="H1002" i="2"/>
  <c r="G1002" i="2"/>
  <c r="F1002" i="2"/>
  <c r="A1002" i="2"/>
  <c r="D1002" i="2" s="1"/>
  <c r="E1002" i="2" s="1"/>
  <c r="L1001" i="2"/>
  <c r="K1001" i="2"/>
  <c r="J1001" i="2"/>
  <c r="I1001" i="2"/>
  <c r="H1001" i="2"/>
  <c r="G1001" i="2"/>
  <c r="F1001" i="2"/>
  <c r="A1001" i="2" s="1"/>
  <c r="L1000" i="2"/>
  <c r="K1000" i="2"/>
  <c r="J1000" i="2"/>
  <c r="I1000" i="2"/>
  <c r="H1000" i="2"/>
  <c r="G1000" i="2"/>
  <c r="F1000" i="2"/>
  <c r="A1000" i="2"/>
  <c r="L999" i="2"/>
  <c r="K999" i="2"/>
  <c r="J999" i="2"/>
  <c r="I999" i="2"/>
  <c r="H999" i="2"/>
  <c r="G999" i="2"/>
  <c r="F999" i="2"/>
  <c r="A999" i="2" s="1"/>
  <c r="L998" i="2"/>
  <c r="K998" i="2"/>
  <c r="J998" i="2"/>
  <c r="I998" i="2"/>
  <c r="H998" i="2"/>
  <c r="G998" i="2"/>
  <c r="F998" i="2"/>
  <c r="A998" i="2"/>
  <c r="D998" i="2" s="1"/>
  <c r="E998" i="2" s="1"/>
  <c r="L997" i="2"/>
  <c r="K997" i="2"/>
  <c r="J997" i="2"/>
  <c r="I997" i="2"/>
  <c r="H997" i="2"/>
  <c r="G997" i="2"/>
  <c r="F997" i="2"/>
  <c r="A997" i="2" s="1"/>
  <c r="L996" i="2"/>
  <c r="K996" i="2"/>
  <c r="J996" i="2"/>
  <c r="I996" i="2"/>
  <c r="H996" i="2"/>
  <c r="G996" i="2"/>
  <c r="F996" i="2"/>
  <c r="A996" i="2"/>
  <c r="L995" i="2"/>
  <c r="K995" i="2"/>
  <c r="J995" i="2"/>
  <c r="I995" i="2"/>
  <c r="H995" i="2"/>
  <c r="G995" i="2"/>
  <c r="F995" i="2"/>
  <c r="A995" i="2" s="1"/>
  <c r="L994" i="2"/>
  <c r="K994" i="2"/>
  <c r="J994" i="2"/>
  <c r="I994" i="2"/>
  <c r="H994" i="2"/>
  <c r="G994" i="2"/>
  <c r="F994" i="2"/>
  <c r="A994" i="2"/>
  <c r="L993" i="2"/>
  <c r="K993" i="2"/>
  <c r="J993" i="2"/>
  <c r="I993" i="2"/>
  <c r="H993" i="2"/>
  <c r="G993" i="2"/>
  <c r="F993" i="2"/>
  <c r="A993" i="2" s="1"/>
  <c r="L992" i="2"/>
  <c r="K992" i="2"/>
  <c r="J992" i="2"/>
  <c r="I992" i="2"/>
  <c r="H992" i="2"/>
  <c r="G992" i="2"/>
  <c r="F992" i="2"/>
  <c r="D992" i="2"/>
  <c r="E992" i="2" s="1"/>
  <c r="A992" i="2"/>
  <c r="L991" i="2"/>
  <c r="K991" i="2"/>
  <c r="J991" i="2"/>
  <c r="I991" i="2"/>
  <c r="H991" i="2"/>
  <c r="G991" i="2"/>
  <c r="F991" i="2"/>
  <c r="A991" i="2" s="1"/>
  <c r="L990" i="2"/>
  <c r="K990" i="2"/>
  <c r="J990" i="2"/>
  <c r="I990" i="2"/>
  <c r="H990" i="2"/>
  <c r="G990" i="2"/>
  <c r="F990" i="2"/>
  <c r="A990" i="2"/>
  <c r="L989" i="2"/>
  <c r="K989" i="2"/>
  <c r="J989" i="2"/>
  <c r="I989" i="2"/>
  <c r="H989" i="2"/>
  <c r="G989" i="2"/>
  <c r="F989" i="2"/>
  <c r="A989" i="2" s="1"/>
  <c r="L988" i="2"/>
  <c r="K988" i="2"/>
  <c r="J988" i="2"/>
  <c r="I988" i="2"/>
  <c r="H988" i="2"/>
  <c r="G988" i="2"/>
  <c r="F988" i="2"/>
  <c r="A988" i="2"/>
  <c r="L987" i="2"/>
  <c r="K987" i="2"/>
  <c r="J987" i="2"/>
  <c r="I987" i="2"/>
  <c r="H987" i="2"/>
  <c r="G987" i="2"/>
  <c r="F987" i="2"/>
  <c r="A987" i="2" s="1"/>
  <c r="L986" i="2"/>
  <c r="K986" i="2"/>
  <c r="J986" i="2"/>
  <c r="I986" i="2"/>
  <c r="H986" i="2"/>
  <c r="G986" i="2"/>
  <c r="F986" i="2"/>
  <c r="A986" i="2"/>
  <c r="D986" i="2" s="1"/>
  <c r="E986" i="2" s="1"/>
  <c r="L985" i="2"/>
  <c r="K985" i="2"/>
  <c r="J985" i="2"/>
  <c r="I985" i="2"/>
  <c r="H985" i="2"/>
  <c r="G985" i="2"/>
  <c r="F985" i="2"/>
  <c r="A985" i="2" s="1"/>
  <c r="L984" i="2"/>
  <c r="K984" i="2"/>
  <c r="J984" i="2"/>
  <c r="I984" i="2"/>
  <c r="H984" i="2"/>
  <c r="G984" i="2"/>
  <c r="F984" i="2"/>
  <c r="A984" i="2"/>
  <c r="L983" i="2"/>
  <c r="K983" i="2"/>
  <c r="J983" i="2"/>
  <c r="I983" i="2"/>
  <c r="H983" i="2"/>
  <c r="G983" i="2"/>
  <c r="F983" i="2"/>
  <c r="A983" i="2" s="1"/>
  <c r="L982" i="2"/>
  <c r="K982" i="2"/>
  <c r="J982" i="2"/>
  <c r="I982" i="2"/>
  <c r="H982" i="2"/>
  <c r="G982" i="2"/>
  <c r="F982" i="2"/>
  <c r="D982" i="2"/>
  <c r="E982" i="2" s="1"/>
  <c r="A982" i="2"/>
  <c r="L981" i="2"/>
  <c r="K981" i="2"/>
  <c r="J981" i="2"/>
  <c r="I981" i="2"/>
  <c r="H981" i="2"/>
  <c r="G981" i="2"/>
  <c r="F981" i="2"/>
  <c r="A981" i="2" s="1"/>
  <c r="L980" i="2"/>
  <c r="K980" i="2"/>
  <c r="J980" i="2"/>
  <c r="I980" i="2"/>
  <c r="H980" i="2"/>
  <c r="G980" i="2"/>
  <c r="F980" i="2"/>
  <c r="A980" i="2"/>
  <c r="L979" i="2"/>
  <c r="K979" i="2"/>
  <c r="J979" i="2"/>
  <c r="I979" i="2"/>
  <c r="H979" i="2"/>
  <c r="G979" i="2"/>
  <c r="F979" i="2"/>
  <c r="A979" i="2" s="1"/>
  <c r="L978" i="2"/>
  <c r="K978" i="2"/>
  <c r="J978" i="2"/>
  <c r="I978" i="2"/>
  <c r="H978" i="2"/>
  <c r="G978" i="2"/>
  <c r="F978" i="2"/>
  <c r="A978" i="2"/>
  <c r="L977" i="2"/>
  <c r="K977" i="2"/>
  <c r="J977" i="2"/>
  <c r="I977" i="2"/>
  <c r="H977" i="2"/>
  <c r="G977" i="2"/>
  <c r="F977" i="2"/>
  <c r="A977" i="2" s="1"/>
  <c r="L976" i="2"/>
  <c r="K976" i="2"/>
  <c r="J976" i="2"/>
  <c r="I976" i="2"/>
  <c r="H976" i="2"/>
  <c r="G976" i="2"/>
  <c r="F976" i="2"/>
  <c r="A976" i="2"/>
  <c r="D976" i="2" s="1"/>
  <c r="E976" i="2" s="1"/>
  <c r="L975" i="2"/>
  <c r="K975" i="2"/>
  <c r="J975" i="2"/>
  <c r="I975" i="2"/>
  <c r="H975" i="2"/>
  <c r="G975" i="2"/>
  <c r="F975" i="2"/>
  <c r="A975" i="2" s="1"/>
  <c r="L974" i="2"/>
  <c r="K974" i="2"/>
  <c r="J974" i="2"/>
  <c r="I974" i="2"/>
  <c r="H974" i="2"/>
  <c r="G974" i="2"/>
  <c r="F974" i="2"/>
  <c r="A974" i="2"/>
  <c r="L973" i="2"/>
  <c r="K973" i="2"/>
  <c r="J973" i="2"/>
  <c r="I973" i="2"/>
  <c r="H973" i="2"/>
  <c r="G973" i="2"/>
  <c r="F973" i="2"/>
  <c r="A973" i="2" s="1"/>
  <c r="L972" i="2"/>
  <c r="K972" i="2"/>
  <c r="J972" i="2"/>
  <c r="I972" i="2"/>
  <c r="H972" i="2"/>
  <c r="G972" i="2"/>
  <c r="F972" i="2"/>
  <c r="A972" i="2"/>
  <c r="L971" i="2"/>
  <c r="K971" i="2"/>
  <c r="J971" i="2"/>
  <c r="I971" i="2"/>
  <c r="H971" i="2"/>
  <c r="G971" i="2"/>
  <c r="F971" i="2"/>
  <c r="A971" i="2" s="1"/>
  <c r="L970" i="2"/>
  <c r="K970" i="2"/>
  <c r="J970" i="2"/>
  <c r="I970" i="2"/>
  <c r="H970" i="2"/>
  <c r="G970" i="2"/>
  <c r="F970" i="2"/>
  <c r="A970" i="2"/>
  <c r="D970" i="2" s="1"/>
  <c r="E970" i="2" s="1"/>
  <c r="L969" i="2"/>
  <c r="K969" i="2"/>
  <c r="J969" i="2"/>
  <c r="I969" i="2"/>
  <c r="H969" i="2"/>
  <c r="G969" i="2"/>
  <c r="F969" i="2"/>
  <c r="A969" i="2" s="1"/>
  <c r="L968" i="2"/>
  <c r="K968" i="2"/>
  <c r="J968" i="2"/>
  <c r="I968" i="2"/>
  <c r="H968" i="2"/>
  <c r="G968" i="2"/>
  <c r="F968" i="2"/>
  <c r="A968" i="2"/>
  <c r="L967" i="2"/>
  <c r="K967" i="2"/>
  <c r="J967" i="2"/>
  <c r="I967" i="2"/>
  <c r="H967" i="2"/>
  <c r="G967" i="2"/>
  <c r="F967" i="2"/>
  <c r="A967" i="2" s="1"/>
  <c r="L966" i="2"/>
  <c r="K966" i="2"/>
  <c r="J966" i="2"/>
  <c r="I966" i="2"/>
  <c r="H966" i="2"/>
  <c r="G966" i="2"/>
  <c r="F966" i="2"/>
  <c r="A966" i="2"/>
  <c r="D966" i="2" s="1"/>
  <c r="E966" i="2" s="1"/>
  <c r="L965" i="2"/>
  <c r="K965" i="2"/>
  <c r="J965" i="2"/>
  <c r="I965" i="2"/>
  <c r="H965" i="2"/>
  <c r="G965" i="2"/>
  <c r="F965" i="2"/>
  <c r="A965" i="2" s="1"/>
  <c r="L964" i="2"/>
  <c r="K964" i="2"/>
  <c r="J964" i="2"/>
  <c r="I964" i="2"/>
  <c r="H964" i="2"/>
  <c r="G964" i="2"/>
  <c r="F964" i="2"/>
  <c r="A964" i="2"/>
  <c r="L963" i="2"/>
  <c r="K963" i="2"/>
  <c r="J963" i="2"/>
  <c r="I963" i="2"/>
  <c r="H963" i="2"/>
  <c r="G963" i="2"/>
  <c r="F963" i="2"/>
  <c r="A963" i="2" s="1"/>
  <c r="L962" i="2"/>
  <c r="K962" i="2"/>
  <c r="J962" i="2"/>
  <c r="I962" i="2"/>
  <c r="H962" i="2"/>
  <c r="G962" i="2"/>
  <c r="F962" i="2"/>
  <c r="A962" i="2"/>
  <c r="L961" i="2"/>
  <c r="K961" i="2"/>
  <c r="J961" i="2"/>
  <c r="I961" i="2"/>
  <c r="H961" i="2"/>
  <c r="G961" i="2"/>
  <c r="F961" i="2"/>
  <c r="E961" i="2"/>
  <c r="A961" i="2"/>
  <c r="D961" i="2" s="1"/>
  <c r="L960" i="2"/>
  <c r="K960" i="2"/>
  <c r="J960" i="2"/>
  <c r="I960" i="2"/>
  <c r="H960" i="2"/>
  <c r="G960" i="2"/>
  <c r="F960" i="2"/>
  <c r="A960" i="2"/>
  <c r="L959" i="2"/>
  <c r="K959" i="2"/>
  <c r="J959" i="2"/>
  <c r="I959" i="2"/>
  <c r="H959" i="2"/>
  <c r="G959" i="2"/>
  <c r="F959" i="2"/>
  <c r="A959" i="2"/>
  <c r="D959" i="2" s="1"/>
  <c r="E959" i="2" s="1"/>
  <c r="L958" i="2"/>
  <c r="K958" i="2"/>
  <c r="J958" i="2"/>
  <c r="I958" i="2"/>
  <c r="H958" i="2"/>
  <c r="G958" i="2"/>
  <c r="F958" i="2"/>
  <c r="D958" i="2"/>
  <c r="E958" i="2" s="1"/>
  <c r="A958" i="2"/>
  <c r="L957" i="2"/>
  <c r="K957" i="2"/>
  <c r="J957" i="2"/>
  <c r="I957" i="2"/>
  <c r="H957" i="2"/>
  <c r="G957" i="2"/>
  <c r="F957" i="2"/>
  <c r="A957" i="2"/>
  <c r="D957" i="2" s="1"/>
  <c r="E957" i="2" s="1"/>
  <c r="L956" i="2"/>
  <c r="K956" i="2"/>
  <c r="J956" i="2"/>
  <c r="I956" i="2"/>
  <c r="H956" i="2"/>
  <c r="G956" i="2"/>
  <c r="F956" i="2"/>
  <c r="D956" i="2"/>
  <c r="E956" i="2" s="1"/>
  <c r="A956" i="2"/>
  <c r="L955" i="2"/>
  <c r="K955" i="2"/>
  <c r="J955" i="2"/>
  <c r="I955" i="2"/>
  <c r="H955" i="2"/>
  <c r="G955" i="2"/>
  <c r="F955" i="2"/>
  <c r="A955" i="2"/>
  <c r="D955" i="2" s="1"/>
  <c r="E955" i="2" s="1"/>
  <c r="L954" i="2"/>
  <c r="K954" i="2"/>
  <c r="J954" i="2"/>
  <c r="I954" i="2"/>
  <c r="H954" i="2"/>
  <c r="G954" i="2"/>
  <c r="F954" i="2"/>
  <c r="A954" i="2"/>
  <c r="L953" i="2"/>
  <c r="K953" i="2"/>
  <c r="J953" i="2"/>
  <c r="I953" i="2"/>
  <c r="H953" i="2"/>
  <c r="G953" i="2"/>
  <c r="F953" i="2"/>
  <c r="E953" i="2"/>
  <c r="A953" i="2"/>
  <c r="D953" i="2" s="1"/>
  <c r="L952" i="2"/>
  <c r="K952" i="2"/>
  <c r="J952" i="2"/>
  <c r="I952" i="2"/>
  <c r="H952" i="2"/>
  <c r="G952" i="2"/>
  <c r="F952" i="2"/>
  <c r="A952" i="2"/>
  <c r="L951" i="2"/>
  <c r="K951" i="2"/>
  <c r="J951" i="2"/>
  <c r="I951" i="2"/>
  <c r="H951" i="2"/>
  <c r="G951" i="2"/>
  <c r="F951" i="2"/>
  <c r="A951" i="2"/>
  <c r="D951" i="2" s="1"/>
  <c r="E951" i="2" s="1"/>
  <c r="L950" i="2"/>
  <c r="K950" i="2"/>
  <c r="J950" i="2"/>
  <c r="I950" i="2"/>
  <c r="H950" i="2"/>
  <c r="G950" i="2"/>
  <c r="F950" i="2"/>
  <c r="A950" i="2"/>
  <c r="D950" i="2" s="1"/>
  <c r="E950" i="2" s="1"/>
  <c r="L949" i="2"/>
  <c r="K949" i="2"/>
  <c r="J949" i="2"/>
  <c r="I949" i="2"/>
  <c r="H949" i="2"/>
  <c r="G949" i="2"/>
  <c r="F949" i="2"/>
  <c r="A949" i="2"/>
  <c r="D949" i="2" s="1"/>
  <c r="E949" i="2" s="1"/>
  <c r="L948" i="2"/>
  <c r="K948" i="2"/>
  <c r="J948" i="2"/>
  <c r="I948" i="2"/>
  <c r="H948" i="2"/>
  <c r="G948" i="2"/>
  <c r="F948" i="2"/>
  <c r="D948" i="2"/>
  <c r="E948" i="2" s="1"/>
  <c r="A948" i="2"/>
  <c r="L947" i="2"/>
  <c r="K947" i="2"/>
  <c r="J947" i="2"/>
  <c r="I947" i="2"/>
  <c r="H947" i="2"/>
  <c r="G947" i="2"/>
  <c r="F947" i="2"/>
  <c r="A947" i="2"/>
  <c r="D947" i="2" s="1"/>
  <c r="E947" i="2" s="1"/>
  <c r="L946" i="2"/>
  <c r="K946" i="2"/>
  <c r="J946" i="2"/>
  <c r="I946" i="2"/>
  <c r="H946" i="2"/>
  <c r="G946" i="2"/>
  <c r="F946" i="2"/>
  <c r="A946" i="2"/>
  <c r="L945" i="2"/>
  <c r="K945" i="2"/>
  <c r="J945" i="2"/>
  <c r="I945" i="2"/>
  <c r="H945" i="2"/>
  <c r="G945" i="2"/>
  <c r="F945" i="2"/>
  <c r="E945" i="2"/>
  <c r="A945" i="2"/>
  <c r="D945" i="2" s="1"/>
  <c r="L944" i="2"/>
  <c r="K944" i="2"/>
  <c r="J944" i="2"/>
  <c r="I944" i="2"/>
  <c r="H944" i="2"/>
  <c r="G944" i="2"/>
  <c r="F944" i="2"/>
  <c r="A944" i="2"/>
  <c r="L943" i="2"/>
  <c r="K943" i="2"/>
  <c r="J943" i="2"/>
  <c r="I943" i="2"/>
  <c r="H943" i="2"/>
  <c r="G943" i="2"/>
  <c r="F943" i="2"/>
  <c r="A943" i="2"/>
  <c r="D943" i="2" s="1"/>
  <c r="E943" i="2" s="1"/>
  <c r="L942" i="2"/>
  <c r="K942" i="2"/>
  <c r="J942" i="2"/>
  <c r="I942" i="2"/>
  <c r="H942" i="2"/>
  <c r="G942" i="2"/>
  <c r="F942" i="2"/>
  <c r="A942" i="2"/>
  <c r="D942" i="2" s="1"/>
  <c r="E942" i="2" s="1"/>
  <c r="L941" i="2"/>
  <c r="K941" i="2"/>
  <c r="J941" i="2"/>
  <c r="I941" i="2"/>
  <c r="H941" i="2"/>
  <c r="G941" i="2"/>
  <c r="F941" i="2"/>
  <c r="A941" i="2"/>
  <c r="D941" i="2" s="1"/>
  <c r="E941" i="2" s="1"/>
  <c r="L940" i="2"/>
  <c r="K940" i="2"/>
  <c r="J940" i="2"/>
  <c r="I940" i="2"/>
  <c r="H940" i="2"/>
  <c r="G940" i="2"/>
  <c r="F940" i="2"/>
  <c r="D940" i="2"/>
  <c r="E940" i="2" s="1"/>
  <c r="A940" i="2"/>
  <c r="L939" i="2"/>
  <c r="K939" i="2"/>
  <c r="J939" i="2"/>
  <c r="I939" i="2"/>
  <c r="H939" i="2"/>
  <c r="G939" i="2"/>
  <c r="F939" i="2"/>
  <c r="A939" i="2"/>
  <c r="D939" i="2" s="1"/>
  <c r="E939" i="2" s="1"/>
  <c r="L938" i="2"/>
  <c r="K938" i="2"/>
  <c r="J938" i="2"/>
  <c r="I938" i="2"/>
  <c r="H938" i="2"/>
  <c r="G938" i="2"/>
  <c r="F938" i="2"/>
  <c r="A938" i="2"/>
  <c r="L937" i="2"/>
  <c r="K937" i="2"/>
  <c r="J937" i="2"/>
  <c r="I937" i="2"/>
  <c r="H937" i="2"/>
  <c r="G937" i="2"/>
  <c r="F937" i="2"/>
  <c r="E937" i="2"/>
  <c r="A937" i="2"/>
  <c r="D937" i="2" s="1"/>
  <c r="L936" i="2"/>
  <c r="K936" i="2"/>
  <c r="J936" i="2"/>
  <c r="I936" i="2"/>
  <c r="H936" i="2"/>
  <c r="G936" i="2"/>
  <c r="F936" i="2"/>
  <c r="A936" i="2"/>
  <c r="L935" i="2"/>
  <c r="K935" i="2"/>
  <c r="J935" i="2"/>
  <c r="I935" i="2"/>
  <c r="H935" i="2"/>
  <c r="G935" i="2"/>
  <c r="F935" i="2"/>
  <c r="A935" i="2"/>
  <c r="D935" i="2" s="1"/>
  <c r="E935" i="2" s="1"/>
  <c r="L934" i="2"/>
  <c r="K934" i="2"/>
  <c r="J934" i="2"/>
  <c r="I934" i="2"/>
  <c r="H934" i="2"/>
  <c r="G934" i="2"/>
  <c r="F934" i="2"/>
  <c r="D934" i="2"/>
  <c r="E934" i="2" s="1"/>
  <c r="A934" i="2"/>
  <c r="L933" i="2"/>
  <c r="K933" i="2"/>
  <c r="J933" i="2"/>
  <c r="I933" i="2"/>
  <c r="H933" i="2"/>
  <c r="G933" i="2"/>
  <c r="F933" i="2"/>
  <c r="A933" i="2"/>
  <c r="D933" i="2" s="1"/>
  <c r="E933" i="2" s="1"/>
  <c r="L932" i="2"/>
  <c r="K932" i="2"/>
  <c r="J932" i="2"/>
  <c r="I932" i="2"/>
  <c r="H932" i="2"/>
  <c r="G932" i="2"/>
  <c r="F932" i="2"/>
  <c r="D932" i="2"/>
  <c r="E932" i="2" s="1"/>
  <c r="A932" i="2"/>
  <c r="L931" i="2"/>
  <c r="K931" i="2"/>
  <c r="J931" i="2"/>
  <c r="I931" i="2"/>
  <c r="H931" i="2"/>
  <c r="G931" i="2"/>
  <c r="F931" i="2"/>
  <c r="A931" i="2"/>
  <c r="D931" i="2" s="1"/>
  <c r="E931" i="2" s="1"/>
  <c r="L930" i="2"/>
  <c r="K930" i="2"/>
  <c r="J930" i="2"/>
  <c r="I930" i="2"/>
  <c r="H930" i="2"/>
  <c r="G930" i="2"/>
  <c r="F930" i="2"/>
  <c r="A930" i="2"/>
  <c r="L929" i="2"/>
  <c r="K929" i="2"/>
  <c r="J929" i="2"/>
  <c r="I929" i="2"/>
  <c r="H929" i="2"/>
  <c r="G929" i="2"/>
  <c r="F929" i="2"/>
  <c r="A929" i="2"/>
  <c r="D929" i="2" s="1"/>
  <c r="E929" i="2" s="1"/>
  <c r="L928" i="2"/>
  <c r="K928" i="2"/>
  <c r="J928" i="2"/>
  <c r="I928" i="2"/>
  <c r="H928" i="2"/>
  <c r="G928" i="2"/>
  <c r="F928" i="2"/>
  <c r="A928" i="2"/>
  <c r="L927" i="2"/>
  <c r="K927" i="2"/>
  <c r="J927" i="2"/>
  <c r="I927" i="2"/>
  <c r="H927" i="2"/>
  <c r="G927" i="2"/>
  <c r="F927" i="2"/>
  <c r="A927" i="2"/>
  <c r="D927" i="2" s="1"/>
  <c r="E927" i="2" s="1"/>
  <c r="L926" i="2"/>
  <c r="K926" i="2"/>
  <c r="J926" i="2"/>
  <c r="I926" i="2"/>
  <c r="H926" i="2"/>
  <c r="G926" i="2"/>
  <c r="F926" i="2"/>
  <c r="D926" i="2"/>
  <c r="E926" i="2" s="1"/>
  <c r="A926" i="2"/>
  <c r="L925" i="2"/>
  <c r="K925" i="2"/>
  <c r="J925" i="2"/>
  <c r="I925" i="2"/>
  <c r="H925" i="2"/>
  <c r="G925" i="2"/>
  <c r="F925" i="2"/>
  <c r="A925" i="2"/>
  <c r="D925" i="2" s="1"/>
  <c r="E925" i="2" s="1"/>
  <c r="L924" i="2"/>
  <c r="K924" i="2"/>
  <c r="J924" i="2"/>
  <c r="I924" i="2"/>
  <c r="H924" i="2"/>
  <c r="G924" i="2"/>
  <c r="F924" i="2"/>
  <c r="D924" i="2"/>
  <c r="E924" i="2" s="1"/>
  <c r="A924" i="2"/>
  <c r="L923" i="2"/>
  <c r="K923" i="2"/>
  <c r="J923" i="2"/>
  <c r="I923" i="2"/>
  <c r="H923" i="2"/>
  <c r="G923" i="2"/>
  <c r="F923" i="2"/>
  <c r="A923" i="2"/>
  <c r="D923" i="2" s="1"/>
  <c r="E923" i="2" s="1"/>
  <c r="L922" i="2"/>
  <c r="K922" i="2"/>
  <c r="J922" i="2"/>
  <c r="I922" i="2"/>
  <c r="H922" i="2"/>
  <c r="G922" i="2"/>
  <c r="F922" i="2"/>
  <c r="A922" i="2"/>
  <c r="L921" i="2"/>
  <c r="K921" i="2"/>
  <c r="J921" i="2"/>
  <c r="I921" i="2"/>
  <c r="H921" i="2"/>
  <c r="G921" i="2"/>
  <c r="F921" i="2"/>
  <c r="A921" i="2"/>
  <c r="D921" i="2" s="1"/>
  <c r="E921" i="2" s="1"/>
  <c r="L920" i="2"/>
  <c r="K920" i="2"/>
  <c r="J920" i="2"/>
  <c r="I920" i="2"/>
  <c r="H920" i="2"/>
  <c r="G920" i="2"/>
  <c r="F920" i="2"/>
  <c r="D920" i="2"/>
  <c r="E920" i="2" s="1"/>
  <c r="A920" i="2"/>
  <c r="L919" i="2"/>
  <c r="K919" i="2"/>
  <c r="J919" i="2"/>
  <c r="I919" i="2"/>
  <c r="H919" i="2"/>
  <c r="G919" i="2"/>
  <c r="F919" i="2"/>
  <c r="A919" i="2"/>
  <c r="D919" i="2" s="1"/>
  <c r="E919" i="2" s="1"/>
  <c r="L918" i="2"/>
  <c r="K918" i="2"/>
  <c r="J918" i="2"/>
  <c r="I918" i="2"/>
  <c r="H918" i="2"/>
  <c r="G918" i="2"/>
  <c r="F918" i="2"/>
  <c r="D918" i="2"/>
  <c r="E918" i="2" s="1"/>
  <c r="A918" i="2"/>
  <c r="L917" i="2"/>
  <c r="K917" i="2"/>
  <c r="J917" i="2"/>
  <c r="I917" i="2"/>
  <c r="H917" i="2"/>
  <c r="G917" i="2"/>
  <c r="F917" i="2"/>
  <c r="A917" i="2"/>
  <c r="D917" i="2" s="1"/>
  <c r="E917" i="2" s="1"/>
  <c r="L916" i="2"/>
  <c r="K916" i="2"/>
  <c r="J916" i="2"/>
  <c r="I916" i="2"/>
  <c r="H916" i="2"/>
  <c r="G916" i="2"/>
  <c r="F916" i="2"/>
  <c r="D916" i="2"/>
  <c r="E916" i="2" s="1"/>
  <c r="A916" i="2"/>
  <c r="L915" i="2"/>
  <c r="K915" i="2"/>
  <c r="J915" i="2"/>
  <c r="I915" i="2"/>
  <c r="H915" i="2"/>
  <c r="G915" i="2"/>
  <c r="F915" i="2"/>
  <c r="A915" i="2"/>
  <c r="D915" i="2" s="1"/>
  <c r="E915" i="2" s="1"/>
  <c r="L914" i="2"/>
  <c r="K914" i="2"/>
  <c r="J914" i="2"/>
  <c r="I914" i="2"/>
  <c r="H914" i="2"/>
  <c r="G914" i="2"/>
  <c r="F914" i="2"/>
  <c r="A914" i="2"/>
  <c r="L913" i="2"/>
  <c r="K913" i="2"/>
  <c r="J913" i="2"/>
  <c r="I913" i="2"/>
  <c r="H913" i="2"/>
  <c r="G913" i="2"/>
  <c r="F913" i="2"/>
  <c r="E913" i="2"/>
  <c r="A913" i="2"/>
  <c r="D913" i="2" s="1"/>
  <c r="L912" i="2"/>
  <c r="K912" i="2"/>
  <c r="J912" i="2"/>
  <c r="I912" i="2"/>
  <c r="H912" i="2"/>
  <c r="G912" i="2"/>
  <c r="F912" i="2"/>
  <c r="A912" i="2"/>
  <c r="D912" i="2" s="1"/>
  <c r="E912" i="2" s="1"/>
  <c r="L911" i="2"/>
  <c r="K911" i="2"/>
  <c r="J911" i="2"/>
  <c r="I911" i="2"/>
  <c r="H911" i="2"/>
  <c r="G911" i="2"/>
  <c r="F911" i="2"/>
  <c r="A911" i="2"/>
  <c r="D911" i="2" s="1"/>
  <c r="E911" i="2" s="1"/>
  <c r="L910" i="2"/>
  <c r="K910" i="2"/>
  <c r="J910" i="2"/>
  <c r="I910" i="2"/>
  <c r="H910" i="2"/>
  <c r="G910" i="2"/>
  <c r="F910" i="2"/>
  <c r="D910" i="2"/>
  <c r="E910" i="2" s="1"/>
  <c r="A910" i="2"/>
  <c r="L909" i="2"/>
  <c r="K909" i="2"/>
  <c r="J909" i="2"/>
  <c r="I909" i="2"/>
  <c r="H909" i="2"/>
  <c r="G909" i="2"/>
  <c r="F909" i="2"/>
  <c r="A909" i="2"/>
  <c r="D909" i="2" s="1"/>
  <c r="E909" i="2" s="1"/>
  <c r="L908" i="2"/>
  <c r="K908" i="2"/>
  <c r="J908" i="2"/>
  <c r="I908" i="2"/>
  <c r="H908" i="2"/>
  <c r="G908" i="2"/>
  <c r="F908" i="2"/>
  <c r="D908" i="2"/>
  <c r="E908" i="2" s="1"/>
  <c r="A908" i="2"/>
  <c r="L907" i="2"/>
  <c r="K907" i="2"/>
  <c r="J907" i="2"/>
  <c r="I907" i="2"/>
  <c r="H907" i="2"/>
  <c r="G907" i="2"/>
  <c r="F907" i="2"/>
  <c r="A907" i="2"/>
  <c r="D907" i="2" s="1"/>
  <c r="E907" i="2" s="1"/>
  <c r="L906" i="2"/>
  <c r="K906" i="2"/>
  <c r="J906" i="2"/>
  <c r="I906" i="2"/>
  <c r="H906" i="2"/>
  <c r="G906" i="2"/>
  <c r="F906" i="2"/>
  <c r="A906" i="2"/>
  <c r="L905" i="2"/>
  <c r="K905" i="2"/>
  <c r="J905" i="2"/>
  <c r="I905" i="2"/>
  <c r="H905" i="2"/>
  <c r="G905" i="2"/>
  <c r="F905" i="2"/>
  <c r="A905" i="2"/>
  <c r="D905" i="2" s="1"/>
  <c r="E905" i="2" s="1"/>
  <c r="L904" i="2"/>
  <c r="K904" i="2"/>
  <c r="J904" i="2"/>
  <c r="I904" i="2"/>
  <c r="H904" i="2"/>
  <c r="G904" i="2"/>
  <c r="F904" i="2"/>
  <c r="D904" i="2"/>
  <c r="E904" i="2" s="1"/>
  <c r="A904" i="2"/>
  <c r="L903" i="2"/>
  <c r="K903" i="2"/>
  <c r="J903" i="2"/>
  <c r="I903" i="2"/>
  <c r="H903" i="2"/>
  <c r="G903" i="2"/>
  <c r="F903" i="2"/>
  <c r="A903" i="2"/>
  <c r="D903" i="2" s="1"/>
  <c r="E903" i="2" s="1"/>
  <c r="L902" i="2"/>
  <c r="K902" i="2"/>
  <c r="J902" i="2"/>
  <c r="I902" i="2"/>
  <c r="H902" i="2"/>
  <c r="G902" i="2"/>
  <c r="F902" i="2"/>
  <c r="D902" i="2"/>
  <c r="E902" i="2" s="1"/>
  <c r="A902" i="2"/>
  <c r="L901" i="2"/>
  <c r="K901" i="2"/>
  <c r="J901" i="2"/>
  <c r="I901" i="2"/>
  <c r="H901" i="2"/>
  <c r="G901" i="2"/>
  <c r="F901" i="2"/>
  <c r="A901" i="2"/>
  <c r="D901" i="2" s="1"/>
  <c r="E901" i="2" s="1"/>
  <c r="L900" i="2"/>
  <c r="K900" i="2"/>
  <c r="J900" i="2"/>
  <c r="I900" i="2"/>
  <c r="H900" i="2"/>
  <c r="G900" i="2"/>
  <c r="F900" i="2"/>
  <c r="D900" i="2"/>
  <c r="E900" i="2" s="1"/>
  <c r="A900" i="2"/>
  <c r="L899" i="2"/>
  <c r="K899" i="2"/>
  <c r="J899" i="2"/>
  <c r="I899" i="2"/>
  <c r="H899" i="2"/>
  <c r="G899" i="2"/>
  <c r="F899" i="2"/>
  <c r="A899" i="2"/>
  <c r="D899" i="2" s="1"/>
  <c r="E899" i="2" s="1"/>
  <c r="L898" i="2"/>
  <c r="K898" i="2"/>
  <c r="J898" i="2"/>
  <c r="I898" i="2"/>
  <c r="H898" i="2"/>
  <c r="G898" i="2"/>
  <c r="F898" i="2"/>
  <c r="A898" i="2"/>
  <c r="L897" i="2"/>
  <c r="K897" i="2"/>
  <c r="J897" i="2"/>
  <c r="I897" i="2"/>
  <c r="H897" i="2"/>
  <c r="G897" i="2"/>
  <c r="F897" i="2"/>
  <c r="E897" i="2"/>
  <c r="A897" i="2"/>
  <c r="D897" i="2" s="1"/>
  <c r="L896" i="2"/>
  <c r="K896" i="2"/>
  <c r="J896" i="2"/>
  <c r="I896" i="2"/>
  <c r="H896" i="2"/>
  <c r="G896" i="2"/>
  <c r="F896" i="2"/>
  <c r="A896" i="2"/>
  <c r="D896" i="2" s="1"/>
  <c r="E896" i="2" s="1"/>
  <c r="L895" i="2"/>
  <c r="K895" i="2"/>
  <c r="J895" i="2"/>
  <c r="I895" i="2"/>
  <c r="H895" i="2"/>
  <c r="G895" i="2"/>
  <c r="F895" i="2"/>
  <c r="A895" i="2"/>
  <c r="D895" i="2" s="1"/>
  <c r="E895" i="2" s="1"/>
  <c r="L894" i="2"/>
  <c r="K894" i="2"/>
  <c r="J894" i="2"/>
  <c r="I894" i="2"/>
  <c r="H894" i="2"/>
  <c r="G894" i="2"/>
  <c r="F894" i="2"/>
  <c r="D894" i="2"/>
  <c r="E894" i="2" s="1"/>
  <c r="A894" i="2"/>
  <c r="L893" i="2"/>
  <c r="K893" i="2"/>
  <c r="J893" i="2"/>
  <c r="I893" i="2"/>
  <c r="H893" i="2"/>
  <c r="G893" i="2"/>
  <c r="F893" i="2"/>
  <c r="A893" i="2"/>
  <c r="D893" i="2" s="1"/>
  <c r="E893" i="2" s="1"/>
  <c r="L892" i="2"/>
  <c r="K892" i="2"/>
  <c r="J892" i="2"/>
  <c r="I892" i="2"/>
  <c r="H892" i="2"/>
  <c r="G892" i="2"/>
  <c r="F892" i="2"/>
  <c r="D892" i="2"/>
  <c r="E892" i="2" s="1"/>
  <c r="A892" i="2"/>
  <c r="L891" i="2"/>
  <c r="K891" i="2"/>
  <c r="J891" i="2"/>
  <c r="I891" i="2"/>
  <c r="H891" i="2"/>
  <c r="G891" i="2"/>
  <c r="F891" i="2"/>
  <c r="A891" i="2"/>
  <c r="D891" i="2" s="1"/>
  <c r="E891" i="2" s="1"/>
  <c r="L890" i="2"/>
  <c r="K890" i="2"/>
  <c r="J890" i="2"/>
  <c r="I890" i="2"/>
  <c r="H890" i="2"/>
  <c r="G890" i="2"/>
  <c r="F890" i="2"/>
  <c r="A890" i="2"/>
  <c r="L889" i="2"/>
  <c r="K889" i="2"/>
  <c r="J889" i="2"/>
  <c r="I889" i="2"/>
  <c r="H889" i="2"/>
  <c r="G889" i="2"/>
  <c r="F889" i="2"/>
  <c r="A889" i="2"/>
  <c r="D889" i="2" s="1"/>
  <c r="E889" i="2" s="1"/>
  <c r="L888" i="2"/>
  <c r="K888" i="2"/>
  <c r="J888" i="2"/>
  <c r="I888" i="2"/>
  <c r="H888" i="2"/>
  <c r="G888" i="2"/>
  <c r="F888" i="2"/>
  <c r="D888" i="2"/>
  <c r="E888" i="2" s="1"/>
  <c r="A888" i="2"/>
  <c r="L887" i="2"/>
  <c r="K887" i="2"/>
  <c r="J887" i="2"/>
  <c r="I887" i="2"/>
  <c r="H887" i="2"/>
  <c r="G887" i="2"/>
  <c r="F887" i="2"/>
  <c r="A887" i="2"/>
  <c r="L886" i="2"/>
  <c r="K886" i="2"/>
  <c r="J886" i="2"/>
  <c r="I886" i="2"/>
  <c r="H886" i="2"/>
  <c r="G886" i="2"/>
  <c r="F886" i="2"/>
  <c r="A886" i="2"/>
  <c r="L885" i="2"/>
  <c r="K885" i="2"/>
  <c r="J885" i="2"/>
  <c r="I885" i="2"/>
  <c r="H885" i="2"/>
  <c r="G885" i="2"/>
  <c r="F885" i="2"/>
  <c r="A885" i="2"/>
  <c r="L884" i="2"/>
  <c r="K884" i="2"/>
  <c r="J884" i="2"/>
  <c r="I884" i="2"/>
  <c r="H884" i="2"/>
  <c r="G884" i="2"/>
  <c r="F884" i="2"/>
  <c r="A884" i="2"/>
  <c r="L883" i="2"/>
  <c r="K883" i="2"/>
  <c r="J883" i="2"/>
  <c r="I883" i="2"/>
  <c r="H883" i="2"/>
  <c r="G883" i="2"/>
  <c r="F883" i="2"/>
  <c r="B883" i="2"/>
  <c r="A883" i="2"/>
  <c r="L882" i="2"/>
  <c r="K882" i="2"/>
  <c r="J882" i="2"/>
  <c r="I882" i="2"/>
  <c r="H882" i="2"/>
  <c r="G882" i="2"/>
  <c r="F882" i="2"/>
  <c r="A882" i="2" s="1"/>
  <c r="B882" i="2" s="1"/>
  <c r="L881" i="2"/>
  <c r="K881" i="2"/>
  <c r="J881" i="2"/>
  <c r="I881" i="2"/>
  <c r="H881" i="2"/>
  <c r="G881" i="2"/>
  <c r="F881" i="2"/>
  <c r="A881" i="2" s="1"/>
  <c r="C881" i="2" s="1"/>
  <c r="L880" i="2"/>
  <c r="K880" i="2"/>
  <c r="J880" i="2"/>
  <c r="I880" i="2"/>
  <c r="H880" i="2"/>
  <c r="G880" i="2"/>
  <c r="F880" i="2"/>
  <c r="A880" i="2" s="1"/>
  <c r="B880" i="2" s="1"/>
  <c r="L879" i="2"/>
  <c r="K879" i="2"/>
  <c r="J879" i="2"/>
  <c r="I879" i="2"/>
  <c r="H879" i="2"/>
  <c r="G879" i="2"/>
  <c r="F879" i="2"/>
  <c r="A879" i="2" s="1"/>
  <c r="C879" i="2" s="1"/>
  <c r="L878" i="2"/>
  <c r="K878" i="2"/>
  <c r="J878" i="2"/>
  <c r="I878" i="2"/>
  <c r="H878" i="2"/>
  <c r="G878" i="2"/>
  <c r="F878" i="2"/>
  <c r="A878" i="2" s="1"/>
  <c r="B878" i="2" s="1"/>
  <c r="L877" i="2"/>
  <c r="K877" i="2"/>
  <c r="J877" i="2"/>
  <c r="I877" i="2"/>
  <c r="H877" i="2"/>
  <c r="G877" i="2"/>
  <c r="F877" i="2"/>
  <c r="A877" i="2" s="1"/>
  <c r="C877" i="2" s="1"/>
  <c r="L876" i="2"/>
  <c r="K876" i="2"/>
  <c r="J876" i="2"/>
  <c r="I876" i="2"/>
  <c r="H876" i="2"/>
  <c r="G876" i="2"/>
  <c r="F876" i="2"/>
  <c r="A876" i="2" s="1"/>
  <c r="B876" i="2" s="1"/>
  <c r="L875" i="2"/>
  <c r="K875" i="2"/>
  <c r="J875" i="2"/>
  <c r="I875" i="2"/>
  <c r="H875" i="2"/>
  <c r="G875" i="2"/>
  <c r="F875" i="2"/>
  <c r="A875" i="2" s="1"/>
  <c r="C875" i="2" s="1"/>
  <c r="L874" i="2"/>
  <c r="K874" i="2"/>
  <c r="J874" i="2"/>
  <c r="I874" i="2"/>
  <c r="H874" i="2"/>
  <c r="G874" i="2"/>
  <c r="F874" i="2"/>
  <c r="A874" i="2" s="1"/>
  <c r="B874" i="2" s="1"/>
  <c r="L873" i="2"/>
  <c r="K873" i="2"/>
  <c r="J873" i="2"/>
  <c r="I873" i="2"/>
  <c r="H873" i="2"/>
  <c r="G873" i="2"/>
  <c r="F873" i="2"/>
  <c r="A873" i="2" s="1"/>
  <c r="C873" i="2" s="1"/>
  <c r="L872" i="2"/>
  <c r="K872" i="2"/>
  <c r="J872" i="2"/>
  <c r="I872" i="2"/>
  <c r="H872" i="2"/>
  <c r="G872" i="2"/>
  <c r="F872" i="2"/>
  <c r="A872" i="2" s="1"/>
  <c r="B872" i="2" s="1"/>
  <c r="L871" i="2"/>
  <c r="K871" i="2"/>
  <c r="J871" i="2"/>
  <c r="I871" i="2"/>
  <c r="H871" i="2"/>
  <c r="G871" i="2"/>
  <c r="F871" i="2"/>
  <c r="A871" i="2" s="1"/>
  <c r="C871" i="2" s="1"/>
  <c r="L870" i="2"/>
  <c r="K870" i="2"/>
  <c r="J870" i="2"/>
  <c r="I870" i="2"/>
  <c r="H870" i="2"/>
  <c r="G870" i="2"/>
  <c r="F870" i="2"/>
  <c r="A870" i="2" s="1"/>
  <c r="B870" i="2" s="1"/>
  <c r="L869" i="2"/>
  <c r="K869" i="2"/>
  <c r="J869" i="2"/>
  <c r="I869" i="2"/>
  <c r="H869" i="2"/>
  <c r="G869" i="2"/>
  <c r="F869" i="2"/>
  <c r="A869" i="2" s="1"/>
  <c r="C869" i="2" s="1"/>
  <c r="L868" i="2"/>
  <c r="K868" i="2"/>
  <c r="J868" i="2"/>
  <c r="I868" i="2"/>
  <c r="H868" i="2"/>
  <c r="G868" i="2"/>
  <c r="F868" i="2"/>
  <c r="A868" i="2" s="1"/>
  <c r="B868" i="2" s="1"/>
  <c r="L867" i="2"/>
  <c r="K867" i="2"/>
  <c r="J867" i="2"/>
  <c r="I867" i="2"/>
  <c r="H867" i="2"/>
  <c r="G867" i="2"/>
  <c r="F867" i="2"/>
  <c r="A867" i="2" s="1"/>
  <c r="C867" i="2" s="1"/>
  <c r="L866" i="2"/>
  <c r="K866" i="2"/>
  <c r="J866" i="2"/>
  <c r="I866" i="2"/>
  <c r="H866" i="2"/>
  <c r="G866" i="2"/>
  <c r="F866" i="2"/>
  <c r="A866" i="2" s="1"/>
  <c r="B866" i="2" s="1"/>
  <c r="L865" i="2"/>
  <c r="K865" i="2"/>
  <c r="J865" i="2"/>
  <c r="I865" i="2"/>
  <c r="H865" i="2"/>
  <c r="G865" i="2"/>
  <c r="F865" i="2"/>
  <c r="A865" i="2" s="1"/>
  <c r="C865" i="2" s="1"/>
  <c r="L864" i="2"/>
  <c r="K864" i="2"/>
  <c r="J864" i="2"/>
  <c r="I864" i="2"/>
  <c r="H864" i="2"/>
  <c r="G864" i="2"/>
  <c r="F864" i="2"/>
  <c r="A864" i="2" s="1"/>
  <c r="B864" i="2" s="1"/>
  <c r="L863" i="2"/>
  <c r="K863" i="2"/>
  <c r="J863" i="2"/>
  <c r="I863" i="2"/>
  <c r="H863" i="2"/>
  <c r="G863" i="2"/>
  <c r="F863" i="2"/>
  <c r="A863" i="2" s="1"/>
  <c r="C863" i="2" s="1"/>
  <c r="L862" i="2"/>
  <c r="K862" i="2"/>
  <c r="J862" i="2"/>
  <c r="I862" i="2"/>
  <c r="H862" i="2"/>
  <c r="G862" i="2"/>
  <c r="F862" i="2"/>
  <c r="A862" i="2" s="1"/>
  <c r="B862" i="2" s="1"/>
  <c r="L861" i="2"/>
  <c r="K861" i="2"/>
  <c r="J861" i="2"/>
  <c r="I861" i="2"/>
  <c r="H861" i="2"/>
  <c r="G861" i="2"/>
  <c r="F861" i="2"/>
  <c r="A861" i="2" s="1"/>
  <c r="C861" i="2" s="1"/>
  <c r="L860" i="2"/>
  <c r="K860" i="2"/>
  <c r="J860" i="2"/>
  <c r="I860" i="2"/>
  <c r="H860" i="2"/>
  <c r="G860" i="2"/>
  <c r="F860" i="2"/>
  <c r="A860" i="2" s="1"/>
  <c r="B860" i="2" s="1"/>
  <c r="L859" i="2"/>
  <c r="K859" i="2"/>
  <c r="J859" i="2"/>
  <c r="I859" i="2"/>
  <c r="H859" i="2"/>
  <c r="G859" i="2"/>
  <c r="F859" i="2"/>
  <c r="A859" i="2" s="1"/>
  <c r="C859" i="2" s="1"/>
  <c r="L858" i="2"/>
  <c r="K858" i="2"/>
  <c r="J858" i="2"/>
  <c r="I858" i="2"/>
  <c r="H858" i="2"/>
  <c r="G858" i="2"/>
  <c r="F858" i="2"/>
  <c r="A858" i="2" s="1"/>
  <c r="B858" i="2" s="1"/>
  <c r="L857" i="2"/>
  <c r="K857" i="2"/>
  <c r="J857" i="2"/>
  <c r="I857" i="2"/>
  <c r="H857" i="2"/>
  <c r="G857" i="2"/>
  <c r="F857" i="2"/>
  <c r="A857" i="2" s="1"/>
  <c r="C857" i="2" s="1"/>
  <c r="L856" i="2"/>
  <c r="K856" i="2"/>
  <c r="J856" i="2"/>
  <c r="I856" i="2"/>
  <c r="H856" i="2"/>
  <c r="G856" i="2"/>
  <c r="F856" i="2"/>
  <c r="A856" i="2" s="1"/>
  <c r="B856" i="2" s="1"/>
  <c r="L855" i="2"/>
  <c r="K855" i="2"/>
  <c r="J855" i="2"/>
  <c r="I855" i="2"/>
  <c r="H855" i="2"/>
  <c r="G855" i="2"/>
  <c r="F855" i="2"/>
  <c r="A855" i="2" s="1"/>
  <c r="C855" i="2" s="1"/>
  <c r="L854" i="2"/>
  <c r="K854" i="2"/>
  <c r="J854" i="2"/>
  <c r="I854" i="2"/>
  <c r="H854" i="2"/>
  <c r="G854" i="2"/>
  <c r="F854" i="2"/>
  <c r="A854" i="2" s="1"/>
  <c r="C854" i="2" s="1"/>
  <c r="L853" i="2"/>
  <c r="K853" i="2"/>
  <c r="J853" i="2"/>
  <c r="I853" i="2"/>
  <c r="H853" i="2"/>
  <c r="G853" i="2"/>
  <c r="F853" i="2"/>
  <c r="A853" i="2" s="1"/>
  <c r="C853" i="2" s="1"/>
  <c r="L852" i="2"/>
  <c r="K852" i="2"/>
  <c r="J852" i="2"/>
  <c r="I852" i="2"/>
  <c r="H852" i="2"/>
  <c r="G852" i="2"/>
  <c r="F852" i="2"/>
  <c r="A852" i="2" s="1"/>
  <c r="C852" i="2" s="1"/>
  <c r="L851" i="2"/>
  <c r="K851" i="2"/>
  <c r="J851" i="2"/>
  <c r="I851" i="2"/>
  <c r="H851" i="2"/>
  <c r="G851" i="2"/>
  <c r="F851" i="2"/>
  <c r="A851" i="2" s="1"/>
  <c r="C851" i="2" s="1"/>
  <c r="L850" i="2"/>
  <c r="K850" i="2"/>
  <c r="J850" i="2"/>
  <c r="I850" i="2"/>
  <c r="H850" i="2"/>
  <c r="G850" i="2"/>
  <c r="F850" i="2"/>
  <c r="A850" i="2" s="1"/>
  <c r="C850" i="2" s="1"/>
  <c r="B850" i="2"/>
  <c r="L849" i="2"/>
  <c r="K849" i="2"/>
  <c r="J849" i="2"/>
  <c r="I849" i="2"/>
  <c r="H849" i="2"/>
  <c r="G849" i="2"/>
  <c r="F849" i="2"/>
  <c r="A849" i="2" s="1"/>
  <c r="C849" i="2" s="1"/>
  <c r="L848" i="2"/>
  <c r="K848" i="2"/>
  <c r="J848" i="2"/>
  <c r="I848" i="2"/>
  <c r="H848" i="2"/>
  <c r="G848" i="2"/>
  <c r="F848" i="2"/>
  <c r="A848" i="2" s="1"/>
  <c r="C848" i="2" s="1"/>
  <c r="L847" i="2"/>
  <c r="K847" i="2"/>
  <c r="J847" i="2"/>
  <c r="I847" i="2"/>
  <c r="H847" i="2"/>
  <c r="G847" i="2"/>
  <c r="F847" i="2"/>
  <c r="A847" i="2" s="1"/>
  <c r="C847" i="2" s="1"/>
  <c r="L846" i="2"/>
  <c r="K846" i="2"/>
  <c r="J846" i="2"/>
  <c r="I846" i="2"/>
  <c r="H846" i="2"/>
  <c r="G846" i="2"/>
  <c r="F846" i="2"/>
  <c r="A846" i="2" s="1"/>
  <c r="C846" i="2" s="1"/>
  <c r="B846" i="2"/>
  <c r="L845" i="2"/>
  <c r="K845" i="2"/>
  <c r="J845" i="2"/>
  <c r="I845" i="2"/>
  <c r="H845" i="2"/>
  <c r="G845" i="2"/>
  <c r="F845" i="2"/>
  <c r="A845" i="2" s="1"/>
  <c r="L844" i="2"/>
  <c r="K844" i="2"/>
  <c r="J844" i="2"/>
  <c r="I844" i="2"/>
  <c r="H844" i="2"/>
  <c r="G844" i="2"/>
  <c r="F844" i="2"/>
  <c r="A844" i="2" s="1"/>
  <c r="L843" i="2"/>
  <c r="K843" i="2"/>
  <c r="J843" i="2"/>
  <c r="I843" i="2"/>
  <c r="H843" i="2"/>
  <c r="G843" i="2"/>
  <c r="F843" i="2"/>
  <c r="A843" i="2" s="1"/>
  <c r="L842" i="2"/>
  <c r="K842" i="2"/>
  <c r="J842" i="2"/>
  <c r="I842" i="2"/>
  <c r="H842" i="2"/>
  <c r="G842" i="2"/>
  <c r="F842" i="2"/>
  <c r="A842" i="2" s="1"/>
  <c r="L841" i="2"/>
  <c r="K841" i="2"/>
  <c r="J841" i="2"/>
  <c r="I841" i="2"/>
  <c r="H841" i="2"/>
  <c r="G841" i="2"/>
  <c r="F841" i="2"/>
  <c r="A841" i="2" s="1"/>
  <c r="C841" i="2" s="1"/>
  <c r="L840" i="2"/>
  <c r="K840" i="2"/>
  <c r="J840" i="2"/>
  <c r="I840" i="2"/>
  <c r="H840" i="2"/>
  <c r="G840" i="2"/>
  <c r="F840" i="2"/>
  <c r="A840" i="2" s="1"/>
  <c r="C840" i="2" s="1"/>
  <c r="L839" i="2"/>
  <c r="K839" i="2"/>
  <c r="J839" i="2"/>
  <c r="I839" i="2"/>
  <c r="H839" i="2"/>
  <c r="G839" i="2"/>
  <c r="F839" i="2"/>
  <c r="A839" i="2" s="1"/>
  <c r="C839" i="2" s="1"/>
  <c r="L838" i="2"/>
  <c r="K838" i="2"/>
  <c r="J838" i="2"/>
  <c r="I838" i="2"/>
  <c r="H838" i="2"/>
  <c r="G838" i="2"/>
  <c r="F838" i="2"/>
  <c r="A838" i="2" s="1"/>
  <c r="C838" i="2" s="1"/>
  <c r="L837" i="2"/>
  <c r="K837" i="2"/>
  <c r="J837" i="2"/>
  <c r="I837" i="2"/>
  <c r="H837" i="2"/>
  <c r="G837" i="2"/>
  <c r="F837" i="2"/>
  <c r="A837" i="2" s="1"/>
  <c r="C837" i="2" s="1"/>
  <c r="L836" i="2"/>
  <c r="K836" i="2"/>
  <c r="J836" i="2"/>
  <c r="I836" i="2"/>
  <c r="H836" i="2"/>
  <c r="G836" i="2"/>
  <c r="F836" i="2"/>
  <c r="A836" i="2" s="1"/>
  <c r="C836" i="2" s="1"/>
  <c r="L835" i="2"/>
  <c r="K835" i="2"/>
  <c r="J835" i="2"/>
  <c r="I835" i="2"/>
  <c r="H835" i="2"/>
  <c r="G835" i="2"/>
  <c r="F835" i="2"/>
  <c r="A835" i="2" s="1"/>
  <c r="D835" i="2" s="1"/>
  <c r="E835" i="2" s="1"/>
  <c r="B835" i="2"/>
  <c r="L834" i="2"/>
  <c r="K834" i="2"/>
  <c r="J834" i="2"/>
  <c r="I834" i="2"/>
  <c r="H834" i="2"/>
  <c r="G834" i="2"/>
  <c r="F834" i="2"/>
  <c r="A834" i="2" s="1"/>
  <c r="C834" i="2" s="1"/>
  <c r="B834" i="2"/>
  <c r="L833" i="2"/>
  <c r="K833" i="2"/>
  <c r="J833" i="2"/>
  <c r="I833" i="2"/>
  <c r="H833" i="2"/>
  <c r="G833" i="2"/>
  <c r="F833" i="2"/>
  <c r="A833" i="2" s="1"/>
  <c r="D833" i="2" s="1"/>
  <c r="E833" i="2" s="1"/>
  <c r="C833" i="2"/>
  <c r="B833" i="2"/>
  <c r="L832" i="2"/>
  <c r="K832" i="2"/>
  <c r="J832" i="2"/>
  <c r="I832" i="2"/>
  <c r="H832" i="2"/>
  <c r="G832" i="2"/>
  <c r="F832" i="2"/>
  <c r="A832" i="2" s="1"/>
  <c r="D832" i="2" s="1"/>
  <c r="E832" i="2" s="1"/>
  <c r="L831" i="2"/>
  <c r="K831" i="2"/>
  <c r="J831" i="2"/>
  <c r="I831" i="2"/>
  <c r="H831" i="2"/>
  <c r="G831" i="2"/>
  <c r="F831" i="2"/>
  <c r="A831" i="2" s="1"/>
  <c r="B831" i="2" s="1"/>
  <c r="L830" i="2"/>
  <c r="K830" i="2"/>
  <c r="J830" i="2"/>
  <c r="I830" i="2"/>
  <c r="H830" i="2"/>
  <c r="G830" i="2"/>
  <c r="F830" i="2"/>
  <c r="A830" i="2" s="1"/>
  <c r="D830" i="2" s="1"/>
  <c r="E830" i="2" s="1"/>
  <c r="B830" i="2"/>
  <c r="L829" i="2"/>
  <c r="K829" i="2"/>
  <c r="J829" i="2"/>
  <c r="I829" i="2"/>
  <c r="H829" i="2"/>
  <c r="G829" i="2"/>
  <c r="F829" i="2"/>
  <c r="A829" i="2" s="1"/>
  <c r="D829" i="2" s="1"/>
  <c r="E829" i="2" s="1"/>
  <c r="C829" i="2"/>
  <c r="L828" i="2"/>
  <c r="K828" i="2"/>
  <c r="J828" i="2"/>
  <c r="I828" i="2"/>
  <c r="H828" i="2"/>
  <c r="G828" i="2"/>
  <c r="F828" i="2"/>
  <c r="A828" i="2" s="1"/>
  <c r="D828" i="2" s="1"/>
  <c r="E828" i="2" s="1"/>
  <c r="L827" i="2"/>
  <c r="K827" i="2"/>
  <c r="J827" i="2"/>
  <c r="I827" i="2"/>
  <c r="H827" i="2"/>
  <c r="G827" i="2"/>
  <c r="F827" i="2"/>
  <c r="A827" i="2" s="1"/>
  <c r="B827" i="2" s="1"/>
  <c r="D827" i="2"/>
  <c r="E827" i="2" s="1"/>
  <c r="L826" i="2"/>
  <c r="K826" i="2"/>
  <c r="J826" i="2"/>
  <c r="I826" i="2"/>
  <c r="H826" i="2"/>
  <c r="G826" i="2"/>
  <c r="F826" i="2"/>
  <c r="A826" i="2" s="1"/>
  <c r="D826" i="2" s="1"/>
  <c r="E826" i="2" s="1"/>
  <c r="B826" i="2"/>
  <c r="L825" i="2"/>
  <c r="K825" i="2"/>
  <c r="J825" i="2"/>
  <c r="I825" i="2"/>
  <c r="H825" i="2"/>
  <c r="G825" i="2"/>
  <c r="F825" i="2"/>
  <c r="A825" i="2" s="1"/>
  <c r="D825" i="2" s="1"/>
  <c r="E825" i="2" s="1"/>
  <c r="C825" i="2"/>
  <c r="B825" i="2"/>
  <c r="L824" i="2"/>
  <c r="K824" i="2"/>
  <c r="J824" i="2"/>
  <c r="I824" i="2"/>
  <c r="H824" i="2"/>
  <c r="G824" i="2"/>
  <c r="F824" i="2"/>
  <c r="A824" i="2" s="1"/>
  <c r="D824" i="2" s="1"/>
  <c r="E824" i="2" s="1"/>
  <c r="L823" i="2"/>
  <c r="K823" i="2"/>
  <c r="J823" i="2"/>
  <c r="I823" i="2"/>
  <c r="H823" i="2"/>
  <c r="G823" i="2"/>
  <c r="F823" i="2"/>
  <c r="A823" i="2" s="1"/>
  <c r="B823" i="2" s="1"/>
  <c r="D823" i="2"/>
  <c r="E823" i="2" s="1"/>
  <c r="C823" i="2"/>
  <c r="L822" i="2"/>
  <c r="K822" i="2"/>
  <c r="J822" i="2"/>
  <c r="I822" i="2"/>
  <c r="H822" i="2"/>
  <c r="G822" i="2"/>
  <c r="F822" i="2"/>
  <c r="A822" i="2" s="1"/>
  <c r="D822" i="2" s="1"/>
  <c r="E822" i="2" s="1"/>
  <c r="L821" i="2"/>
  <c r="K821" i="2"/>
  <c r="J821" i="2"/>
  <c r="I821" i="2"/>
  <c r="H821" i="2"/>
  <c r="G821" i="2"/>
  <c r="F821" i="2"/>
  <c r="A821" i="2" s="1"/>
  <c r="D821" i="2" s="1"/>
  <c r="E821" i="2" s="1"/>
  <c r="L820" i="2"/>
  <c r="K820" i="2"/>
  <c r="J820" i="2"/>
  <c r="I820" i="2"/>
  <c r="H820" i="2"/>
  <c r="G820" i="2"/>
  <c r="F820" i="2"/>
  <c r="A820" i="2" s="1"/>
  <c r="D820" i="2" s="1"/>
  <c r="E820" i="2" s="1"/>
  <c r="L819" i="2"/>
  <c r="K819" i="2"/>
  <c r="J819" i="2"/>
  <c r="I819" i="2"/>
  <c r="H819" i="2"/>
  <c r="G819" i="2"/>
  <c r="F819" i="2"/>
  <c r="A819" i="2"/>
  <c r="L818" i="2"/>
  <c r="K818" i="2"/>
  <c r="J818" i="2"/>
  <c r="I818" i="2"/>
  <c r="H818" i="2"/>
  <c r="G818" i="2"/>
  <c r="F818" i="2"/>
  <c r="D818" i="2"/>
  <c r="E818" i="2" s="1"/>
  <c r="B818" i="2"/>
  <c r="A818" i="2"/>
  <c r="C818" i="2" s="1"/>
  <c r="L817" i="2"/>
  <c r="K817" i="2"/>
  <c r="J817" i="2"/>
  <c r="I817" i="2"/>
  <c r="H817" i="2"/>
  <c r="G817" i="2"/>
  <c r="F817" i="2"/>
  <c r="A817" i="2"/>
  <c r="L816" i="2"/>
  <c r="K816" i="2"/>
  <c r="J816" i="2"/>
  <c r="I816" i="2"/>
  <c r="H816" i="2"/>
  <c r="G816" i="2"/>
  <c r="F816" i="2"/>
  <c r="D816" i="2"/>
  <c r="E816" i="2" s="1"/>
  <c r="B816" i="2"/>
  <c r="A816" i="2"/>
  <c r="C816" i="2" s="1"/>
  <c r="L815" i="2"/>
  <c r="K815" i="2"/>
  <c r="J815" i="2"/>
  <c r="I815" i="2"/>
  <c r="H815" i="2"/>
  <c r="G815" i="2"/>
  <c r="F815" i="2"/>
  <c r="A815" i="2"/>
  <c r="L814" i="2"/>
  <c r="K814" i="2"/>
  <c r="J814" i="2"/>
  <c r="I814" i="2"/>
  <c r="H814" i="2"/>
  <c r="G814" i="2"/>
  <c r="F814" i="2"/>
  <c r="D814" i="2"/>
  <c r="E814" i="2" s="1"/>
  <c r="B814" i="2"/>
  <c r="A814" i="2"/>
  <c r="C814" i="2" s="1"/>
  <c r="L813" i="2"/>
  <c r="K813" i="2"/>
  <c r="J813" i="2"/>
  <c r="I813" i="2"/>
  <c r="H813" i="2"/>
  <c r="G813" i="2"/>
  <c r="F813" i="2"/>
  <c r="A813" i="2"/>
  <c r="L812" i="2"/>
  <c r="K812" i="2"/>
  <c r="J812" i="2"/>
  <c r="I812" i="2"/>
  <c r="H812" i="2"/>
  <c r="G812" i="2"/>
  <c r="F812" i="2"/>
  <c r="D812" i="2"/>
  <c r="E812" i="2" s="1"/>
  <c r="A812" i="2"/>
  <c r="C812" i="2" s="1"/>
  <c r="L811" i="2"/>
  <c r="K811" i="2"/>
  <c r="J811" i="2"/>
  <c r="I811" i="2"/>
  <c r="H811" i="2"/>
  <c r="G811" i="2"/>
  <c r="F811" i="2"/>
  <c r="A811" i="2"/>
  <c r="L810" i="2"/>
  <c r="K810" i="2"/>
  <c r="J810" i="2"/>
  <c r="I810" i="2"/>
  <c r="H810" i="2"/>
  <c r="G810" i="2"/>
  <c r="F810" i="2"/>
  <c r="D810" i="2"/>
  <c r="E810" i="2" s="1"/>
  <c r="B810" i="2"/>
  <c r="A810" i="2"/>
  <c r="C810" i="2" s="1"/>
  <c r="L809" i="2"/>
  <c r="K809" i="2"/>
  <c r="J809" i="2"/>
  <c r="I809" i="2"/>
  <c r="H809" i="2"/>
  <c r="G809" i="2"/>
  <c r="F809" i="2"/>
  <c r="A809" i="2"/>
  <c r="L808" i="2"/>
  <c r="K808" i="2"/>
  <c r="J808" i="2"/>
  <c r="I808" i="2"/>
  <c r="H808" i="2"/>
  <c r="G808" i="2"/>
  <c r="F808" i="2"/>
  <c r="D808" i="2"/>
  <c r="E808" i="2" s="1"/>
  <c r="B808" i="2"/>
  <c r="A808" i="2"/>
  <c r="C808" i="2" s="1"/>
  <c r="L807" i="2"/>
  <c r="K807" i="2"/>
  <c r="J807" i="2"/>
  <c r="I807" i="2"/>
  <c r="H807" i="2"/>
  <c r="G807" i="2"/>
  <c r="F807" i="2"/>
  <c r="A807" i="2"/>
  <c r="L806" i="2"/>
  <c r="K806" i="2"/>
  <c r="J806" i="2"/>
  <c r="I806" i="2"/>
  <c r="H806" i="2"/>
  <c r="G806" i="2"/>
  <c r="F806" i="2"/>
  <c r="A806" i="2"/>
  <c r="C806" i="2" s="1"/>
  <c r="L805" i="2"/>
  <c r="K805" i="2"/>
  <c r="J805" i="2"/>
  <c r="I805" i="2"/>
  <c r="H805" i="2"/>
  <c r="G805" i="2"/>
  <c r="F805" i="2"/>
  <c r="A805" i="2"/>
  <c r="L804" i="2"/>
  <c r="K804" i="2"/>
  <c r="J804" i="2"/>
  <c r="I804" i="2"/>
  <c r="H804" i="2"/>
  <c r="G804" i="2"/>
  <c r="F804" i="2"/>
  <c r="A804" i="2"/>
  <c r="C804" i="2" s="1"/>
  <c r="L803" i="2"/>
  <c r="K803" i="2"/>
  <c r="J803" i="2"/>
  <c r="I803" i="2"/>
  <c r="H803" i="2"/>
  <c r="G803" i="2"/>
  <c r="F803" i="2"/>
  <c r="A803" i="2"/>
  <c r="L802" i="2"/>
  <c r="K802" i="2"/>
  <c r="J802" i="2"/>
  <c r="I802" i="2"/>
  <c r="H802" i="2"/>
  <c r="G802" i="2"/>
  <c r="F802" i="2"/>
  <c r="A802" i="2"/>
  <c r="C802" i="2" s="1"/>
  <c r="L801" i="2"/>
  <c r="K801" i="2"/>
  <c r="J801" i="2"/>
  <c r="I801" i="2"/>
  <c r="H801" i="2"/>
  <c r="G801" i="2"/>
  <c r="F801" i="2"/>
  <c r="A801" i="2"/>
  <c r="L800" i="2"/>
  <c r="K800" i="2"/>
  <c r="J800" i="2"/>
  <c r="I800" i="2"/>
  <c r="H800" i="2"/>
  <c r="G800" i="2"/>
  <c r="F800" i="2"/>
  <c r="D800" i="2"/>
  <c r="E800" i="2" s="1"/>
  <c r="B800" i="2"/>
  <c r="A800" i="2"/>
  <c r="C800" i="2" s="1"/>
  <c r="L799" i="2"/>
  <c r="K799" i="2"/>
  <c r="J799" i="2"/>
  <c r="I799" i="2"/>
  <c r="H799" i="2"/>
  <c r="G799" i="2"/>
  <c r="F799" i="2"/>
  <c r="A799" i="2"/>
  <c r="L798" i="2"/>
  <c r="K798" i="2"/>
  <c r="J798" i="2"/>
  <c r="I798" i="2"/>
  <c r="H798" i="2"/>
  <c r="G798" i="2"/>
  <c r="F798" i="2"/>
  <c r="D798" i="2"/>
  <c r="E798" i="2" s="1"/>
  <c r="A798" i="2"/>
  <c r="C798" i="2" s="1"/>
  <c r="L797" i="2"/>
  <c r="K797" i="2"/>
  <c r="J797" i="2"/>
  <c r="I797" i="2"/>
  <c r="H797" i="2"/>
  <c r="G797" i="2"/>
  <c r="F797" i="2"/>
  <c r="A797" i="2"/>
  <c r="L796" i="2"/>
  <c r="K796" i="2"/>
  <c r="J796" i="2"/>
  <c r="I796" i="2"/>
  <c r="H796" i="2"/>
  <c r="G796" i="2"/>
  <c r="F796" i="2"/>
  <c r="A796" i="2"/>
  <c r="C796" i="2" s="1"/>
  <c r="L795" i="2"/>
  <c r="K795" i="2"/>
  <c r="J795" i="2"/>
  <c r="I795" i="2"/>
  <c r="H795" i="2"/>
  <c r="G795" i="2"/>
  <c r="F795" i="2"/>
  <c r="A795" i="2"/>
  <c r="L794" i="2"/>
  <c r="K794" i="2"/>
  <c r="J794" i="2"/>
  <c r="I794" i="2"/>
  <c r="H794" i="2"/>
  <c r="G794" i="2"/>
  <c r="F794" i="2"/>
  <c r="D794" i="2"/>
  <c r="E794" i="2" s="1"/>
  <c r="A794" i="2"/>
  <c r="C794" i="2" s="1"/>
  <c r="L793" i="2"/>
  <c r="K793" i="2"/>
  <c r="J793" i="2"/>
  <c r="I793" i="2"/>
  <c r="H793" i="2"/>
  <c r="G793" i="2"/>
  <c r="F793" i="2"/>
  <c r="A793" i="2"/>
  <c r="L792" i="2"/>
  <c r="K792" i="2"/>
  <c r="J792" i="2"/>
  <c r="I792" i="2"/>
  <c r="H792" i="2"/>
  <c r="G792" i="2"/>
  <c r="F792" i="2"/>
  <c r="D792" i="2"/>
  <c r="E792" i="2" s="1"/>
  <c r="B792" i="2"/>
  <c r="A792" i="2"/>
  <c r="C792" i="2" s="1"/>
  <c r="L791" i="2"/>
  <c r="K791" i="2"/>
  <c r="J791" i="2"/>
  <c r="I791" i="2"/>
  <c r="H791" i="2"/>
  <c r="G791" i="2"/>
  <c r="F791" i="2"/>
  <c r="A791" i="2"/>
  <c r="L790" i="2"/>
  <c r="K790" i="2"/>
  <c r="J790" i="2"/>
  <c r="I790" i="2"/>
  <c r="H790" i="2"/>
  <c r="G790" i="2"/>
  <c r="F790" i="2"/>
  <c r="A790" i="2"/>
  <c r="C790" i="2" s="1"/>
  <c r="L789" i="2"/>
  <c r="K789" i="2"/>
  <c r="J789" i="2"/>
  <c r="I789" i="2"/>
  <c r="H789" i="2"/>
  <c r="G789" i="2"/>
  <c r="F789" i="2"/>
  <c r="A789" i="2"/>
  <c r="L788" i="2"/>
  <c r="K788" i="2"/>
  <c r="J788" i="2"/>
  <c r="I788" i="2"/>
  <c r="H788" i="2"/>
  <c r="G788" i="2"/>
  <c r="F788" i="2"/>
  <c r="B788" i="2"/>
  <c r="A788" i="2"/>
  <c r="C788" i="2" s="1"/>
  <c r="L787" i="2"/>
  <c r="K787" i="2"/>
  <c r="J787" i="2"/>
  <c r="I787" i="2"/>
  <c r="H787" i="2"/>
  <c r="G787" i="2"/>
  <c r="F787" i="2"/>
  <c r="A787" i="2"/>
  <c r="L786" i="2"/>
  <c r="K786" i="2"/>
  <c r="J786" i="2"/>
  <c r="I786" i="2"/>
  <c r="H786" i="2"/>
  <c r="G786" i="2"/>
  <c r="F786" i="2"/>
  <c r="D786" i="2"/>
  <c r="E786" i="2" s="1"/>
  <c r="B786" i="2"/>
  <c r="A786" i="2"/>
  <c r="C786" i="2" s="1"/>
  <c r="L785" i="2"/>
  <c r="K785" i="2"/>
  <c r="J785" i="2"/>
  <c r="I785" i="2"/>
  <c r="H785" i="2"/>
  <c r="G785" i="2"/>
  <c r="F785" i="2"/>
  <c r="A785" i="2"/>
  <c r="L784" i="2"/>
  <c r="K784" i="2"/>
  <c r="J784" i="2"/>
  <c r="I784" i="2"/>
  <c r="H784" i="2"/>
  <c r="G784" i="2"/>
  <c r="F784" i="2"/>
  <c r="A784" i="2"/>
  <c r="C784" i="2" s="1"/>
  <c r="L783" i="2"/>
  <c r="K783" i="2"/>
  <c r="J783" i="2"/>
  <c r="I783" i="2"/>
  <c r="H783" i="2"/>
  <c r="G783" i="2"/>
  <c r="F783" i="2"/>
  <c r="A783" i="2"/>
  <c r="L782" i="2"/>
  <c r="K782" i="2"/>
  <c r="J782" i="2"/>
  <c r="I782" i="2"/>
  <c r="H782" i="2"/>
  <c r="G782" i="2"/>
  <c r="F782" i="2"/>
  <c r="B782" i="2"/>
  <c r="A782" i="2"/>
  <c r="C782" i="2" s="1"/>
  <c r="L781" i="2"/>
  <c r="K781" i="2"/>
  <c r="J781" i="2"/>
  <c r="I781" i="2"/>
  <c r="H781" i="2"/>
  <c r="G781" i="2"/>
  <c r="F781" i="2"/>
  <c r="A781" i="2"/>
  <c r="L780" i="2"/>
  <c r="K780" i="2"/>
  <c r="J780" i="2"/>
  <c r="I780" i="2"/>
  <c r="H780" i="2"/>
  <c r="G780" i="2"/>
  <c r="F780" i="2"/>
  <c r="D780" i="2"/>
  <c r="E780" i="2" s="1"/>
  <c r="B780" i="2"/>
  <c r="A780" i="2"/>
  <c r="C780" i="2" s="1"/>
  <c r="L779" i="2"/>
  <c r="K779" i="2"/>
  <c r="J779" i="2"/>
  <c r="I779" i="2"/>
  <c r="H779" i="2"/>
  <c r="G779" i="2"/>
  <c r="F779" i="2"/>
  <c r="A779" i="2"/>
  <c r="L778" i="2"/>
  <c r="K778" i="2"/>
  <c r="J778" i="2"/>
  <c r="I778" i="2"/>
  <c r="H778" i="2"/>
  <c r="G778" i="2"/>
  <c r="F778" i="2"/>
  <c r="A778" i="2"/>
  <c r="C778" i="2" s="1"/>
  <c r="L777" i="2"/>
  <c r="K777" i="2"/>
  <c r="J777" i="2"/>
  <c r="I777" i="2"/>
  <c r="H777" i="2"/>
  <c r="G777" i="2"/>
  <c r="F777" i="2"/>
  <c r="A777" i="2"/>
  <c r="L776" i="2"/>
  <c r="K776" i="2"/>
  <c r="J776" i="2"/>
  <c r="I776" i="2"/>
  <c r="H776" i="2"/>
  <c r="G776" i="2"/>
  <c r="F776" i="2"/>
  <c r="A776" i="2"/>
  <c r="C776" i="2" s="1"/>
  <c r="L775" i="2"/>
  <c r="K775" i="2"/>
  <c r="J775" i="2"/>
  <c r="I775" i="2"/>
  <c r="H775" i="2"/>
  <c r="G775" i="2"/>
  <c r="F775" i="2"/>
  <c r="A775" i="2"/>
  <c r="L774" i="2"/>
  <c r="K774" i="2"/>
  <c r="J774" i="2"/>
  <c r="I774" i="2"/>
  <c r="H774" i="2"/>
  <c r="G774" i="2"/>
  <c r="F774" i="2"/>
  <c r="D774" i="2"/>
  <c r="E774" i="2" s="1"/>
  <c r="A774" i="2"/>
  <c r="C774" i="2" s="1"/>
  <c r="L773" i="2"/>
  <c r="K773" i="2"/>
  <c r="J773" i="2"/>
  <c r="I773" i="2"/>
  <c r="H773" i="2"/>
  <c r="G773" i="2"/>
  <c r="F773" i="2"/>
  <c r="A773" i="2"/>
  <c r="L772" i="2"/>
  <c r="K772" i="2"/>
  <c r="J772" i="2"/>
  <c r="I772" i="2"/>
  <c r="H772" i="2"/>
  <c r="G772" i="2"/>
  <c r="F772" i="2"/>
  <c r="D772" i="2"/>
  <c r="E772" i="2" s="1"/>
  <c r="B772" i="2"/>
  <c r="A772" i="2"/>
  <c r="C772" i="2" s="1"/>
  <c r="L771" i="2"/>
  <c r="K771" i="2"/>
  <c r="J771" i="2"/>
  <c r="I771" i="2"/>
  <c r="H771" i="2"/>
  <c r="G771" i="2"/>
  <c r="F771" i="2"/>
  <c r="A771" i="2"/>
  <c r="L770" i="2"/>
  <c r="K770" i="2"/>
  <c r="J770" i="2"/>
  <c r="I770" i="2"/>
  <c r="H770" i="2"/>
  <c r="G770" i="2"/>
  <c r="F770" i="2"/>
  <c r="A770" i="2"/>
  <c r="C770" i="2" s="1"/>
  <c r="L769" i="2"/>
  <c r="K769" i="2"/>
  <c r="J769" i="2"/>
  <c r="I769" i="2"/>
  <c r="H769" i="2"/>
  <c r="G769" i="2"/>
  <c r="F769" i="2"/>
  <c r="A769" i="2"/>
  <c r="L768" i="2"/>
  <c r="K768" i="2"/>
  <c r="J768" i="2"/>
  <c r="I768" i="2"/>
  <c r="H768" i="2"/>
  <c r="G768" i="2"/>
  <c r="F768" i="2"/>
  <c r="D768" i="2"/>
  <c r="E768" i="2" s="1"/>
  <c r="A768" i="2"/>
  <c r="C768" i="2" s="1"/>
  <c r="L767" i="2"/>
  <c r="K767" i="2"/>
  <c r="J767" i="2"/>
  <c r="I767" i="2"/>
  <c r="H767" i="2"/>
  <c r="G767" i="2"/>
  <c r="F767" i="2"/>
  <c r="A767" i="2"/>
  <c r="L766" i="2"/>
  <c r="K766" i="2"/>
  <c r="J766" i="2"/>
  <c r="I766" i="2"/>
  <c r="H766" i="2"/>
  <c r="G766" i="2"/>
  <c r="F766" i="2"/>
  <c r="D766" i="2"/>
  <c r="E766" i="2" s="1"/>
  <c r="A766" i="2"/>
  <c r="C766" i="2" s="1"/>
  <c r="L765" i="2"/>
  <c r="K765" i="2"/>
  <c r="J765" i="2"/>
  <c r="I765" i="2"/>
  <c r="H765" i="2"/>
  <c r="G765" i="2"/>
  <c r="F765" i="2"/>
  <c r="A765" i="2"/>
  <c r="L764" i="2"/>
  <c r="K764" i="2"/>
  <c r="J764" i="2"/>
  <c r="I764" i="2"/>
  <c r="H764" i="2"/>
  <c r="G764" i="2"/>
  <c r="F764" i="2"/>
  <c r="A764" i="2"/>
  <c r="C764" i="2" s="1"/>
  <c r="L763" i="2"/>
  <c r="K763" i="2"/>
  <c r="J763" i="2"/>
  <c r="I763" i="2"/>
  <c r="H763" i="2"/>
  <c r="G763" i="2"/>
  <c r="F763" i="2"/>
  <c r="A763" i="2"/>
  <c r="L762" i="2"/>
  <c r="K762" i="2"/>
  <c r="J762" i="2"/>
  <c r="I762" i="2"/>
  <c r="H762" i="2"/>
  <c r="G762" i="2"/>
  <c r="F762" i="2"/>
  <c r="D762" i="2"/>
  <c r="E762" i="2" s="1"/>
  <c r="A762" i="2"/>
  <c r="C762" i="2" s="1"/>
  <c r="L761" i="2"/>
  <c r="K761" i="2"/>
  <c r="J761" i="2"/>
  <c r="I761" i="2"/>
  <c r="H761" i="2"/>
  <c r="G761" i="2"/>
  <c r="F761" i="2"/>
  <c r="A761" i="2"/>
  <c r="L760" i="2"/>
  <c r="K760" i="2"/>
  <c r="J760" i="2"/>
  <c r="I760" i="2"/>
  <c r="H760" i="2"/>
  <c r="G760" i="2"/>
  <c r="F760" i="2"/>
  <c r="D760" i="2"/>
  <c r="E760" i="2" s="1"/>
  <c r="B760" i="2"/>
  <c r="A760" i="2"/>
  <c r="C760" i="2" s="1"/>
  <c r="L759" i="2"/>
  <c r="K759" i="2"/>
  <c r="J759" i="2"/>
  <c r="I759" i="2"/>
  <c r="H759" i="2"/>
  <c r="G759" i="2"/>
  <c r="F759" i="2"/>
  <c r="A759" i="2"/>
  <c r="L758" i="2"/>
  <c r="K758" i="2"/>
  <c r="J758" i="2"/>
  <c r="I758" i="2"/>
  <c r="H758" i="2"/>
  <c r="G758" i="2"/>
  <c r="F758" i="2"/>
  <c r="A758" i="2"/>
  <c r="C758" i="2" s="1"/>
  <c r="L757" i="2"/>
  <c r="K757" i="2"/>
  <c r="J757" i="2"/>
  <c r="I757" i="2"/>
  <c r="H757" i="2"/>
  <c r="G757" i="2"/>
  <c r="F757" i="2"/>
  <c r="A757" i="2"/>
  <c r="L756" i="2"/>
  <c r="K756" i="2"/>
  <c r="J756" i="2"/>
  <c r="I756" i="2"/>
  <c r="H756" i="2"/>
  <c r="G756" i="2"/>
  <c r="F756" i="2"/>
  <c r="B756" i="2"/>
  <c r="A756" i="2"/>
  <c r="C756" i="2" s="1"/>
  <c r="L755" i="2"/>
  <c r="K755" i="2"/>
  <c r="J755" i="2"/>
  <c r="I755" i="2"/>
  <c r="H755" i="2"/>
  <c r="G755" i="2"/>
  <c r="F755" i="2"/>
  <c r="A755" i="2"/>
  <c r="L754" i="2"/>
  <c r="K754" i="2"/>
  <c r="J754" i="2"/>
  <c r="I754" i="2"/>
  <c r="H754" i="2"/>
  <c r="G754" i="2"/>
  <c r="F754" i="2"/>
  <c r="D754" i="2"/>
  <c r="E754" i="2" s="1"/>
  <c r="B754" i="2"/>
  <c r="A754" i="2"/>
  <c r="C754" i="2" s="1"/>
  <c r="L753" i="2"/>
  <c r="K753" i="2"/>
  <c r="J753" i="2"/>
  <c r="I753" i="2"/>
  <c r="H753" i="2"/>
  <c r="G753" i="2"/>
  <c r="F753" i="2"/>
  <c r="A753" i="2"/>
  <c r="L752" i="2"/>
  <c r="K752" i="2"/>
  <c r="J752" i="2"/>
  <c r="I752" i="2"/>
  <c r="H752" i="2"/>
  <c r="G752" i="2"/>
  <c r="F752" i="2"/>
  <c r="A752" i="2"/>
  <c r="C752" i="2" s="1"/>
  <c r="L751" i="2"/>
  <c r="K751" i="2"/>
  <c r="J751" i="2"/>
  <c r="I751" i="2"/>
  <c r="H751" i="2"/>
  <c r="G751" i="2"/>
  <c r="F751" i="2"/>
  <c r="A751" i="2" s="1"/>
  <c r="L750" i="2"/>
  <c r="K750" i="2"/>
  <c r="J750" i="2"/>
  <c r="I750" i="2"/>
  <c r="H750" i="2"/>
  <c r="G750" i="2"/>
  <c r="F750" i="2"/>
  <c r="A750" i="2"/>
  <c r="C750" i="2" s="1"/>
  <c r="L749" i="2"/>
  <c r="K749" i="2"/>
  <c r="J749" i="2"/>
  <c r="I749" i="2"/>
  <c r="H749" i="2"/>
  <c r="G749" i="2"/>
  <c r="F749" i="2"/>
  <c r="A749" i="2"/>
  <c r="L748" i="2"/>
  <c r="K748" i="2"/>
  <c r="J748" i="2"/>
  <c r="I748" i="2"/>
  <c r="H748" i="2"/>
  <c r="G748" i="2"/>
  <c r="F748" i="2"/>
  <c r="A748" i="2"/>
  <c r="C748" i="2" s="1"/>
  <c r="L747" i="2"/>
  <c r="K747" i="2"/>
  <c r="J747" i="2"/>
  <c r="I747" i="2"/>
  <c r="H747" i="2"/>
  <c r="G747" i="2"/>
  <c r="F747" i="2"/>
  <c r="A747" i="2"/>
  <c r="L746" i="2"/>
  <c r="K746" i="2"/>
  <c r="J746" i="2"/>
  <c r="I746" i="2"/>
  <c r="H746" i="2"/>
  <c r="G746" i="2"/>
  <c r="F746" i="2"/>
  <c r="D746" i="2"/>
  <c r="E746" i="2" s="1"/>
  <c r="B746" i="2"/>
  <c r="A746" i="2"/>
  <c r="C746" i="2" s="1"/>
  <c r="L745" i="2"/>
  <c r="K745" i="2"/>
  <c r="J745" i="2"/>
  <c r="I745" i="2"/>
  <c r="H745" i="2"/>
  <c r="G745" i="2"/>
  <c r="F745" i="2"/>
  <c r="A745" i="2" s="1"/>
  <c r="L744" i="2"/>
  <c r="K744" i="2"/>
  <c r="J744" i="2"/>
  <c r="I744" i="2"/>
  <c r="H744" i="2"/>
  <c r="G744" i="2"/>
  <c r="F744" i="2"/>
  <c r="A744" i="2"/>
  <c r="C744" i="2" s="1"/>
  <c r="L743" i="2"/>
  <c r="K743" i="2"/>
  <c r="J743" i="2"/>
  <c r="I743" i="2"/>
  <c r="H743" i="2"/>
  <c r="G743" i="2"/>
  <c r="F743" i="2"/>
  <c r="A743" i="2" s="1"/>
  <c r="L742" i="2"/>
  <c r="K742" i="2"/>
  <c r="J742" i="2"/>
  <c r="I742" i="2"/>
  <c r="H742" i="2"/>
  <c r="G742" i="2"/>
  <c r="F742" i="2"/>
  <c r="D742" i="2"/>
  <c r="E742" i="2" s="1"/>
  <c r="B742" i="2"/>
  <c r="A742" i="2"/>
  <c r="C742" i="2" s="1"/>
  <c r="L741" i="2"/>
  <c r="K741" i="2"/>
  <c r="J741" i="2"/>
  <c r="I741" i="2"/>
  <c r="H741" i="2"/>
  <c r="G741" i="2"/>
  <c r="F741" i="2"/>
  <c r="A741" i="2"/>
  <c r="L740" i="2"/>
  <c r="K740" i="2"/>
  <c r="J740" i="2"/>
  <c r="I740" i="2"/>
  <c r="H740" i="2"/>
  <c r="G740" i="2"/>
  <c r="F740" i="2"/>
  <c r="D740" i="2"/>
  <c r="E740" i="2" s="1"/>
  <c r="A740" i="2"/>
  <c r="C740" i="2" s="1"/>
  <c r="L739" i="2"/>
  <c r="K739" i="2"/>
  <c r="J739" i="2"/>
  <c r="I739" i="2"/>
  <c r="H739" i="2"/>
  <c r="G739" i="2"/>
  <c r="F739" i="2"/>
  <c r="A739" i="2"/>
  <c r="L738" i="2"/>
  <c r="K738" i="2"/>
  <c r="J738" i="2"/>
  <c r="I738" i="2"/>
  <c r="H738" i="2"/>
  <c r="G738" i="2"/>
  <c r="F738" i="2"/>
  <c r="D738" i="2"/>
  <c r="E738" i="2" s="1"/>
  <c r="B738" i="2"/>
  <c r="A738" i="2"/>
  <c r="C738" i="2" s="1"/>
  <c r="L737" i="2"/>
  <c r="K737" i="2"/>
  <c r="J737" i="2"/>
  <c r="I737" i="2"/>
  <c r="H737" i="2"/>
  <c r="G737" i="2"/>
  <c r="F737" i="2"/>
  <c r="A737" i="2"/>
  <c r="L736" i="2"/>
  <c r="K736" i="2"/>
  <c r="J736" i="2"/>
  <c r="I736" i="2"/>
  <c r="H736" i="2"/>
  <c r="G736" i="2"/>
  <c r="F736" i="2"/>
  <c r="A736" i="2"/>
  <c r="C736" i="2" s="1"/>
  <c r="L735" i="2"/>
  <c r="K735" i="2"/>
  <c r="J735" i="2"/>
  <c r="I735" i="2"/>
  <c r="H735" i="2"/>
  <c r="G735" i="2"/>
  <c r="F735" i="2"/>
  <c r="A735" i="2" s="1"/>
  <c r="L734" i="2"/>
  <c r="K734" i="2"/>
  <c r="J734" i="2"/>
  <c r="I734" i="2"/>
  <c r="H734" i="2"/>
  <c r="G734" i="2"/>
  <c r="F734" i="2"/>
  <c r="A734" i="2"/>
  <c r="C734" i="2" s="1"/>
  <c r="L733" i="2"/>
  <c r="K733" i="2"/>
  <c r="J733" i="2"/>
  <c r="I733" i="2"/>
  <c r="H733" i="2"/>
  <c r="G733" i="2"/>
  <c r="F733" i="2"/>
  <c r="A733" i="2" s="1"/>
  <c r="L732" i="2"/>
  <c r="K732" i="2"/>
  <c r="J732" i="2"/>
  <c r="I732" i="2"/>
  <c r="H732" i="2"/>
  <c r="G732" i="2"/>
  <c r="F732" i="2"/>
  <c r="D732" i="2"/>
  <c r="E732" i="2" s="1"/>
  <c r="A732" i="2"/>
  <c r="C732" i="2" s="1"/>
  <c r="L731" i="2"/>
  <c r="K731" i="2"/>
  <c r="J731" i="2"/>
  <c r="I731" i="2"/>
  <c r="H731" i="2"/>
  <c r="G731" i="2"/>
  <c r="F731" i="2"/>
  <c r="A731" i="2"/>
  <c r="L730" i="2"/>
  <c r="K730" i="2"/>
  <c r="J730" i="2"/>
  <c r="I730" i="2"/>
  <c r="H730" i="2"/>
  <c r="G730" i="2"/>
  <c r="F730" i="2"/>
  <c r="D730" i="2"/>
  <c r="E730" i="2" s="1"/>
  <c r="B730" i="2"/>
  <c r="A730" i="2"/>
  <c r="C730" i="2" s="1"/>
  <c r="L729" i="2"/>
  <c r="K729" i="2"/>
  <c r="J729" i="2"/>
  <c r="I729" i="2"/>
  <c r="H729" i="2"/>
  <c r="G729" i="2"/>
  <c r="F729" i="2"/>
  <c r="A729" i="2" s="1"/>
  <c r="L728" i="2"/>
  <c r="K728" i="2"/>
  <c r="J728" i="2"/>
  <c r="I728" i="2"/>
  <c r="H728" i="2"/>
  <c r="G728" i="2"/>
  <c r="F728" i="2"/>
  <c r="D728" i="2"/>
  <c r="E728" i="2" s="1"/>
  <c r="B728" i="2"/>
  <c r="A728" i="2"/>
  <c r="C728" i="2" s="1"/>
  <c r="L727" i="2"/>
  <c r="K727" i="2"/>
  <c r="J727" i="2"/>
  <c r="I727" i="2"/>
  <c r="H727" i="2"/>
  <c r="G727" i="2"/>
  <c r="F727" i="2"/>
  <c r="A727" i="2" s="1"/>
  <c r="L726" i="2"/>
  <c r="K726" i="2"/>
  <c r="J726" i="2"/>
  <c r="I726" i="2"/>
  <c r="H726" i="2"/>
  <c r="G726" i="2"/>
  <c r="F726" i="2"/>
  <c r="A726" i="2"/>
  <c r="C726" i="2" s="1"/>
  <c r="L725" i="2"/>
  <c r="K725" i="2"/>
  <c r="J725" i="2"/>
  <c r="I725" i="2"/>
  <c r="H725" i="2"/>
  <c r="G725" i="2"/>
  <c r="F725" i="2"/>
  <c r="A725" i="2"/>
  <c r="L724" i="2"/>
  <c r="K724" i="2"/>
  <c r="J724" i="2"/>
  <c r="I724" i="2"/>
  <c r="H724" i="2"/>
  <c r="G724" i="2"/>
  <c r="F724" i="2"/>
  <c r="E724" i="2"/>
  <c r="D724" i="2"/>
  <c r="B724" i="2"/>
  <c r="A724" i="2"/>
  <c r="C724" i="2" s="1"/>
  <c r="L723" i="2"/>
  <c r="K723" i="2"/>
  <c r="J723" i="2"/>
  <c r="I723" i="2"/>
  <c r="H723" i="2"/>
  <c r="G723" i="2"/>
  <c r="F723" i="2"/>
  <c r="A723" i="2"/>
  <c r="L722" i="2"/>
  <c r="K722" i="2"/>
  <c r="J722" i="2"/>
  <c r="I722" i="2"/>
  <c r="H722" i="2"/>
  <c r="G722" i="2"/>
  <c r="F722" i="2"/>
  <c r="A722" i="2"/>
  <c r="C722" i="2" s="1"/>
  <c r="L721" i="2"/>
  <c r="K721" i="2"/>
  <c r="J721" i="2"/>
  <c r="I721" i="2"/>
  <c r="H721" i="2"/>
  <c r="G721" i="2"/>
  <c r="F721" i="2"/>
  <c r="A721" i="2"/>
  <c r="L720" i="2"/>
  <c r="K720" i="2"/>
  <c r="J720" i="2"/>
  <c r="I720" i="2"/>
  <c r="H720" i="2"/>
  <c r="G720" i="2"/>
  <c r="F720" i="2"/>
  <c r="D720" i="2"/>
  <c r="E720" i="2" s="1"/>
  <c r="B720" i="2"/>
  <c r="A720" i="2"/>
  <c r="C720" i="2" s="1"/>
  <c r="L719" i="2"/>
  <c r="K719" i="2"/>
  <c r="J719" i="2"/>
  <c r="I719" i="2"/>
  <c r="H719" i="2"/>
  <c r="G719" i="2"/>
  <c r="F719" i="2"/>
  <c r="A719" i="2" s="1"/>
  <c r="L718" i="2"/>
  <c r="K718" i="2"/>
  <c r="J718" i="2"/>
  <c r="I718" i="2"/>
  <c r="H718" i="2"/>
  <c r="G718" i="2"/>
  <c r="F718" i="2"/>
  <c r="A718" i="2"/>
  <c r="C718" i="2" s="1"/>
  <c r="L717" i="2"/>
  <c r="K717" i="2"/>
  <c r="J717" i="2"/>
  <c r="I717" i="2"/>
  <c r="H717" i="2"/>
  <c r="G717" i="2"/>
  <c r="F717" i="2"/>
  <c r="A717" i="2" s="1"/>
  <c r="L716" i="2"/>
  <c r="K716" i="2"/>
  <c r="J716" i="2"/>
  <c r="I716" i="2"/>
  <c r="H716" i="2"/>
  <c r="G716" i="2"/>
  <c r="F716" i="2"/>
  <c r="D716" i="2"/>
  <c r="E716" i="2" s="1"/>
  <c r="B716" i="2"/>
  <c r="A716" i="2"/>
  <c r="C716" i="2" s="1"/>
  <c r="L715" i="2"/>
  <c r="K715" i="2"/>
  <c r="J715" i="2"/>
  <c r="I715" i="2"/>
  <c r="H715" i="2"/>
  <c r="G715" i="2"/>
  <c r="F715" i="2"/>
  <c r="A715" i="2"/>
  <c r="L714" i="2"/>
  <c r="K714" i="2"/>
  <c r="J714" i="2"/>
  <c r="I714" i="2"/>
  <c r="H714" i="2"/>
  <c r="G714" i="2"/>
  <c r="F714" i="2"/>
  <c r="A714" i="2"/>
  <c r="C714" i="2" s="1"/>
  <c r="L713" i="2"/>
  <c r="K713" i="2"/>
  <c r="J713" i="2"/>
  <c r="I713" i="2"/>
  <c r="H713" i="2"/>
  <c r="G713" i="2"/>
  <c r="F713" i="2"/>
  <c r="A713" i="2"/>
  <c r="L712" i="2"/>
  <c r="K712" i="2"/>
  <c r="J712" i="2"/>
  <c r="I712" i="2"/>
  <c r="H712" i="2"/>
  <c r="G712" i="2"/>
  <c r="F712" i="2"/>
  <c r="A712" i="2"/>
  <c r="L711" i="2"/>
  <c r="K711" i="2"/>
  <c r="J711" i="2"/>
  <c r="I711" i="2"/>
  <c r="H711" i="2"/>
  <c r="G711" i="2"/>
  <c r="F711" i="2"/>
  <c r="D711" i="2"/>
  <c r="E711" i="2" s="1"/>
  <c r="A711" i="2"/>
  <c r="C711" i="2" s="1"/>
  <c r="L710" i="2"/>
  <c r="K710" i="2"/>
  <c r="J710" i="2"/>
  <c r="I710" i="2"/>
  <c r="H710" i="2"/>
  <c r="G710" i="2"/>
  <c r="F710" i="2"/>
  <c r="A710" i="2"/>
  <c r="L709" i="2"/>
  <c r="K709" i="2"/>
  <c r="J709" i="2"/>
  <c r="I709" i="2"/>
  <c r="H709" i="2"/>
  <c r="G709" i="2"/>
  <c r="F709" i="2"/>
  <c r="A709" i="2"/>
  <c r="C709" i="2" s="1"/>
  <c r="L708" i="2"/>
  <c r="K708" i="2"/>
  <c r="J708" i="2"/>
  <c r="I708" i="2"/>
  <c r="H708" i="2"/>
  <c r="G708" i="2"/>
  <c r="F708" i="2"/>
  <c r="A708" i="2"/>
  <c r="L707" i="2"/>
  <c r="K707" i="2"/>
  <c r="J707" i="2"/>
  <c r="I707" i="2"/>
  <c r="H707" i="2"/>
  <c r="G707" i="2"/>
  <c r="F707" i="2"/>
  <c r="D707" i="2"/>
  <c r="E707" i="2" s="1"/>
  <c r="A707" i="2"/>
  <c r="C707" i="2" s="1"/>
  <c r="L706" i="2"/>
  <c r="K706" i="2"/>
  <c r="J706" i="2"/>
  <c r="I706" i="2"/>
  <c r="H706" i="2"/>
  <c r="G706" i="2"/>
  <c r="F706" i="2"/>
  <c r="A706" i="2"/>
  <c r="L705" i="2"/>
  <c r="K705" i="2"/>
  <c r="J705" i="2"/>
  <c r="I705" i="2"/>
  <c r="H705" i="2"/>
  <c r="G705" i="2"/>
  <c r="F705" i="2"/>
  <c r="D705" i="2"/>
  <c r="E705" i="2" s="1"/>
  <c r="A705" i="2"/>
  <c r="C705" i="2" s="1"/>
  <c r="L704" i="2"/>
  <c r="K704" i="2"/>
  <c r="J704" i="2"/>
  <c r="I704" i="2"/>
  <c r="H704" i="2"/>
  <c r="G704" i="2"/>
  <c r="F704" i="2"/>
  <c r="A704" i="2"/>
  <c r="L703" i="2"/>
  <c r="K703" i="2"/>
  <c r="J703" i="2"/>
  <c r="I703" i="2"/>
  <c r="H703" i="2"/>
  <c r="G703" i="2"/>
  <c r="F703" i="2"/>
  <c r="A703" i="2"/>
  <c r="C703" i="2" s="1"/>
  <c r="L702" i="2"/>
  <c r="K702" i="2"/>
  <c r="J702" i="2"/>
  <c r="I702" i="2"/>
  <c r="H702" i="2"/>
  <c r="G702" i="2"/>
  <c r="F702" i="2"/>
  <c r="A702" i="2"/>
  <c r="L701" i="2"/>
  <c r="K701" i="2"/>
  <c r="J701" i="2"/>
  <c r="I701" i="2"/>
  <c r="H701" i="2"/>
  <c r="G701" i="2"/>
  <c r="F701" i="2"/>
  <c r="D701" i="2"/>
  <c r="E701" i="2" s="1"/>
  <c r="A701" i="2"/>
  <c r="C701" i="2" s="1"/>
  <c r="L700" i="2"/>
  <c r="K700" i="2"/>
  <c r="J700" i="2"/>
  <c r="I700" i="2"/>
  <c r="H700" i="2"/>
  <c r="G700" i="2"/>
  <c r="F700" i="2"/>
  <c r="A700" i="2"/>
  <c r="L699" i="2"/>
  <c r="K699" i="2"/>
  <c r="J699" i="2"/>
  <c r="I699" i="2"/>
  <c r="H699" i="2"/>
  <c r="G699" i="2"/>
  <c r="F699" i="2"/>
  <c r="D699" i="2"/>
  <c r="E699" i="2" s="1"/>
  <c r="A699" i="2"/>
  <c r="C699" i="2" s="1"/>
  <c r="L698" i="2"/>
  <c r="K698" i="2"/>
  <c r="J698" i="2"/>
  <c r="I698" i="2"/>
  <c r="H698" i="2"/>
  <c r="G698" i="2"/>
  <c r="F698" i="2"/>
  <c r="A698" i="2"/>
  <c r="L697" i="2"/>
  <c r="K697" i="2"/>
  <c r="J697" i="2"/>
  <c r="I697" i="2"/>
  <c r="H697" i="2"/>
  <c r="G697" i="2"/>
  <c r="F697" i="2"/>
  <c r="A697" i="2"/>
  <c r="C697" i="2" s="1"/>
  <c r="L696" i="2"/>
  <c r="K696" i="2"/>
  <c r="J696" i="2"/>
  <c r="I696" i="2"/>
  <c r="H696" i="2"/>
  <c r="G696" i="2"/>
  <c r="F696" i="2"/>
  <c r="A696" i="2"/>
  <c r="L695" i="2"/>
  <c r="K695" i="2"/>
  <c r="J695" i="2"/>
  <c r="I695" i="2"/>
  <c r="H695" i="2"/>
  <c r="G695" i="2"/>
  <c r="F695" i="2"/>
  <c r="A695" i="2"/>
  <c r="C695" i="2" s="1"/>
  <c r="L694" i="2"/>
  <c r="K694" i="2"/>
  <c r="J694" i="2"/>
  <c r="I694" i="2"/>
  <c r="H694" i="2"/>
  <c r="G694" i="2"/>
  <c r="F694" i="2"/>
  <c r="A694" i="2"/>
  <c r="L693" i="2"/>
  <c r="K693" i="2"/>
  <c r="J693" i="2"/>
  <c r="I693" i="2"/>
  <c r="H693" i="2"/>
  <c r="G693" i="2"/>
  <c r="F693" i="2"/>
  <c r="D693" i="2"/>
  <c r="E693" i="2" s="1"/>
  <c r="A693" i="2"/>
  <c r="C693" i="2" s="1"/>
  <c r="L692" i="2"/>
  <c r="K692" i="2"/>
  <c r="J692" i="2"/>
  <c r="I692" i="2"/>
  <c r="H692" i="2"/>
  <c r="G692" i="2"/>
  <c r="F692" i="2"/>
  <c r="A692" i="2"/>
  <c r="L691" i="2"/>
  <c r="K691" i="2"/>
  <c r="J691" i="2"/>
  <c r="I691" i="2"/>
  <c r="H691" i="2"/>
  <c r="G691" i="2"/>
  <c r="F691" i="2"/>
  <c r="A691" i="2"/>
  <c r="C691" i="2" s="1"/>
  <c r="L690" i="2"/>
  <c r="K690" i="2"/>
  <c r="J690" i="2"/>
  <c r="I690" i="2"/>
  <c r="H690" i="2"/>
  <c r="G690" i="2"/>
  <c r="F690" i="2"/>
  <c r="A690" i="2"/>
  <c r="L689" i="2"/>
  <c r="K689" i="2"/>
  <c r="J689" i="2"/>
  <c r="I689" i="2"/>
  <c r="H689" i="2"/>
  <c r="G689" i="2"/>
  <c r="F689" i="2"/>
  <c r="D689" i="2"/>
  <c r="E689" i="2" s="1"/>
  <c r="A689" i="2"/>
  <c r="C689" i="2" s="1"/>
  <c r="L688" i="2"/>
  <c r="K688" i="2"/>
  <c r="J688" i="2"/>
  <c r="I688" i="2"/>
  <c r="H688" i="2"/>
  <c r="G688" i="2"/>
  <c r="F688" i="2"/>
  <c r="A688" i="2"/>
  <c r="L687" i="2"/>
  <c r="K687" i="2"/>
  <c r="J687" i="2"/>
  <c r="I687" i="2"/>
  <c r="H687" i="2"/>
  <c r="G687" i="2"/>
  <c r="F687" i="2"/>
  <c r="A687" i="2"/>
  <c r="C687" i="2" s="1"/>
  <c r="L686" i="2"/>
  <c r="K686" i="2"/>
  <c r="J686" i="2"/>
  <c r="I686" i="2"/>
  <c r="H686" i="2"/>
  <c r="G686" i="2"/>
  <c r="F686" i="2"/>
  <c r="A686" i="2"/>
  <c r="L685" i="2"/>
  <c r="K685" i="2"/>
  <c r="J685" i="2"/>
  <c r="I685" i="2"/>
  <c r="H685" i="2"/>
  <c r="G685" i="2"/>
  <c r="F685" i="2"/>
  <c r="D685" i="2"/>
  <c r="E685" i="2" s="1"/>
  <c r="A685" i="2"/>
  <c r="C685" i="2" s="1"/>
  <c r="L684" i="2"/>
  <c r="K684" i="2"/>
  <c r="J684" i="2"/>
  <c r="I684" i="2"/>
  <c r="H684" i="2"/>
  <c r="G684" i="2"/>
  <c r="F684" i="2"/>
  <c r="A684" i="2"/>
  <c r="L683" i="2"/>
  <c r="K683" i="2"/>
  <c r="J683" i="2"/>
  <c r="I683" i="2"/>
  <c r="H683" i="2"/>
  <c r="G683" i="2"/>
  <c r="F683" i="2"/>
  <c r="A683" i="2"/>
  <c r="C683" i="2" s="1"/>
  <c r="L682" i="2"/>
  <c r="K682" i="2"/>
  <c r="J682" i="2"/>
  <c r="I682" i="2"/>
  <c r="H682" i="2"/>
  <c r="G682" i="2"/>
  <c r="F682" i="2"/>
  <c r="A682" i="2"/>
  <c r="L681" i="2"/>
  <c r="K681" i="2"/>
  <c r="J681" i="2"/>
  <c r="I681" i="2"/>
  <c r="H681" i="2"/>
  <c r="G681" i="2"/>
  <c r="F681" i="2"/>
  <c r="D681" i="2"/>
  <c r="E681" i="2" s="1"/>
  <c r="A681" i="2"/>
  <c r="C681" i="2" s="1"/>
  <c r="L680" i="2"/>
  <c r="K680" i="2"/>
  <c r="J680" i="2"/>
  <c r="I680" i="2"/>
  <c r="H680" i="2"/>
  <c r="G680" i="2"/>
  <c r="F680" i="2"/>
  <c r="A680" i="2"/>
  <c r="L679" i="2"/>
  <c r="K679" i="2"/>
  <c r="J679" i="2"/>
  <c r="I679" i="2"/>
  <c r="H679" i="2"/>
  <c r="G679" i="2"/>
  <c r="F679" i="2"/>
  <c r="D679" i="2"/>
  <c r="E679" i="2" s="1"/>
  <c r="A679" i="2"/>
  <c r="C679" i="2" s="1"/>
  <c r="L678" i="2"/>
  <c r="K678" i="2"/>
  <c r="J678" i="2"/>
  <c r="I678" i="2"/>
  <c r="H678" i="2"/>
  <c r="G678" i="2"/>
  <c r="F678" i="2"/>
  <c r="A678" i="2"/>
  <c r="L677" i="2"/>
  <c r="K677" i="2"/>
  <c r="J677" i="2"/>
  <c r="I677" i="2"/>
  <c r="H677" i="2"/>
  <c r="G677" i="2"/>
  <c r="F677" i="2"/>
  <c r="A677" i="2"/>
  <c r="C677" i="2" s="1"/>
  <c r="L676" i="2"/>
  <c r="K676" i="2"/>
  <c r="J676" i="2"/>
  <c r="I676" i="2"/>
  <c r="H676" i="2"/>
  <c r="G676" i="2"/>
  <c r="F676" i="2"/>
  <c r="A676" i="2"/>
  <c r="L675" i="2"/>
  <c r="K675" i="2"/>
  <c r="J675" i="2"/>
  <c r="I675" i="2"/>
  <c r="H675" i="2"/>
  <c r="G675" i="2"/>
  <c r="F675" i="2"/>
  <c r="A675" i="2"/>
  <c r="C675" i="2" s="1"/>
  <c r="L674" i="2"/>
  <c r="K674" i="2"/>
  <c r="J674" i="2"/>
  <c r="I674" i="2"/>
  <c r="H674" i="2"/>
  <c r="G674" i="2"/>
  <c r="F674" i="2"/>
  <c r="A674" i="2"/>
  <c r="L673" i="2"/>
  <c r="K673" i="2"/>
  <c r="J673" i="2"/>
  <c r="I673" i="2"/>
  <c r="H673" i="2"/>
  <c r="G673" i="2"/>
  <c r="F673" i="2"/>
  <c r="D673" i="2"/>
  <c r="E673" i="2" s="1"/>
  <c r="A673" i="2"/>
  <c r="C673" i="2" s="1"/>
  <c r="L672" i="2"/>
  <c r="K672" i="2"/>
  <c r="J672" i="2"/>
  <c r="I672" i="2"/>
  <c r="H672" i="2"/>
  <c r="G672" i="2"/>
  <c r="F672" i="2"/>
  <c r="A672" i="2"/>
  <c r="L671" i="2"/>
  <c r="K671" i="2"/>
  <c r="J671" i="2"/>
  <c r="I671" i="2"/>
  <c r="H671" i="2"/>
  <c r="G671" i="2"/>
  <c r="F671" i="2"/>
  <c r="A671" i="2"/>
  <c r="C671" i="2" s="1"/>
  <c r="L670" i="2"/>
  <c r="K670" i="2"/>
  <c r="J670" i="2"/>
  <c r="I670" i="2"/>
  <c r="H670" i="2"/>
  <c r="G670" i="2"/>
  <c r="F670" i="2"/>
  <c r="A670" i="2"/>
  <c r="L669" i="2"/>
  <c r="K669" i="2"/>
  <c r="J669" i="2"/>
  <c r="I669" i="2"/>
  <c r="H669" i="2"/>
  <c r="G669" i="2"/>
  <c r="F669" i="2"/>
  <c r="A669" i="2"/>
  <c r="C669" i="2" s="1"/>
  <c r="L668" i="2"/>
  <c r="K668" i="2"/>
  <c r="J668" i="2"/>
  <c r="I668" i="2"/>
  <c r="H668" i="2"/>
  <c r="G668" i="2"/>
  <c r="F668" i="2"/>
  <c r="A668" i="2"/>
  <c r="L667" i="2"/>
  <c r="K667" i="2"/>
  <c r="J667" i="2"/>
  <c r="I667" i="2"/>
  <c r="H667" i="2"/>
  <c r="G667" i="2"/>
  <c r="F667" i="2"/>
  <c r="E667" i="2"/>
  <c r="D667" i="2"/>
  <c r="A667" i="2"/>
  <c r="C667" i="2" s="1"/>
  <c r="L666" i="2"/>
  <c r="K666" i="2"/>
  <c r="J666" i="2"/>
  <c r="I666" i="2"/>
  <c r="H666" i="2"/>
  <c r="G666" i="2"/>
  <c r="F666" i="2"/>
  <c r="A666" i="2"/>
  <c r="L665" i="2"/>
  <c r="K665" i="2"/>
  <c r="J665" i="2"/>
  <c r="I665" i="2"/>
  <c r="H665" i="2"/>
  <c r="G665" i="2"/>
  <c r="F665" i="2"/>
  <c r="A665" i="2"/>
  <c r="C665" i="2" s="1"/>
  <c r="L664" i="2"/>
  <c r="K664" i="2"/>
  <c r="J664" i="2"/>
  <c r="I664" i="2"/>
  <c r="H664" i="2"/>
  <c r="G664" i="2"/>
  <c r="F664" i="2"/>
  <c r="A664" i="2"/>
  <c r="L663" i="2"/>
  <c r="K663" i="2"/>
  <c r="J663" i="2"/>
  <c r="I663" i="2"/>
  <c r="H663" i="2"/>
  <c r="G663" i="2"/>
  <c r="F663" i="2"/>
  <c r="D663" i="2"/>
  <c r="E663" i="2" s="1"/>
  <c r="A663" i="2"/>
  <c r="C663" i="2" s="1"/>
  <c r="L662" i="2"/>
  <c r="K662" i="2"/>
  <c r="J662" i="2"/>
  <c r="I662" i="2"/>
  <c r="H662" i="2"/>
  <c r="G662" i="2"/>
  <c r="F662" i="2"/>
  <c r="A662" i="2"/>
  <c r="L661" i="2"/>
  <c r="K661" i="2"/>
  <c r="J661" i="2"/>
  <c r="I661" i="2"/>
  <c r="H661" i="2"/>
  <c r="G661" i="2"/>
  <c r="F661" i="2"/>
  <c r="A661" i="2"/>
  <c r="C661" i="2" s="1"/>
  <c r="L660" i="2"/>
  <c r="K660" i="2"/>
  <c r="J660" i="2"/>
  <c r="I660" i="2"/>
  <c r="H660" i="2"/>
  <c r="G660" i="2"/>
  <c r="F660" i="2"/>
  <c r="A660" i="2"/>
  <c r="L659" i="2"/>
  <c r="K659" i="2"/>
  <c r="J659" i="2"/>
  <c r="I659" i="2"/>
  <c r="H659" i="2"/>
  <c r="G659" i="2"/>
  <c r="F659" i="2"/>
  <c r="A659" i="2"/>
  <c r="C659" i="2" s="1"/>
  <c r="L658" i="2"/>
  <c r="K658" i="2"/>
  <c r="J658" i="2"/>
  <c r="I658" i="2"/>
  <c r="H658" i="2"/>
  <c r="G658" i="2"/>
  <c r="F658" i="2"/>
  <c r="A658" i="2"/>
  <c r="L657" i="2"/>
  <c r="K657" i="2"/>
  <c r="J657" i="2"/>
  <c r="I657" i="2"/>
  <c r="H657" i="2"/>
  <c r="G657" i="2"/>
  <c r="F657" i="2"/>
  <c r="D657" i="2"/>
  <c r="E657" i="2" s="1"/>
  <c r="A657" i="2"/>
  <c r="C657" i="2" s="1"/>
  <c r="L656" i="2"/>
  <c r="K656" i="2"/>
  <c r="J656" i="2"/>
  <c r="I656" i="2"/>
  <c r="H656" i="2"/>
  <c r="G656" i="2"/>
  <c r="F656" i="2"/>
  <c r="A656" i="2"/>
  <c r="L655" i="2"/>
  <c r="K655" i="2"/>
  <c r="J655" i="2"/>
  <c r="I655" i="2"/>
  <c r="H655" i="2"/>
  <c r="G655" i="2"/>
  <c r="F655" i="2"/>
  <c r="D655" i="2"/>
  <c r="E655" i="2" s="1"/>
  <c r="A655" i="2"/>
  <c r="C655" i="2" s="1"/>
  <c r="L654" i="2"/>
  <c r="K654" i="2"/>
  <c r="J654" i="2"/>
  <c r="I654" i="2"/>
  <c r="H654" i="2"/>
  <c r="G654" i="2"/>
  <c r="F654" i="2"/>
  <c r="A654" i="2"/>
  <c r="L653" i="2"/>
  <c r="K653" i="2"/>
  <c r="J653" i="2"/>
  <c r="I653" i="2"/>
  <c r="H653" i="2"/>
  <c r="G653" i="2"/>
  <c r="F653" i="2"/>
  <c r="A653" i="2"/>
  <c r="C653" i="2" s="1"/>
  <c r="L652" i="2"/>
  <c r="K652" i="2"/>
  <c r="J652" i="2"/>
  <c r="I652" i="2"/>
  <c r="H652" i="2"/>
  <c r="G652" i="2"/>
  <c r="F652" i="2"/>
  <c r="A652" i="2"/>
  <c r="L651" i="2"/>
  <c r="K651" i="2"/>
  <c r="J651" i="2"/>
  <c r="I651" i="2"/>
  <c r="H651" i="2"/>
  <c r="G651" i="2"/>
  <c r="F651" i="2"/>
  <c r="A651" i="2"/>
  <c r="C651" i="2" s="1"/>
  <c r="L650" i="2"/>
  <c r="K650" i="2"/>
  <c r="J650" i="2"/>
  <c r="I650" i="2"/>
  <c r="H650" i="2"/>
  <c r="G650" i="2"/>
  <c r="F650" i="2"/>
  <c r="A650" i="2"/>
  <c r="L649" i="2"/>
  <c r="K649" i="2"/>
  <c r="J649" i="2"/>
  <c r="I649" i="2"/>
  <c r="H649" i="2"/>
  <c r="G649" i="2"/>
  <c r="F649" i="2"/>
  <c r="A649" i="2"/>
  <c r="C649" i="2" s="1"/>
  <c r="L648" i="2"/>
  <c r="K648" i="2"/>
  <c r="J648" i="2"/>
  <c r="I648" i="2"/>
  <c r="H648" i="2"/>
  <c r="G648" i="2"/>
  <c r="F648" i="2"/>
  <c r="A648" i="2"/>
  <c r="L647" i="2"/>
  <c r="K647" i="2"/>
  <c r="J647" i="2"/>
  <c r="I647" i="2"/>
  <c r="H647" i="2"/>
  <c r="G647" i="2"/>
  <c r="F647" i="2"/>
  <c r="A647" i="2"/>
  <c r="C647" i="2" s="1"/>
  <c r="L646" i="2"/>
  <c r="K646" i="2"/>
  <c r="J646" i="2"/>
  <c r="I646" i="2"/>
  <c r="H646" i="2"/>
  <c r="G646" i="2"/>
  <c r="F646" i="2"/>
  <c r="A646" i="2"/>
  <c r="L645" i="2"/>
  <c r="K645" i="2"/>
  <c r="J645" i="2"/>
  <c r="I645" i="2"/>
  <c r="H645" i="2"/>
  <c r="G645" i="2"/>
  <c r="F645" i="2"/>
  <c r="D645" i="2"/>
  <c r="E645" i="2" s="1"/>
  <c r="A645" i="2"/>
  <c r="C645" i="2" s="1"/>
  <c r="L644" i="2"/>
  <c r="K644" i="2"/>
  <c r="J644" i="2"/>
  <c r="I644" i="2"/>
  <c r="H644" i="2"/>
  <c r="G644" i="2"/>
  <c r="F644" i="2"/>
  <c r="A644" i="2"/>
  <c r="L643" i="2"/>
  <c r="K643" i="2"/>
  <c r="J643" i="2"/>
  <c r="I643" i="2"/>
  <c r="H643" i="2"/>
  <c r="G643" i="2"/>
  <c r="F643" i="2"/>
  <c r="A643" i="2"/>
  <c r="C643" i="2" s="1"/>
  <c r="L642" i="2"/>
  <c r="K642" i="2"/>
  <c r="J642" i="2"/>
  <c r="I642" i="2"/>
  <c r="H642" i="2"/>
  <c r="G642" i="2"/>
  <c r="F642" i="2"/>
  <c r="A642" i="2"/>
  <c r="L641" i="2"/>
  <c r="K641" i="2"/>
  <c r="J641" i="2"/>
  <c r="I641" i="2"/>
  <c r="H641" i="2"/>
  <c r="G641" i="2"/>
  <c r="F641" i="2"/>
  <c r="A641" i="2"/>
  <c r="C641" i="2" s="1"/>
  <c r="L640" i="2"/>
  <c r="K640" i="2"/>
  <c r="J640" i="2"/>
  <c r="I640" i="2"/>
  <c r="H640" i="2"/>
  <c r="G640" i="2"/>
  <c r="F640" i="2"/>
  <c r="A640" i="2"/>
  <c r="L639" i="2"/>
  <c r="K639" i="2"/>
  <c r="J639" i="2"/>
  <c r="I639" i="2"/>
  <c r="H639" i="2"/>
  <c r="G639" i="2"/>
  <c r="F639" i="2"/>
  <c r="D639" i="2"/>
  <c r="E639" i="2" s="1"/>
  <c r="A639" i="2"/>
  <c r="C639" i="2" s="1"/>
  <c r="L638" i="2"/>
  <c r="K638" i="2"/>
  <c r="J638" i="2"/>
  <c r="I638" i="2"/>
  <c r="H638" i="2"/>
  <c r="G638" i="2"/>
  <c r="F638" i="2"/>
  <c r="A638" i="2"/>
  <c r="L637" i="2"/>
  <c r="K637" i="2"/>
  <c r="J637" i="2"/>
  <c r="I637" i="2"/>
  <c r="H637" i="2"/>
  <c r="G637" i="2"/>
  <c r="F637" i="2"/>
  <c r="A637" i="2"/>
  <c r="C637" i="2" s="1"/>
  <c r="L636" i="2"/>
  <c r="K636" i="2"/>
  <c r="J636" i="2"/>
  <c r="I636" i="2"/>
  <c r="H636" i="2"/>
  <c r="G636" i="2"/>
  <c r="F636" i="2"/>
  <c r="A636" i="2"/>
  <c r="L635" i="2"/>
  <c r="K635" i="2"/>
  <c r="J635" i="2"/>
  <c r="I635" i="2"/>
  <c r="H635" i="2"/>
  <c r="G635" i="2"/>
  <c r="F635" i="2"/>
  <c r="E635" i="2"/>
  <c r="D635" i="2"/>
  <c r="A635" i="2"/>
  <c r="C635" i="2" s="1"/>
  <c r="L634" i="2"/>
  <c r="K634" i="2"/>
  <c r="J634" i="2"/>
  <c r="I634" i="2"/>
  <c r="H634" i="2"/>
  <c r="G634" i="2"/>
  <c r="F634" i="2"/>
  <c r="A634" i="2"/>
  <c r="L633" i="2"/>
  <c r="K633" i="2"/>
  <c r="J633" i="2"/>
  <c r="I633" i="2"/>
  <c r="H633" i="2"/>
  <c r="G633" i="2"/>
  <c r="F633" i="2"/>
  <c r="D633" i="2"/>
  <c r="E633" i="2" s="1"/>
  <c r="A633" i="2"/>
  <c r="C633" i="2" s="1"/>
  <c r="L632" i="2"/>
  <c r="K632" i="2"/>
  <c r="J632" i="2"/>
  <c r="I632" i="2"/>
  <c r="H632" i="2"/>
  <c r="G632" i="2"/>
  <c r="F632" i="2"/>
  <c r="A632" i="2"/>
  <c r="L631" i="2"/>
  <c r="K631" i="2"/>
  <c r="J631" i="2"/>
  <c r="I631" i="2"/>
  <c r="H631" i="2"/>
  <c r="G631" i="2"/>
  <c r="F631" i="2"/>
  <c r="A631" i="2"/>
  <c r="C631" i="2" s="1"/>
  <c r="L630" i="2"/>
  <c r="K630" i="2"/>
  <c r="J630" i="2"/>
  <c r="I630" i="2"/>
  <c r="H630" i="2"/>
  <c r="G630" i="2"/>
  <c r="F630" i="2"/>
  <c r="A630" i="2"/>
  <c r="L629" i="2"/>
  <c r="K629" i="2"/>
  <c r="J629" i="2"/>
  <c r="I629" i="2"/>
  <c r="H629" i="2"/>
  <c r="G629" i="2"/>
  <c r="F629" i="2"/>
  <c r="D629" i="2"/>
  <c r="E629" i="2" s="1"/>
  <c r="A629" i="2"/>
  <c r="C629" i="2" s="1"/>
  <c r="L628" i="2"/>
  <c r="K628" i="2"/>
  <c r="J628" i="2"/>
  <c r="I628" i="2"/>
  <c r="H628" i="2"/>
  <c r="G628" i="2"/>
  <c r="F628" i="2"/>
  <c r="A628" i="2"/>
  <c r="L627" i="2"/>
  <c r="K627" i="2"/>
  <c r="J627" i="2"/>
  <c r="I627" i="2"/>
  <c r="H627" i="2"/>
  <c r="G627" i="2"/>
  <c r="F627" i="2"/>
  <c r="A627" i="2"/>
  <c r="C627" i="2" s="1"/>
  <c r="L626" i="2"/>
  <c r="K626" i="2"/>
  <c r="J626" i="2"/>
  <c r="I626" i="2"/>
  <c r="H626" i="2"/>
  <c r="G626" i="2"/>
  <c r="F626" i="2"/>
  <c r="A626" i="2"/>
  <c r="L625" i="2"/>
  <c r="K625" i="2"/>
  <c r="J625" i="2"/>
  <c r="I625" i="2"/>
  <c r="H625" i="2"/>
  <c r="G625" i="2"/>
  <c r="F625" i="2"/>
  <c r="E625" i="2"/>
  <c r="D625" i="2"/>
  <c r="A625" i="2"/>
  <c r="C625" i="2" s="1"/>
  <c r="L624" i="2"/>
  <c r="K624" i="2"/>
  <c r="J624" i="2"/>
  <c r="I624" i="2"/>
  <c r="H624" i="2"/>
  <c r="G624" i="2"/>
  <c r="F624" i="2"/>
  <c r="A624" i="2"/>
  <c r="L623" i="2"/>
  <c r="K623" i="2"/>
  <c r="J623" i="2"/>
  <c r="I623" i="2"/>
  <c r="H623" i="2"/>
  <c r="G623" i="2"/>
  <c r="F623" i="2"/>
  <c r="A623" i="2"/>
  <c r="C623" i="2" s="1"/>
  <c r="L622" i="2"/>
  <c r="K622" i="2"/>
  <c r="J622" i="2"/>
  <c r="I622" i="2"/>
  <c r="H622" i="2"/>
  <c r="G622" i="2"/>
  <c r="F622" i="2"/>
  <c r="A622" i="2"/>
  <c r="L621" i="2"/>
  <c r="K621" i="2"/>
  <c r="J621" i="2"/>
  <c r="I621" i="2"/>
  <c r="H621" i="2"/>
  <c r="G621" i="2"/>
  <c r="F621" i="2"/>
  <c r="A621" i="2"/>
  <c r="C621" i="2" s="1"/>
  <c r="L620" i="2"/>
  <c r="K620" i="2"/>
  <c r="J620" i="2"/>
  <c r="I620" i="2"/>
  <c r="H620" i="2"/>
  <c r="G620" i="2"/>
  <c r="F620" i="2"/>
  <c r="A620" i="2"/>
  <c r="L619" i="2"/>
  <c r="K619" i="2"/>
  <c r="J619" i="2"/>
  <c r="I619" i="2"/>
  <c r="H619" i="2"/>
  <c r="G619" i="2"/>
  <c r="F619" i="2"/>
  <c r="A619" i="2"/>
  <c r="C619" i="2" s="1"/>
  <c r="L618" i="2"/>
  <c r="K618" i="2"/>
  <c r="J618" i="2"/>
  <c r="I618" i="2"/>
  <c r="H618" i="2"/>
  <c r="G618" i="2"/>
  <c r="F618" i="2"/>
  <c r="A618" i="2"/>
  <c r="L617" i="2"/>
  <c r="K617" i="2"/>
  <c r="J617" i="2"/>
  <c r="I617" i="2"/>
  <c r="H617" i="2"/>
  <c r="G617" i="2"/>
  <c r="F617" i="2"/>
  <c r="D617" i="2"/>
  <c r="E617" i="2" s="1"/>
  <c r="A617" i="2"/>
  <c r="C617" i="2" s="1"/>
  <c r="L616" i="2"/>
  <c r="K616" i="2"/>
  <c r="J616" i="2"/>
  <c r="I616" i="2"/>
  <c r="H616" i="2"/>
  <c r="G616" i="2"/>
  <c r="F616" i="2"/>
  <c r="A616" i="2"/>
  <c r="L615" i="2"/>
  <c r="K615" i="2"/>
  <c r="J615" i="2"/>
  <c r="I615" i="2"/>
  <c r="H615" i="2"/>
  <c r="G615" i="2"/>
  <c r="F615" i="2"/>
  <c r="D615" i="2"/>
  <c r="E615" i="2" s="1"/>
  <c r="A615" i="2"/>
  <c r="C615" i="2" s="1"/>
  <c r="L614" i="2"/>
  <c r="K614" i="2"/>
  <c r="J614" i="2"/>
  <c r="I614" i="2"/>
  <c r="H614" i="2"/>
  <c r="G614" i="2"/>
  <c r="F614" i="2"/>
  <c r="A614" i="2"/>
  <c r="L613" i="2"/>
  <c r="K613" i="2"/>
  <c r="J613" i="2"/>
  <c r="I613" i="2"/>
  <c r="H613" i="2"/>
  <c r="G613" i="2"/>
  <c r="F613" i="2"/>
  <c r="A613" i="2"/>
  <c r="C613" i="2" s="1"/>
  <c r="L612" i="2"/>
  <c r="K612" i="2"/>
  <c r="J612" i="2"/>
  <c r="I612" i="2"/>
  <c r="H612" i="2"/>
  <c r="G612" i="2"/>
  <c r="F612" i="2"/>
  <c r="A612" i="2"/>
  <c r="L611" i="2"/>
  <c r="K611" i="2"/>
  <c r="J611" i="2"/>
  <c r="I611" i="2"/>
  <c r="H611" i="2"/>
  <c r="G611" i="2"/>
  <c r="F611" i="2"/>
  <c r="A611" i="2"/>
  <c r="C611" i="2" s="1"/>
  <c r="L610" i="2"/>
  <c r="K610" i="2"/>
  <c r="J610" i="2"/>
  <c r="I610" i="2"/>
  <c r="H610" i="2"/>
  <c r="G610" i="2"/>
  <c r="F610" i="2"/>
  <c r="A610" i="2"/>
  <c r="L609" i="2"/>
  <c r="K609" i="2"/>
  <c r="J609" i="2"/>
  <c r="I609" i="2"/>
  <c r="H609" i="2"/>
  <c r="G609" i="2"/>
  <c r="F609" i="2"/>
  <c r="A609" i="2"/>
  <c r="C609" i="2" s="1"/>
  <c r="L608" i="2"/>
  <c r="K608" i="2"/>
  <c r="J608" i="2"/>
  <c r="I608" i="2"/>
  <c r="H608" i="2"/>
  <c r="G608" i="2"/>
  <c r="F608" i="2"/>
  <c r="A608" i="2"/>
  <c r="L607" i="2"/>
  <c r="K607" i="2"/>
  <c r="J607" i="2"/>
  <c r="I607" i="2"/>
  <c r="H607" i="2"/>
  <c r="G607" i="2"/>
  <c r="F607" i="2"/>
  <c r="A607" i="2"/>
  <c r="C607" i="2" s="1"/>
  <c r="L606" i="2"/>
  <c r="K606" i="2"/>
  <c r="J606" i="2"/>
  <c r="I606" i="2"/>
  <c r="H606" i="2"/>
  <c r="G606" i="2"/>
  <c r="F606" i="2"/>
  <c r="A606" i="2"/>
  <c r="L605" i="2"/>
  <c r="K605" i="2"/>
  <c r="J605" i="2"/>
  <c r="I605" i="2"/>
  <c r="H605" i="2"/>
  <c r="G605" i="2"/>
  <c r="F605" i="2"/>
  <c r="E605" i="2"/>
  <c r="D605" i="2"/>
  <c r="A605" i="2"/>
  <c r="C605" i="2" s="1"/>
  <c r="L604" i="2"/>
  <c r="K604" i="2"/>
  <c r="J604" i="2"/>
  <c r="I604" i="2"/>
  <c r="H604" i="2"/>
  <c r="G604" i="2"/>
  <c r="F604" i="2"/>
  <c r="A604" i="2"/>
  <c r="L603" i="2"/>
  <c r="K603" i="2"/>
  <c r="J603" i="2"/>
  <c r="I603" i="2"/>
  <c r="H603" i="2"/>
  <c r="G603" i="2"/>
  <c r="F603" i="2"/>
  <c r="D603" i="2"/>
  <c r="E603" i="2" s="1"/>
  <c r="A603" i="2"/>
  <c r="C603" i="2" s="1"/>
  <c r="L602" i="2"/>
  <c r="K602" i="2"/>
  <c r="J602" i="2"/>
  <c r="I602" i="2"/>
  <c r="H602" i="2"/>
  <c r="G602" i="2"/>
  <c r="F602" i="2"/>
  <c r="A602" i="2"/>
  <c r="L601" i="2"/>
  <c r="K601" i="2"/>
  <c r="J601" i="2"/>
  <c r="I601" i="2"/>
  <c r="H601" i="2"/>
  <c r="G601" i="2"/>
  <c r="F601" i="2"/>
  <c r="D601" i="2"/>
  <c r="E601" i="2" s="1"/>
  <c r="A601" i="2"/>
  <c r="C601" i="2" s="1"/>
  <c r="L600" i="2"/>
  <c r="K600" i="2"/>
  <c r="J600" i="2"/>
  <c r="I600" i="2"/>
  <c r="H600" i="2"/>
  <c r="G600" i="2"/>
  <c r="F600" i="2"/>
  <c r="A600" i="2"/>
  <c r="L599" i="2"/>
  <c r="K599" i="2"/>
  <c r="J599" i="2"/>
  <c r="I599" i="2"/>
  <c r="H599" i="2"/>
  <c r="G599" i="2"/>
  <c r="F599" i="2"/>
  <c r="A599" i="2"/>
  <c r="C599" i="2" s="1"/>
  <c r="L598" i="2"/>
  <c r="K598" i="2"/>
  <c r="J598" i="2"/>
  <c r="I598" i="2"/>
  <c r="H598" i="2"/>
  <c r="G598" i="2"/>
  <c r="F598" i="2"/>
  <c r="A598" i="2"/>
  <c r="L597" i="2"/>
  <c r="K597" i="2"/>
  <c r="J597" i="2"/>
  <c r="I597" i="2"/>
  <c r="H597" i="2"/>
  <c r="G597" i="2"/>
  <c r="F597" i="2"/>
  <c r="D597" i="2"/>
  <c r="E597" i="2" s="1"/>
  <c r="A597" i="2"/>
  <c r="C597" i="2" s="1"/>
  <c r="L596" i="2"/>
  <c r="K596" i="2"/>
  <c r="J596" i="2"/>
  <c r="I596" i="2"/>
  <c r="H596" i="2"/>
  <c r="G596" i="2"/>
  <c r="F596" i="2"/>
  <c r="A596" i="2"/>
  <c r="L595" i="2"/>
  <c r="K595" i="2"/>
  <c r="J595" i="2"/>
  <c r="I595" i="2"/>
  <c r="H595" i="2"/>
  <c r="G595" i="2"/>
  <c r="F595" i="2"/>
  <c r="A595" i="2"/>
  <c r="C595" i="2" s="1"/>
  <c r="L594" i="2"/>
  <c r="K594" i="2"/>
  <c r="J594" i="2"/>
  <c r="I594" i="2"/>
  <c r="H594" i="2"/>
  <c r="G594" i="2"/>
  <c r="F594" i="2"/>
  <c r="A594" i="2"/>
  <c r="L593" i="2"/>
  <c r="K593" i="2"/>
  <c r="J593" i="2"/>
  <c r="I593" i="2"/>
  <c r="H593" i="2"/>
  <c r="G593" i="2"/>
  <c r="F593" i="2"/>
  <c r="A593" i="2"/>
  <c r="C593" i="2" s="1"/>
  <c r="L592" i="2"/>
  <c r="K592" i="2"/>
  <c r="J592" i="2"/>
  <c r="I592" i="2"/>
  <c r="H592" i="2"/>
  <c r="G592" i="2"/>
  <c r="F592" i="2"/>
  <c r="A592" i="2"/>
  <c r="L591" i="2"/>
  <c r="K591" i="2"/>
  <c r="J591" i="2"/>
  <c r="I591" i="2"/>
  <c r="H591" i="2"/>
  <c r="G591" i="2"/>
  <c r="F591" i="2"/>
  <c r="D591" i="2"/>
  <c r="E591" i="2" s="1"/>
  <c r="A591" i="2"/>
  <c r="C591" i="2" s="1"/>
  <c r="L590" i="2"/>
  <c r="K590" i="2"/>
  <c r="J590" i="2"/>
  <c r="I590" i="2"/>
  <c r="H590" i="2"/>
  <c r="G590" i="2"/>
  <c r="F590" i="2"/>
  <c r="A590" i="2"/>
  <c r="L589" i="2"/>
  <c r="K589" i="2"/>
  <c r="J589" i="2"/>
  <c r="I589" i="2"/>
  <c r="H589" i="2"/>
  <c r="G589" i="2"/>
  <c r="F589" i="2"/>
  <c r="A589" i="2"/>
  <c r="C589" i="2" s="1"/>
  <c r="L588" i="2"/>
  <c r="K588" i="2"/>
  <c r="J588" i="2"/>
  <c r="I588" i="2"/>
  <c r="H588" i="2"/>
  <c r="G588" i="2"/>
  <c r="F588" i="2"/>
  <c r="A588" i="2"/>
  <c r="L587" i="2"/>
  <c r="K587" i="2"/>
  <c r="J587" i="2"/>
  <c r="I587" i="2"/>
  <c r="H587" i="2"/>
  <c r="G587" i="2"/>
  <c r="F587" i="2"/>
  <c r="D587" i="2"/>
  <c r="E587" i="2" s="1"/>
  <c r="A587" i="2"/>
  <c r="C587" i="2" s="1"/>
  <c r="L586" i="2"/>
  <c r="K586" i="2"/>
  <c r="J586" i="2"/>
  <c r="I586" i="2"/>
  <c r="H586" i="2"/>
  <c r="G586" i="2"/>
  <c r="F586" i="2"/>
  <c r="A586" i="2"/>
  <c r="L585" i="2"/>
  <c r="K585" i="2"/>
  <c r="J585" i="2"/>
  <c r="I585" i="2"/>
  <c r="H585" i="2"/>
  <c r="G585" i="2"/>
  <c r="F585" i="2"/>
  <c r="A585" i="2"/>
  <c r="C585" i="2" s="1"/>
  <c r="L584" i="2"/>
  <c r="K584" i="2"/>
  <c r="J584" i="2"/>
  <c r="I584" i="2"/>
  <c r="H584" i="2"/>
  <c r="G584" i="2"/>
  <c r="F584" i="2"/>
  <c r="A584" i="2"/>
  <c r="L583" i="2"/>
  <c r="K583" i="2"/>
  <c r="J583" i="2"/>
  <c r="I583" i="2"/>
  <c r="H583" i="2"/>
  <c r="G583" i="2"/>
  <c r="F583" i="2"/>
  <c r="D583" i="2"/>
  <c r="E583" i="2" s="1"/>
  <c r="A583" i="2"/>
  <c r="C583" i="2" s="1"/>
  <c r="L582" i="2"/>
  <c r="K582" i="2"/>
  <c r="J582" i="2"/>
  <c r="I582" i="2"/>
  <c r="H582" i="2"/>
  <c r="G582" i="2"/>
  <c r="F582" i="2"/>
  <c r="A582" i="2"/>
  <c r="L581" i="2"/>
  <c r="K581" i="2"/>
  <c r="J581" i="2"/>
  <c r="I581" i="2"/>
  <c r="H581" i="2"/>
  <c r="G581" i="2"/>
  <c r="F581" i="2"/>
  <c r="A581" i="2"/>
  <c r="L580" i="2"/>
  <c r="K580" i="2"/>
  <c r="J580" i="2"/>
  <c r="I580" i="2"/>
  <c r="H580" i="2"/>
  <c r="G580" i="2"/>
  <c r="F580" i="2"/>
  <c r="A580" i="2"/>
  <c r="L579" i="2"/>
  <c r="K579" i="2"/>
  <c r="J579" i="2"/>
  <c r="I579" i="2"/>
  <c r="H579" i="2"/>
  <c r="G579" i="2"/>
  <c r="F579" i="2"/>
  <c r="A579" i="2"/>
  <c r="D579" i="2" s="1"/>
  <c r="E579" i="2" s="1"/>
  <c r="L578" i="2"/>
  <c r="K578" i="2"/>
  <c r="J578" i="2"/>
  <c r="I578" i="2"/>
  <c r="H578" i="2"/>
  <c r="G578" i="2"/>
  <c r="F578" i="2"/>
  <c r="A578" i="2"/>
  <c r="L577" i="2"/>
  <c r="K577" i="2"/>
  <c r="J577" i="2"/>
  <c r="I577" i="2"/>
  <c r="H577" i="2"/>
  <c r="G577" i="2"/>
  <c r="F577" i="2"/>
  <c r="A577" i="2"/>
  <c r="L576" i="2"/>
  <c r="K576" i="2"/>
  <c r="J576" i="2"/>
  <c r="I576" i="2"/>
  <c r="H576" i="2"/>
  <c r="G576" i="2"/>
  <c r="F576" i="2"/>
  <c r="A576" i="2"/>
  <c r="L575" i="2"/>
  <c r="K575" i="2"/>
  <c r="J575" i="2"/>
  <c r="I575" i="2"/>
  <c r="H575" i="2"/>
  <c r="G575" i="2"/>
  <c r="F575" i="2"/>
  <c r="D575" i="2"/>
  <c r="E575" i="2" s="1"/>
  <c r="A575" i="2"/>
  <c r="L574" i="2"/>
  <c r="K574" i="2"/>
  <c r="J574" i="2"/>
  <c r="I574" i="2"/>
  <c r="H574" i="2"/>
  <c r="G574" i="2"/>
  <c r="F574" i="2"/>
  <c r="A574" i="2"/>
  <c r="L573" i="2"/>
  <c r="K573" i="2"/>
  <c r="J573" i="2"/>
  <c r="I573" i="2"/>
  <c r="H573" i="2"/>
  <c r="G573" i="2"/>
  <c r="F573" i="2"/>
  <c r="A573" i="2"/>
  <c r="L572" i="2"/>
  <c r="K572" i="2"/>
  <c r="J572" i="2"/>
  <c r="I572" i="2"/>
  <c r="H572" i="2"/>
  <c r="G572" i="2"/>
  <c r="F572" i="2"/>
  <c r="A572" i="2"/>
  <c r="D572" i="2" s="1"/>
  <c r="E572" i="2" s="1"/>
  <c r="L571" i="2"/>
  <c r="K571" i="2"/>
  <c r="J571" i="2"/>
  <c r="I571" i="2"/>
  <c r="H571" i="2"/>
  <c r="G571" i="2"/>
  <c r="F571" i="2"/>
  <c r="D571" i="2"/>
  <c r="E571" i="2" s="1"/>
  <c r="A571" i="2"/>
  <c r="C571" i="2" s="1"/>
  <c r="L570" i="2"/>
  <c r="K570" i="2"/>
  <c r="J570" i="2"/>
  <c r="I570" i="2"/>
  <c r="H570" i="2"/>
  <c r="G570" i="2"/>
  <c r="F570" i="2"/>
  <c r="A570" i="2"/>
  <c r="L569" i="2"/>
  <c r="K569" i="2"/>
  <c r="J569" i="2"/>
  <c r="I569" i="2"/>
  <c r="H569" i="2"/>
  <c r="G569" i="2"/>
  <c r="F569" i="2"/>
  <c r="A569" i="2" s="1"/>
  <c r="L568" i="2"/>
  <c r="K568" i="2"/>
  <c r="J568" i="2"/>
  <c r="I568" i="2"/>
  <c r="H568" i="2"/>
  <c r="G568" i="2"/>
  <c r="F568" i="2"/>
  <c r="B568" i="2"/>
  <c r="A568" i="2"/>
  <c r="L567" i="2"/>
  <c r="K567" i="2"/>
  <c r="J567" i="2"/>
  <c r="I567" i="2"/>
  <c r="H567" i="2"/>
  <c r="G567" i="2"/>
  <c r="F567" i="2"/>
  <c r="A567" i="2" s="1"/>
  <c r="B567" i="2" s="1"/>
  <c r="C567" i="2"/>
  <c r="L566" i="2"/>
  <c r="K566" i="2"/>
  <c r="J566" i="2"/>
  <c r="I566" i="2"/>
  <c r="H566" i="2"/>
  <c r="G566" i="2"/>
  <c r="F566" i="2"/>
  <c r="A566" i="2"/>
  <c r="L565" i="2"/>
  <c r="K565" i="2"/>
  <c r="J565" i="2"/>
  <c r="I565" i="2"/>
  <c r="H565" i="2"/>
  <c r="G565" i="2"/>
  <c r="F565" i="2"/>
  <c r="A565" i="2" s="1"/>
  <c r="B565" i="2" s="1"/>
  <c r="C565" i="2"/>
  <c r="L564" i="2"/>
  <c r="K564" i="2"/>
  <c r="J564" i="2"/>
  <c r="I564" i="2"/>
  <c r="H564" i="2"/>
  <c r="G564" i="2"/>
  <c r="F564" i="2"/>
  <c r="B564" i="2"/>
  <c r="A564" i="2"/>
  <c r="L563" i="2"/>
  <c r="K563" i="2"/>
  <c r="J563" i="2"/>
  <c r="I563" i="2"/>
  <c r="H563" i="2"/>
  <c r="G563" i="2"/>
  <c r="F563" i="2"/>
  <c r="A563" i="2" s="1"/>
  <c r="L562" i="2"/>
  <c r="K562" i="2"/>
  <c r="J562" i="2"/>
  <c r="I562" i="2"/>
  <c r="H562" i="2"/>
  <c r="G562" i="2"/>
  <c r="F562" i="2"/>
  <c r="A562" i="2"/>
  <c r="L561" i="2"/>
  <c r="K561" i="2"/>
  <c r="J561" i="2"/>
  <c r="I561" i="2"/>
  <c r="H561" i="2"/>
  <c r="G561" i="2"/>
  <c r="F561" i="2"/>
  <c r="A561" i="2" s="1"/>
  <c r="B561" i="2" s="1"/>
  <c r="L560" i="2"/>
  <c r="K560" i="2"/>
  <c r="J560" i="2"/>
  <c r="I560" i="2"/>
  <c r="H560" i="2"/>
  <c r="G560" i="2"/>
  <c r="F560" i="2"/>
  <c r="A560" i="2"/>
  <c r="B560" i="2" s="1"/>
  <c r="L559" i="2"/>
  <c r="K559" i="2"/>
  <c r="J559" i="2"/>
  <c r="I559" i="2"/>
  <c r="H559" i="2"/>
  <c r="G559" i="2"/>
  <c r="F559" i="2"/>
  <c r="A559" i="2" s="1"/>
  <c r="L558" i="2"/>
  <c r="K558" i="2"/>
  <c r="J558" i="2"/>
  <c r="I558" i="2"/>
  <c r="H558" i="2"/>
  <c r="G558" i="2"/>
  <c r="F558" i="2"/>
  <c r="A558" i="2"/>
  <c r="L557" i="2"/>
  <c r="K557" i="2"/>
  <c r="J557" i="2"/>
  <c r="I557" i="2"/>
  <c r="H557" i="2"/>
  <c r="G557" i="2"/>
  <c r="F557" i="2"/>
  <c r="A557" i="2" s="1"/>
  <c r="B557" i="2" s="1"/>
  <c r="D557" i="2"/>
  <c r="E557" i="2" s="1"/>
  <c r="L556" i="2"/>
  <c r="K556" i="2"/>
  <c r="J556" i="2"/>
  <c r="I556" i="2"/>
  <c r="H556" i="2"/>
  <c r="G556" i="2"/>
  <c r="F556" i="2"/>
  <c r="A556" i="2"/>
  <c r="B556" i="2" s="1"/>
  <c r="L555" i="2"/>
  <c r="K555" i="2"/>
  <c r="J555" i="2"/>
  <c r="I555" i="2"/>
  <c r="H555" i="2"/>
  <c r="G555" i="2"/>
  <c r="F555" i="2"/>
  <c r="A555" i="2" s="1"/>
  <c r="B555" i="2" s="1"/>
  <c r="D555" i="2"/>
  <c r="E555" i="2" s="1"/>
  <c r="C555" i="2"/>
  <c r="L554" i="2"/>
  <c r="K554" i="2"/>
  <c r="J554" i="2"/>
  <c r="I554" i="2"/>
  <c r="H554" i="2"/>
  <c r="G554" i="2"/>
  <c r="F554" i="2"/>
  <c r="A554" i="2"/>
  <c r="L553" i="2"/>
  <c r="K553" i="2"/>
  <c r="J553" i="2"/>
  <c r="I553" i="2"/>
  <c r="H553" i="2"/>
  <c r="G553" i="2"/>
  <c r="F553" i="2"/>
  <c r="A553" i="2" s="1"/>
  <c r="L552" i="2"/>
  <c r="K552" i="2"/>
  <c r="J552" i="2"/>
  <c r="I552" i="2"/>
  <c r="H552" i="2"/>
  <c r="G552" i="2"/>
  <c r="F552" i="2"/>
  <c r="B552" i="2"/>
  <c r="A552" i="2"/>
  <c r="L551" i="2"/>
  <c r="K551" i="2"/>
  <c r="J551" i="2"/>
  <c r="I551" i="2"/>
  <c r="H551" i="2"/>
  <c r="G551" i="2"/>
  <c r="F551" i="2"/>
  <c r="A551" i="2" s="1"/>
  <c r="B551" i="2" s="1"/>
  <c r="L550" i="2"/>
  <c r="K550" i="2"/>
  <c r="J550" i="2"/>
  <c r="I550" i="2"/>
  <c r="H550" i="2"/>
  <c r="G550" i="2"/>
  <c r="F550" i="2"/>
  <c r="A550" i="2"/>
  <c r="L549" i="2"/>
  <c r="K549" i="2"/>
  <c r="J549" i="2"/>
  <c r="I549" i="2"/>
  <c r="H549" i="2"/>
  <c r="G549" i="2"/>
  <c r="F549" i="2"/>
  <c r="A549" i="2" s="1"/>
  <c r="B549" i="2" s="1"/>
  <c r="C549" i="2"/>
  <c r="L548" i="2"/>
  <c r="K548" i="2"/>
  <c r="J548" i="2"/>
  <c r="I548" i="2"/>
  <c r="H548" i="2"/>
  <c r="G548" i="2"/>
  <c r="F548" i="2"/>
  <c r="B548" i="2"/>
  <c r="A548" i="2"/>
  <c r="L547" i="2"/>
  <c r="K547" i="2"/>
  <c r="J547" i="2"/>
  <c r="I547" i="2"/>
  <c r="H547" i="2"/>
  <c r="G547" i="2"/>
  <c r="F547" i="2"/>
  <c r="A547" i="2" s="1"/>
  <c r="L546" i="2"/>
  <c r="K546" i="2"/>
  <c r="J546" i="2"/>
  <c r="I546" i="2"/>
  <c r="H546" i="2"/>
  <c r="G546" i="2"/>
  <c r="F546" i="2"/>
  <c r="A546" i="2"/>
  <c r="L545" i="2"/>
  <c r="K545" i="2"/>
  <c r="J545" i="2"/>
  <c r="I545" i="2"/>
  <c r="H545" i="2"/>
  <c r="G545" i="2"/>
  <c r="F545" i="2"/>
  <c r="A545" i="2" s="1"/>
  <c r="B545" i="2" s="1"/>
  <c r="D545" i="2"/>
  <c r="E545" i="2" s="1"/>
  <c r="L544" i="2"/>
  <c r="K544" i="2"/>
  <c r="J544" i="2"/>
  <c r="I544" i="2"/>
  <c r="H544" i="2"/>
  <c r="G544" i="2"/>
  <c r="F544" i="2"/>
  <c r="A544" i="2"/>
  <c r="L543" i="2"/>
  <c r="K543" i="2"/>
  <c r="J543" i="2"/>
  <c r="I543" i="2"/>
  <c r="H543" i="2"/>
  <c r="G543" i="2"/>
  <c r="F543" i="2"/>
  <c r="A543" i="2" s="1"/>
  <c r="D543" i="2" s="1"/>
  <c r="E543" i="2" s="1"/>
  <c r="L542" i="2"/>
  <c r="K542" i="2"/>
  <c r="J542" i="2"/>
  <c r="I542" i="2"/>
  <c r="H542" i="2"/>
  <c r="G542" i="2"/>
  <c r="F542" i="2"/>
  <c r="A542" i="2"/>
  <c r="L541" i="2"/>
  <c r="K541" i="2"/>
  <c r="J541" i="2"/>
  <c r="I541" i="2"/>
  <c r="H541" i="2"/>
  <c r="G541" i="2"/>
  <c r="F541" i="2"/>
  <c r="A541" i="2" s="1"/>
  <c r="B541" i="2" s="1"/>
  <c r="L540" i="2"/>
  <c r="K540" i="2"/>
  <c r="J540" i="2"/>
  <c r="I540" i="2"/>
  <c r="H540" i="2"/>
  <c r="G540" i="2"/>
  <c r="F540" i="2"/>
  <c r="A540" i="2"/>
  <c r="L539" i="2"/>
  <c r="K539" i="2"/>
  <c r="J539" i="2"/>
  <c r="I539" i="2"/>
  <c r="H539" i="2"/>
  <c r="G539" i="2"/>
  <c r="F539" i="2"/>
  <c r="A539" i="2" s="1"/>
  <c r="B539" i="2" s="1"/>
  <c r="D539" i="2"/>
  <c r="E539" i="2" s="1"/>
  <c r="L538" i="2"/>
  <c r="K538" i="2"/>
  <c r="J538" i="2"/>
  <c r="I538" i="2"/>
  <c r="H538" i="2"/>
  <c r="G538" i="2"/>
  <c r="F538" i="2"/>
  <c r="A538" i="2"/>
  <c r="L537" i="2"/>
  <c r="K537" i="2"/>
  <c r="J537" i="2"/>
  <c r="I537" i="2"/>
  <c r="H537" i="2"/>
  <c r="G537" i="2"/>
  <c r="F537" i="2"/>
  <c r="A537" i="2" s="1"/>
  <c r="L536" i="2"/>
  <c r="K536" i="2"/>
  <c r="J536" i="2"/>
  <c r="I536" i="2"/>
  <c r="H536" i="2"/>
  <c r="G536" i="2"/>
  <c r="F536" i="2"/>
  <c r="B536" i="2"/>
  <c r="A536" i="2"/>
  <c r="L535" i="2"/>
  <c r="K535" i="2"/>
  <c r="J535" i="2"/>
  <c r="I535" i="2"/>
  <c r="H535" i="2"/>
  <c r="G535" i="2"/>
  <c r="F535" i="2"/>
  <c r="A535" i="2" s="1"/>
  <c r="B535" i="2" s="1"/>
  <c r="C535" i="2"/>
  <c r="L534" i="2"/>
  <c r="K534" i="2"/>
  <c r="J534" i="2"/>
  <c r="I534" i="2"/>
  <c r="H534" i="2"/>
  <c r="G534" i="2"/>
  <c r="F534" i="2"/>
  <c r="B534" i="2"/>
  <c r="A534" i="2"/>
  <c r="L533" i="2"/>
  <c r="K533" i="2"/>
  <c r="J533" i="2"/>
  <c r="I533" i="2"/>
  <c r="H533" i="2"/>
  <c r="G533" i="2"/>
  <c r="F533" i="2"/>
  <c r="A533" i="2" s="1"/>
  <c r="L532" i="2"/>
  <c r="K532" i="2"/>
  <c r="J532" i="2"/>
  <c r="I532" i="2"/>
  <c r="H532" i="2"/>
  <c r="G532" i="2"/>
  <c r="F532" i="2"/>
  <c r="B532" i="2"/>
  <c r="A532" i="2"/>
  <c r="L531" i="2"/>
  <c r="K531" i="2"/>
  <c r="J531" i="2"/>
  <c r="I531" i="2"/>
  <c r="H531" i="2"/>
  <c r="G531" i="2"/>
  <c r="F531" i="2"/>
  <c r="A531" i="2" s="1"/>
  <c r="L530" i="2"/>
  <c r="K530" i="2"/>
  <c r="J530" i="2"/>
  <c r="I530" i="2"/>
  <c r="H530" i="2"/>
  <c r="G530" i="2"/>
  <c r="F530" i="2"/>
  <c r="A530" i="2"/>
  <c r="L529" i="2"/>
  <c r="K529" i="2"/>
  <c r="J529" i="2"/>
  <c r="I529" i="2"/>
  <c r="H529" i="2"/>
  <c r="G529" i="2"/>
  <c r="F529" i="2"/>
  <c r="A529" i="2" s="1"/>
  <c r="B529" i="2" s="1"/>
  <c r="E529" i="2"/>
  <c r="D529" i="2"/>
  <c r="C529" i="2"/>
  <c r="L528" i="2"/>
  <c r="K528" i="2"/>
  <c r="J528" i="2"/>
  <c r="I528" i="2"/>
  <c r="H528" i="2"/>
  <c r="G528" i="2"/>
  <c r="F528" i="2"/>
  <c r="A528" i="2"/>
  <c r="L527" i="2"/>
  <c r="K527" i="2"/>
  <c r="J527" i="2"/>
  <c r="I527" i="2"/>
  <c r="H527" i="2"/>
  <c r="G527" i="2"/>
  <c r="F527" i="2"/>
  <c r="A527" i="2" s="1"/>
  <c r="D527" i="2" s="1"/>
  <c r="E527" i="2" s="1"/>
  <c r="L526" i="2"/>
  <c r="K526" i="2"/>
  <c r="J526" i="2"/>
  <c r="I526" i="2"/>
  <c r="H526" i="2"/>
  <c r="G526" i="2"/>
  <c r="F526" i="2"/>
  <c r="A526" i="2"/>
  <c r="L525" i="2"/>
  <c r="K525" i="2"/>
  <c r="J525" i="2"/>
  <c r="I525" i="2"/>
  <c r="H525" i="2"/>
  <c r="G525" i="2"/>
  <c r="F525" i="2"/>
  <c r="A525" i="2" s="1"/>
  <c r="B525" i="2" s="1"/>
  <c r="D525" i="2"/>
  <c r="E525" i="2" s="1"/>
  <c r="L524" i="2"/>
  <c r="K524" i="2"/>
  <c r="J524" i="2"/>
  <c r="I524" i="2"/>
  <c r="H524" i="2"/>
  <c r="G524" i="2"/>
  <c r="F524" i="2"/>
  <c r="A524" i="2"/>
  <c r="L523" i="2"/>
  <c r="K523" i="2"/>
  <c r="J523" i="2"/>
  <c r="I523" i="2"/>
  <c r="H523" i="2"/>
  <c r="G523" i="2"/>
  <c r="F523" i="2"/>
  <c r="A523" i="2" s="1"/>
  <c r="B523" i="2" s="1"/>
  <c r="L522" i="2"/>
  <c r="K522" i="2"/>
  <c r="J522" i="2"/>
  <c r="I522" i="2"/>
  <c r="H522" i="2"/>
  <c r="G522" i="2"/>
  <c r="F522" i="2"/>
  <c r="A522" i="2"/>
  <c r="L521" i="2"/>
  <c r="K521" i="2"/>
  <c r="J521" i="2"/>
  <c r="I521" i="2"/>
  <c r="H521" i="2"/>
  <c r="G521" i="2"/>
  <c r="F521" i="2"/>
  <c r="A521" i="2" s="1"/>
  <c r="L520" i="2"/>
  <c r="K520" i="2"/>
  <c r="J520" i="2"/>
  <c r="I520" i="2"/>
  <c r="H520" i="2"/>
  <c r="G520" i="2"/>
  <c r="F520" i="2"/>
  <c r="B520" i="2"/>
  <c r="A520" i="2"/>
  <c r="L519" i="2"/>
  <c r="K519" i="2"/>
  <c r="J519" i="2"/>
  <c r="I519" i="2"/>
  <c r="H519" i="2"/>
  <c r="G519" i="2"/>
  <c r="F519" i="2"/>
  <c r="A519" i="2" s="1"/>
  <c r="B519" i="2" s="1"/>
  <c r="C519" i="2"/>
  <c r="L518" i="2"/>
  <c r="K518" i="2"/>
  <c r="J518" i="2"/>
  <c r="I518" i="2"/>
  <c r="H518" i="2"/>
  <c r="G518" i="2"/>
  <c r="F518" i="2"/>
  <c r="A518" i="2"/>
  <c r="L517" i="2"/>
  <c r="K517" i="2"/>
  <c r="J517" i="2"/>
  <c r="I517" i="2"/>
  <c r="H517" i="2"/>
  <c r="G517" i="2"/>
  <c r="F517" i="2"/>
  <c r="A517" i="2" s="1"/>
  <c r="L516" i="2"/>
  <c r="K516" i="2"/>
  <c r="J516" i="2"/>
  <c r="I516" i="2"/>
  <c r="H516" i="2"/>
  <c r="G516" i="2"/>
  <c r="F516" i="2"/>
  <c r="A516" i="2"/>
  <c r="B516" i="2" s="1"/>
  <c r="L515" i="2"/>
  <c r="K515" i="2"/>
  <c r="J515" i="2"/>
  <c r="I515" i="2"/>
  <c r="H515" i="2"/>
  <c r="G515" i="2"/>
  <c r="F515" i="2"/>
  <c r="A515" i="2" s="1"/>
  <c r="L514" i="2"/>
  <c r="K514" i="2"/>
  <c r="J514" i="2"/>
  <c r="I514" i="2"/>
  <c r="H514" i="2"/>
  <c r="G514" i="2"/>
  <c r="F514" i="2"/>
  <c r="A514" i="2"/>
  <c r="L513" i="2"/>
  <c r="K513" i="2"/>
  <c r="J513" i="2"/>
  <c r="I513" i="2"/>
  <c r="H513" i="2"/>
  <c r="G513" i="2"/>
  <c r="F513" i="2"/>
  <c r="A513" i="2" s="1"/>
  <c r="B513" i="2" s="1"/>
  <c r="C513" i="2"/>
  <c r="L512" i="2"/>
  <c r="K512" i="2"/>
  <c r="J512" i="2"/>
  <c r="I512" i="2"/>
  <c r="H512" i="2"/>
  <c r="G512" i="2"/>
  <c r="F512" i="2"/>
  <c r="A512" i="2"/>
  <c r="L511" i="2"/>
  <c r="K511" i="2"/>
  <c r="J511" i="2"/>
  <c r="I511" i="2"/>
  <c r="H511" i="2"/>
  <c r="G511" i="2"/>
  <c r="F511" i="2"/>
  <c r="A511" i="2" s="1"/>
  <c r="D511" i="2"/>
  <c r="E511" i="2" s="1"/>
  <c r="L510" i="2"/>
  <c r="K510" i="2"/>
  <c r="J510" i="2"/>
  <c r="I510" i="2"/>
  <c r="H510" i="2"/>
  <c r="G510" i="2"/>
  <c r="F510" i="2"/>
  <c r="A510" i="2"/>
  <c r="L509" i="2"/>
  <c r="K509" i="2"/>
  <c r="J509" i="2"/>
  <c r="I509" i="2"/>
  <c r="H509" i="2"/>
  <c r="G509" i="2"/>
  <c r="F509" i="2"/>
  <c r="A509" i="2" s="1"/>
  <c r="B509" i="2" s="1"/>
  <c r="C509" i="2"/>
  <c r="L508" i="2"/>
  <c r="K508" i="2"/>
  <c r="J508" i="2"/>
  <c r="I508" i="2"/>
  <c r="H508" i="2"/>
  <c r="G508" i="2"/>
  <c r="F508" i="2"/>
  <c r="B508" i="2"/>
  <c r="A508" i="2"/>
  <c r="L507" i="2"/>
  <c r="K507" i="2"/>
  <c r="J507" i="2"/>
  <c r="I507" i="2"/>
  <c r="H507" i="2"/>
  <c r="G507" i="2"/>
  <c r="F507" i="2"/>
  <c r="A507" i="2" s="1"/>
  <c r="L506" i="2"/>
  <c r="K506" i="2"/>
  <c r="J506" i="2"/>
  <c r="I506" i="2"/>
  <c r="H506" i="2"/>
  <c r="G506" i="2"/>
  <c r="F506" i="2"/>
  <c r="A506" i="2"/>
  <c r="L505" i="2"/>
  <c r="K505" i="2"/>
  <c r="J505" i="2"/>
  <c r="I505" i="2"/>
  <c r="H505" i="2"/>
  <c r="G505" i="2"/>
  <c r="F505" i="2"/>
  <c r="A505" i="2" s="1"/>
  <c r="L504" i="2"/>
  <c r="K504" i="2"/>
  <c r="J504" i="2"/>
  <c r="I504" i="2"/>
  <c r="H504" i="2"/>
  <c r="G504" i="2"/>
  <c r="F504" i="2"/>
  <c r="A504" i="2"/>
  <c r="B504" i="2" s="1"/>
  <c r="L503" i="2"/>
  <c r="K503" i="2"/>
  <c r="J503" i="2"/>
  <c r="I503" i="2"/>
  <c r="H503" i="2"/>
  <c r="G503" i="2"/>
  <c r="F503" i="2"/>
  <c r="A503" i="2" s="1"/>
  <c r="B503" i="2" s="1"/>
  <c r="D503" i="2"/>
  <c r="E503" i="2" s="1"/>
  <c r="C503" i="2"/>
  <c r="L502" i="2"/>
  <c r="K502" i="2"/>
  <c r="J502" i="2"/>
  <c r="I502" i="2"/>
  <c r="H502" i="2"/>
  <c r="G502" i="2"/>
  <c r="F502" i="2"/>
  <c r="B502" i="2"/>
  <c r="A502" i="2"/>
  <c r="L501" i="2"/>
  <c r="K501" i="2"/>
  <c r="J501" i="2"/>
  <c r="I501" i="2"/>
  <c r="H501" i="2"/>
  <c r="G501" i="2"/>
  <c r="F501" i="2"/>
  <c r="A501" i="2" s="1"/>
  <c r="D501" i="2" s="1"/>
  <c r="E501" i="2" s="1"/>
  <c r="L500" i="2"/>
  <c r="K500" i="2"/>
  <c r="J500" i="2"/>
  <c r="I500" i="2"/>
  <c r="H500" i="2"/>
  <c r="G500" i="2"/>
  <c r="F500" i="2"/>
  <c r="B500" i="2"/>
  <c r="A500" i="2"/>
  <c r="L499" i="2"/>
  <c r="K499" i="2"/>
  <c r="J499" i="2"/>
  <c r="I499" i="2"/>
  <c r="H499" i="2"/>
  <c r="G499" i="2"/>
  <c r="F499" i="2"/>
  <c r="A499" i="2" s="1"/>
  <c r="L498" i="2"/>
  <c r="K498" i="2"/>
  <c r="J498" i="2"/>
  <c r="I498" i="2"/>
  <c r="H498" i="2"/>
  <c r="G498" i="2"/>
  <c r="F498" i="2"/>
  <c r="A498" i="2"/>
  <c r="L497" i="2"/>
  <c r="K497" i="2"/>
  <c r="J497" i="2"/>
  <c r="I497" i="2"/>
  <c r="H497" i="2"/>
  <c r="G497" i="2"/>
  <c r="F497" i="2"/>
  <c r="A497" i="2" s="1"/>
  <c r="B497" i="2" s="1"/>
  <c r="L496" i="2"/>
  <c r="K496" i="2"/>
  <c r="J496" i="2"/>
  <c r="I496" i="2"/>
  <c r="H496" i="2"/>
  <c r="G496" i="2"/>
  <c r="F496" i="2"/>
  <c r="A496" i="2"/>
  <c r="B496" i="2" s="1"/>
  <c r="L495" i="2"/>
  <c r="K495" i="2"/>
  <c r="J495" i="2"/>
  <c r="I495" i="2"/>
  <c r="H495" i="2"/>
  <c r="G495" i="2"/>
  <c r="F495" i="2"/>
  <c r="A495" i="2" s="1"/>
  <c r="D495" i="2"/>
  <c r="E495" i="2" s="1"/>
  <c r="L494" i="2"/>
  <c r="K494" i="2"/>
  <c r="J494" i="2"/>
  <c r="I494" i="2"/>
  <c r="H494" i="2"/>
  <c r="G494" i="2"/>
  <c r="F494" i="2"/>
  <c r="A494" i="2"/>
  <c r="L493" i="2"/>
  <c r="K493" i="2"/>
  <c r="J493" i="2"/>
  <c r="I493" i="2"/>
  <c r="H493" i="2"/>
  <c r="G493" i="2"/>
  <c r="F493" i="2"/>
  <c r="A493" i="2" s="1"/>
  <c r="B493" i="2" s="1"/>
  <c r="E493" i="2"/>
  <c r="D493" i="2"/>
  <c r="L492" i="2"/>
  <c r="K492" i="2"/>
  <c r="J492" i="2"/>
  <c r="I492" i="2"/>
  <c r="H492" i="2"/>
  <c r="G492" i="2"/>
  <c r="F492" i="2"/>
  <c r="A492" i="2"/>
  <c r="L491" i="2"/>
  <c r="K491" i="2"/>
  <c r="J491" i="2"/>
  <c r="I491" i="2"/>
  <c r="H491" i="2"/>
  <c r="G491" i="2"/>
  <c r="F491" i="2"/>
  <c r="A491" i="2" s="1"/>
  <c r="L490" i="2"/>
  <c r="K490" i="2"/>
  <c r="J490" i="2"/>
  <c r="I490" i="2"/>
  <c r="H490" i="2"/>
  <c r="G490" i="2"/>
  <c r="F490" i="2"/>
  <c r="A490" i="2"/>
  <c r="L489" i="2"/>
  <c r="K489" i="2"/>
  <c r="J489" i="2"/>
  <c r="I489" i="2"/>
  <c r="H489" i="2"/>
  <c r="G489" i="2"/>
  <c r="F489" i="2"/>
  <c r="A489" i="2" s="1"/>
  <c r="L488" i="2"/>
  <c r="K488" i="2"/>
  <c r="J488" i="2"/>
  <c r="I488" i="2"/>
  <c r="H488" i="2"/>
  <c r="G488" i="2"/>
  <c r="F488" i="2"/>
  <c r="B488" i="2"/>
  <c r="A488" i="2"/>
  <c r="L487" i="2"/>
  <c r="K487" i="2"/>
  <c r="J487" i="2"/>
  <c r="I487" i="2"/>
  <c r="H487" i="2"/>
  <c r="G487" i="2"/>
  <c r="F487" i="2"/>
  <c r="A487" i="2" s="1"/>
  <c r="B487" i="2" s="1"/>
  <c r="L486" i="2"/>
  <c r="K486" i="2"/>
  <c r="J486" i="2"/>
  <c r="I486" i="2"/>
  <c r="H486" i="2"/>
  <c r="G486" i="2"/>
  <c r="F486" i="2"/>
  <c r="A486" i="2"/>
  <c r="B486" i="2" s="1"/>
  <c r="L485" i="2"/>
  <c r="K485" i="2"/>
  <c r="J485" i="2"/>
  <c r="I485" i="2"/>
  <c r="H485" i="2"/>
  <c r="G485" i="2"/>
  <c r="F485" i="2"/>
  <c r="A485" i="2" s="1"/>
  <c r="B485" i="2" s="1"/>
  <c r="L484" i="2"/>
  <c r="K484" i="2"/>
  <c r="J484" i="2"/>
  <c r="I484" i="2"/>
  <c r="H484" i="2"/>
  <c r="G484" i="2"/>
  <c r="F484" i="2"/>
  <c r="A484" i="2"/>
  <c r="B484" i="2" s="1"/>
  <c r="L483" i="2"/>
  <c r="K483" i="2"/>
  <c r="J483" i="2"/>
  <c r="I483" i="2"/>
  <c r="H483" i="2"/>
  <c r="G483" i="2"/>
  <c r="F483" i="2"/>
  <c r="A483" i="2" s="1"/>
  <c r="L482" i="2"/>
  <c r="K482" i="2"/>
  <c r="J482" i="2"/>
  <c r="I482" i="2"/>
  <c r="H482" i="2"/>
  <c r="G482" i="2"/>
  <c r="F482" i="2"/>
  <c r="A482" i="2"/>
  <c r="L481" i="2"/>
  <c r="K481" i="2"/>
  <c r="J481" i="2"/>
  <c r="I481" i="2"/>
  <c r="H481" i="2"/>
  <c r="G481" i="2"/>
  <c r="F481" i="2"/>
  <c r="A481" i="2" s="1"/>
  <c r="B481" i="2" s="1"/>
  <c r="D481" i="2"/>
  <c r="E481" i="2" s="1"/>
  <c r="L480" i="2"/>
  <c r="K480" i="2"/>
  <c r="J480" i="2"/>
  <c r="I480" i="2"/>
  <c r="H480" i="2"/>
  <c r="G480" i="2"/>
  <c r="F480" i="2"/>
  <c r="A480" i="2"/>
  <c r="L479" i="2"/>
  <c r="K479" i="2"/>
  <c r="J479" i="2"/>
  <c r="I479" i="2"/>
  <c r="H479" i="2"/>
  <c r="G479" i="2"/>
  <c r="F479" i="2"/>
  <c r="A479" i="2" s="1"/>
  <c r="D479" i="2" s="1"/>
  <c r="E479" i="2" s="1"/>
  <c r="L478" i="2"/>
  <c r="K478" i="2"/>
  <c r="J478" i="2"/>
  <c r="I478" i="2"/>
  <c r="H478" i="2"/>
  <c r="G478" i="2"/>
  <c r="F478" i="2"/>
  <c r="A478" i="2"/>
  <c r="L477" i="2"/>
  <c r="K477" i="2"/>
  <c r="J477" i="2"/>
  <c r="I477" i="2"/>
  <c r="H477" i="2"/>
  <c r="G477" i="2"/>
  <c r="F477" i="2"/>
  <c r="A477" i="2" s="1"/>
  <c r="B477" i="2" s="1"/>
  <c r="C477" i="2"/>
  <c r="L476" i="2"/>
  <c r="K476" i="2"/>
  <c r="J476" i="2"/>
  <c r="I476" i="2"/>
  <c r="H476" i="2"/>
  <c r="G476" i="2"/>
  <c r="F476" i="2"/>
  <c r="A476" i="2"/>
  <c r="L475" i="2"/>
  <c r="K475" i="2"/>
  <c r="J475" i="2"/>
  <c r="I475" i="2"/>
  <c r="H475" i="2"/>
  <c r="G475" i="2"/>
  <c r="F475" i="2"/>
  <c r="A475" i="2" s="1"/>
  <c r="L474" i="2"/>
  <c r="K474" i="2"/>
  <c r="J474" i="2"/>
  <c r="I474" i="2"/>
  <c r="H474" i="2"/>
  <c r="G474" i="2"/>
  <c r="F474" i="2"/>
  <c r="A474" i="2"/>
  <c r="L473" i="2"/>
  <c r="K473" i="2"/>
  <c r="J473" i="2"/>
  <c r="I473" i="2"/>
  <c r="H473" i="2"/>
  <c r="G473" i="2"/>
  <c r="F473" i="2"/>
  <c r="A473" i="2" s="1"/>
  <c r="L472" i="2"/>
  <c r="K472" i="2"/>
  <c r="J472" i="2"/>
  <c r="I472" i="2"/>
  <c r="H472" i="2"/>
  <c r="G472" i="2"/>
  <c r="F472" i="2"/>
  <c r="B472" i="2"/>
  <c r="A472" i="2"/>
  <c r="L471" i="2"/>
  <c r="K471" i="2"/>
  <c r="J471" i="2"/>
  <c r="I471" i="2"/>
  <c r="H471" i="2"/>
  <c r="G471" i="2"/>
  <c r="F471" i="2"/>
  <c r="A471" i="2" s="1"/>
  <c r="B471" i="2" s="1"/>
  <c r="C471" i="2"/>
  <c r="L470" i="2"/>
  <c r="K470" i="2"/>
  <c r="J470" i="2"/>
  <c r="I470" i="2"/>
  <c r="H470" i="2"/>
  <c r="G470" i="2"/>
  <c r="F470" i="2"/>
  <c r="A470" i="2"/>
  <c r="L469" i="2"/>
  <c r="K469" i="2"/>
  <c r="J469" i="2"/>
  <c r="I469" i="2"/>
  <c r="H469" i="2"/>
  <c r="G469" i="2"/>
  <c r="F469" i="2"/>
  <c r="A469" i="2" s="1"/>
  <c r="B469" i="2" s="1"/>
  <c r="D469" i="2"/>
  <c r="E469" i="2" s="1"/>
  <c r="C469" i="2"/>
  <c r="L468" i="2"/>
  <c r="K468" i="2"/>
  <c r="J468" i="2"/>
  <c r="I468" i="2"/>
  <c r="H468" i="2"/>
  <c r="G468" i="2"/>
  <c r="F468" i="2"/>
  <c r="B468" i="2"/>
  <c r="A468" i="2"/>
  <c r="L467" i="2"/>
  <c r="K467" i="2"/>
  <c r="J467" i="2"/>
  <c r="I467" i="2"/>
  <c r="H467" i="2"/>
  <c r="G467" i="2"/>
  <c r="F467" i="2"/>
  <c r="A467" i="2" s="1"/>
  <c r="L466" i="2"/>
  <c r="K466" i="2"/>
  <c r="J466" i="2"/>
  <c r="I466" i="2"/>
  <c r="H466" i="2"/>
  <c r="G466" i="2"/>
  <c r="F466" i="2"/>
  <c r="A466" i="2"/>
  <c r="L465" i="2"/>
  <c r="K465" i="2"/>
  <c r="J465" i="2"/>
  <c r="I465" i="2"/>
  <c r="H465" i="2"/>
  <c r="G465" i="2"/>
  <c r="F465" i="2"/>
  <c r="A465" i="2" s="1"/>
  <c r="B465" i="2" s="1"/>
  <c r="C465" i="2"/>
  <c r="L464" i="2"/>
  <c r="K464" i="2"/>
  <c r="J464" i="2"/>
  <c r="I464" i="2"/>
  <c r="H464" i="2"/>
  <c r="G464" i="2"/>
  <c r="F464" i="2"/>
  <c r="A464" i="2"/>
  <c r="L463" i="2"/>
  <c r="K463" i="2"/>
  <c r="J463" i="2"/>
  <c r="I463" i="2"/>
  <c r="H463" i="2"/>
  <c r="G463" i="2"/>
  <c r="F463" i="2"/>
  <c r="A463" i="2" s="1"/>
  <c r="D463" i="2"/>
  <c r="E463" i="2" s="1"/>
  <c r="L462" i="2"/>
  <c r="K462" i="2"/>
  <c r="J462" i="2"/>
  <c r="I462" i="2"/>
  <c r="H462" i="2"/>
  <c r="G462" i="2"/>
  <c r="F462" i="2"/>
  <c r="A462" i="2"/>
  <c r="L461" i="2"/>
  <c r="K461" i="2"/>
  <c r="J461" i="2"/>
  <c r="I461" i="2"/>
  <c r="H461" i="2"/>
  <c r="G461" i="2"/>
  <c r="F461" i="2"/>
  <c r="A461" i="2" s="1"/>
  <c r="B461" i="2" s="1"/>
  <c r="E461" i="2"/>
  <c r="D461" i="2"/>
  <c r="C461" i="2"/>
  <c r="L460" i="2"/>
  <c r="K460" i="2"/>
  <c r="J460" i="2"/>
  <c r="I460" i="2"/>
  <c r="H460" i="2"/>
  <c r="G460" i="2"/>
  <c r="F460" i="2"/>
  <c r="A460" i="2"/>
  <c r="B460" i="2" s="1"/>
  <c r="L459" i="2"/>
  <c r="K459" i="2"/>
  <c r="J459" i="2"/>
  <c r="I459" i="2"/>
  <c r="H459" i="2"/>
  <c r="G459" i="2"/>
  <c r="F459" i="2"/>
  <c r="A459" i="2" s="1"/>
  <c r="L458" i="2"/>
  <c r="K458" i="2"/>
  <c r="J458" i="2"/>
  <c r="I458" i="2"/>
  <c r="H458" i="2"/>
  <c r="G458" i="2"/>
  <c r="F458" i="2"/>
  <c r="A458" i="2"/>
  <c r="B458" i="2" s="1"/>
  <c r="L457" i="2"/>
  <c r="K457" i="2"/>
  <c r="J457" i="2"/>
  <c r="I457" i="2"/>
  <c r="H457" i="2"/>
  <c r="G457" i="2"/>
  <c r="F457" i="2"/>
  <c r="A457" i="2" s="1"/>
  <c r="L456" i="2"/>
  <c r="K456" i="2"/>
  <c r="J456" i="2"/>
  <c r="I456" i="2"/>
  <c r="H456" i="2"/>
  <c r="G456" i="2"/>
  <c r="F456" i="2"/>
  <c r="A456" i="2"/>
  <c r="B456" i="2" s="1"/>
  <c r="L455" i="2"/>
  <c r="K455" i="2"/>
  <c r="J455" i="2"/>
  <c r="I455" i="2"/>
  <c r="H455" i="2"/>
  <c r="G455" i="2"/>
  <c r="F455" i="2"/>
  <c r="A455" i="2" s="1"/>
  <c r="B455" i="2" s="1"/>
  <c r="D455" i="2"/>
  <c r="E455" i="2" s="1"/>
  <c r="L454" i="2"/>
  <c r="K454" i="2"/>
  <c r="J454" i="2"/>
  <c r="I454" i="2"/>
  <c r="H454" i="2"/>
  <c r="G454" i="2"/>
  <c r="F454" i="2"/>
  <c r="A454" i="2"/>
  <c r="L453" i="2"/>
  <c r="K453" i="2"/>
  <c r="J453" i="2"/>
  <c r="I453" i="2"/>
  <c r="H453" i="2"/>
  <c r="G453" i="2"/>
  <c r="F453" i="2"/>
  <c r="A453" i="2" s="1"/>
  <c r="B453" i="2" s="1"/>
  <c r="C453" i="2"/>
  <c r="L452" i="2"/>
  <c r="K452" i="2"/>
  <c r="J452" i="2"/>
  <c r="I452" i="2"/>
  <c r="H452" i="2"/>
  <c r="G452" i="2"/>
  <c r="F452" i="2"/>
  <c r="B452" i="2"/>
  <c r="A452" i="2"/>
  <c r="L451" i="2"/>
  <c r="K451" i="2"/>
  <c r="J451" i="2"/>
  <c r="I451" i="2"/>
  <c r="H451" i="2"/>
  <c r="G451" i="2"/>
  <c r="F451" i="2"/>
  <c r="A451" i="2" s="1"/>
  <c r="L450" i="2"/>
  <c r="K450" i="2"/>
  <c r="J450" i="2"/>
  <c r="I450" i="2"/>
  <c r="H450" i="2"/>
  <c r="G450" i="2"/>
  <c r="F450" i="2"/>
  <c r="A450" i="2"/>
  <c r="L449" i="2"/>
  <c r="K449" i="2"/>
  <c r="J449" i="2"/>
  <c r="I449" i="2"/>
  <c r="H449" i="2"/>
  <c r="G449" i="2"/>
  <c r="F449" i="2"/>
  <c r="A449" i="2" s="1"/>
  <c r="B449" i="2" s="1"/>
  <c r="E449" i="2"/>
  <c r="D449" i="2"/>
  <c r="L448" i="2"/>
  <c r="K448" i="2"/>
  <c r="J448" i="2"/>
  <c r="I448" i="2"/>
  <c r="H448" i="2"/>
  <c r="G448" i="2"/>
  <c r="F448" i="2"/>
  <c r="A448" i="2"/>
  <c r="B448" i="2" s="1"/>
  <c r="L447" i="2"/>
  <c r="K447" i="2"/>
  <c r="J447" i="2"/>
  <c r="I447" i="2"/>
  <c r="H447" i="2"/>
  <c r="G447" i="2"/>
  <c r="F447" i="2"/>
  <c r="A447" i="2" s="1"/>
  <c r="L446" i="2"/>
  <c r="K446" i="2"/>
  <c r="J446" i="2"/>
  <c r="I446" i="2"/>
  <c r="H446" i="2"/>
  <c r="G446" i="2"/>
  <c r="F446" i="2"/>
  <c r="A446" i="2"/>
  <c r="L445" i="2"/>
  <c r="K445" i="2"/>
  <c r="J445" i="2"/>
  <c r="I445" i="2"/>
  <c r="H445" i="2"/>
  <c r="G445" i="2"/>
  <c r="F445" i="2"/>
  <c r="A445" i="2" s="1"/>
  <c r="B445" i="2" s="1"/>
  <c r="D445" i="2"/>
  <c r="E445" i="2" s="1"/>
  <c r="L444" i="2"/>
  <c r="K444" i="2"/>
  <c r="J444" i="2"/>
  <c r="I444" i="2"/>
  <c r="H444" i="2"/>
  <c r="G444" i="2"/>
  <c r="F444" i="2"/>
  <c r="A444" i="2"/>
  <c r="L443" i="2"/>
  <c r="K443" i="2"/>
  <c r="J443" i="2"/>
  <c r="I443" i="2"/>
  <c r="H443" i="2"/>
  <c r="G443" i="2"/>
  <c r="F443" i="2"/>
  <c r="A443" i="2" s="1"/>
  <c r="B443" i="2" s="1"/>
  <c r="L442" i="2"/>
  <c r="K442" i="2"/>
  <c r="J442" i="2"/>
  <c r="I442" i="2"/>
  <c r="H442" i="2"/>
  <c r="G442" i="2"/>
  <c r="F442" i="2"/>
  <c r="A442" i="2"/>
  <c r="B442" i="2" s="1"/>
  <c r="L441" i="2"/>
  <c r="K441" i="2"/>
  <c r="J441" i="2"/>
  <c r="I441" i="2"/>
  <c r="H441" i="2"/>
  <c r="G441" i="2"/>
  <c r="F441" i="2"/>
  <c r="A441" i="2" s="1"/>
  <c r="L440" i="2"/>
  <c r="K440" i="2"/>
  <c r="J440" i="2"/>
  <c r="I440" i="2"/>
  <c r="H440" i="2"/>
  <c r="G440" i="2"/>
  <c r="F440" i="2"/>
  <c r="A440" i="2"/>
  <c r="B440" i="2" s="1"/>
  <c r="L439" i="2"/>
  <c r="K439" i="2"/>
  <c r="J439" i="2"/>
  <c r="I439" i="2"/>
  <c r="H439" i="2"/>
  <c r="G439" i="2"/>
  <c r="F439" i="2"/>
  <c r="A439" i="2" s="1"/>
  <c r="B439" i="2" s="1"/>
  <c r="D439" i="2"/>
  <c r="E439" i="2" s="1"/>
  <c r="L438" i="2"/>
  <c r="K438" i="2"/>
  <c r="J438" i="2"/>
  <c r="I438" i="2"/>
  <c r="H438" i="2"/>
  <c r="G438" i="2"/>
  <c r="F438" i="2"/>
  <c r="A438" i="2"/>
  <c r="L437" i="2"/>
  <c r="K437" i="2"/>
  <c r="J437" i="2"/>
  <c r="I437" i="2"/>
  <c r="H437" i="2"/>
  <c r="G437" i="2"/>
  <c r="F437" i="2"/>
  <c r="A437" i="2" s="1"/>
  <c r="B437" i="2" s="1"/>
  <c r="C437" i="2"/>
  <c r="L436" i="2"/>
  <c r="K436" i="2"/>
  <c r="J436" i="2"/>
  <c r="I436" i="2"/>
  <c r="H436" i="2"/>
  <c r="G436" i="2"/>
  <c r="F436" i="2"/>
  <c r="B436" i="2"/>
  <c r="A436" i="2"/>
  <c r="L435" i="2"/>
  <c r="K435" i="2"/>
  <c r="J435" i="2"/>
  <c r="I435" i="2"/>
  <c r="H435" i="2"/>
  <c r="G435" i="2"/>
  <c r="F435" i="2"/>
  <c r="A435" i="2" s="1"/>
  <c r="L434" i="2"/>
  <c r="K434" i="2"/>
  <c r="J434" i="2"/>
  <c r="I434" i="2"/>
  <c r="H434" i="2"/>
  <c r="G434" i="2"/>
  <c r="F434" i="2"/>
  <c r="A434" i="2"/>
  <c r="L433" i="2"/>
  <c r="K433" i="2"/>
  <c r="J433" i="2"/>
  <c r="I433" i="2"/>
  <c r="H433" i="2"/>
  <c r="G433" i="2"/>
  <c r="F433" i="2"/>
  <c r="A433" i="2" s="1"/>
  <c r="B433" i="2" s="1"/>
  <c r="E433" i="2"/>
  <c r="D433" i="2"/>
  <c r="L432" i="2"/>
  <c r="K432" i="2"/>
  <c r="J432" i="2"/>
  <c r="I432" i="2"/>
  <c r="H432" i="2"/>
  <c r="G432" i="2"/>
  <c r="F432" i="2"/>
  <c r="A432" i="2"/>
  <c r="L431" i="2"/>
  <c r="K431" i="2"/>
  <c r="J431" i="2"/>
  <c r="I431" i="2"/>
  <c r="H431" i="2"/>
  <c r="G431" i="2"/>
  <c r="F431" i="2"/>
  <c r="A431" i="2" s="1"/>
  <c r="L430" i="2"/>
  <c r="K430" i="2"/>
  <c r="J430" i="2"/>
  <c r="I430" i="2"/>
  <c r="H430" i="2"/>
  <c r="G430" i="2"/>
  <c r="F430" i="2"/>
  <c r="A430" i="2"/>
  <c r="L429" i="2"/>
  <c r="K429" i="2"/>
  <c r="J429" i="2"/>
  <c r="I429" i="2"/>
  <c r="H429" i="2"/>
  <c r="G429" i="2"/>
  <c r="F429" i="2"/>
  <c r="A429" i="2" s="1"/>
  <c r="B429" i="2" s="1"/>
  <c r="C429" i="2"/>
  <c r="L428" i="2"/>
  <c r="K428" i="2"/>
  <c r="J428" i="2"/>
  <c r="I428" i="2"/>
  <c r="H428" i="2"/>
  <c r="G428" i="2"/>
  <c r="F428" i="2"/>
  <c r="A428" i="2"/>
  <c r="L427" i="2"/>
  <c r="K427" i="2"/>
  <c r="J427" i="2"/>
  <c r="I427" i="2"/>
  <c r="H427" i="2"/>
  <c r="G427" i="2"/>
  <c r="F427" i="2"/>
  <c r="A427" i="2" s="1"/>
  <c r="B427" i="2" s="1"/>
  <c r="D427" i="2"/>
  <c r="E427" i="2" s="1"/>
  <c r="L426" i="2"/>
  <c r="K426" i="2"/>
  <c r="J426" i="2"/>
  <c r="I426" i="2"/>
  <c r="H426" i="2"/>
  <c r="G426" i="2"/>
  <c r="F426" i="2"/>
  <c r="A426" i="2"/>
  <c r="B426" i="2" s="1"/>
  <c r="L425" i="2"/>
  <c r="K425" i="2"/>
  <c r="J425" i="2"/>
  <c r="I425" i="2"/>
  <c r="H425" i="2"/>
  <c r="G425" i="2"/>
  <c r="F425" i="2"/>
  <c r="A425" i="2" s="1"/>
  <c r="L424" i="2"/>
  <c r="K424" i="2"/>
  <c r="J424" i="2"/>
  <c r="I424" i="2"/>
  <c r="H424" i="2"/>
  <c r="G424" i="2"/>
  <c r="F424" i="2"/>
  <c r="A424" i="2"/>
  <c r="B424" i="2" s="1"/>
  <c r="L423" i="2"/>
  <c r="K423" i="2"/>
  <c r="J423" i="2"/>
  <c r="I423" i="2"/>
  <c r="H423" i="2"/>
  <c r="G423" i="2"/>
  <c r="F423" i="2"/>
  <c r="A423" i="2" s="1"/>
  <c r="B423" i="2" s="1"/>
  <c r="D423" i="2"/>
  <c r="E423" i="2" s="1"/>
  <c r="C423" i="2"/>
  <c r="L422" i="2"/>
  <c r="K422" i="2"/>
  <c r="J422" i="2"/>
  <c r="I422" i="2"/>
  <c r="H422" i="2"/>
  <c r="G422" i="2"/>
  <c r="F422" i="2"/>
  <c r="A422" i="2"/>
  <c r="L421" i="2"/>
  <c r="K421" i="2"/>
  <c r="J421" i="2"/>
  <c r="I421" i="2"/>
  <c r="H421" i="2"/>
  <c r="G421" i="2"/>
  <c r="F421" i="2"/>
  <c r="A421" i="2" s="1"/>
  <c r="B421" i="2" s="1"/>
  <c r="D421" i="2"/>
  <c r="E421" i="2" s="1"/>
  <c r="L420" i="2"/>
  <c r="K420" i="2"/>
  <c r="J420" i="2"/>
  <c r="I420" i="2"/>
  <c r="H420" i="2"/>
  <c r="G420" i="2"/>
  <c r="F420" i="2"/>
  <c r="A420" i="2"/>
  <c r="B420" i="2" s="1"/>
  <c r="L419" i="2"/>
  <c r="K419" i="2"/>
  <c r="J419" i="2"/>
  <c r="I419" i="2"/>
  <c r="H419" i="2"/>
  <c r="G419" i="2"/>
  <c r="F419" i="2"/>
  <c r="A419" i="2" s="1"/>
  <c r="L418" i="2"/>
  <c r="K418" i="2"/>
  <c r="J418" i="2"/>
  <c r="I418" i="2"/>
  <c r="H418" i="2"/>
  <c r="G418" i="2"/>
  <c r="F418" i="2"/>
  <c r="A418" i="2"/>
  <c r="L417" i="2"/>
  <c r="K417" i="2"/>
  <c r="J417" i="2"/>
  <c r="I417" i="2"/>
  <c r="H417" i="2"/>
  <c r="G417" i="2"/>
  <c r="F417" i="2"/>
  <c r="A417" i="2" s="1"/>
  <c r="D417" i="2" s="1"/>
  <c r="E417" i="2" s="1"/>
  <c r="C417" i="2"/>
  <c r="L416" i="2"/>
  <c r="K416" i="2"/>
  <c r="J416" i="2"/>
  <c r="I416" i="2"/>
  <c r="H416" i="2"/>
  <c r="G416" i="2"/>
  <c r="F416" i="2"/>
  <c r="A416" i="2" s="1"/>
  <c r="B416" i="2" s="1"/>
  <c r="L415" i="2"/>
  <c r="K415" i="2"/>
  <c r="J415" i="2"/>
  <c r="I415" i="2"/>
  <c r="H415" i="2"/>
  <c r="G415" i="2"/>
  <c r="F415" i="2"/>
  <c r="A415" i="2"/>
  <c r="D415" i="2" s="1"/>
  <c r="E415" i="2" s="1"/>
  <c r="L414" i="2"/>
  <c r="K414" i="2"/>
  <c r="J414" i="2"/>
  <c r="I414" i="2"/>
  <c r="H414" i="2"/>
  <c r="G414" i="2"/>
  <c r="F414" i="2"/>
  <c r="A414" i="2" s="1"/>
  <c r="B414" i="2" s="1"/>
  <c r="C414" i="2"/>
  <c r="L413" i="2"/>
  <c r="K413" i="2"/>
  <c r="J413" i="2"/>
  <c r="I413" i="2"/>
  <c r="H413" i="2"/>
  <c r="G413" i="2"/>
  <c r="F413" i="2"/>
  <c r="A413" i="2"/>
  <c r="L412" i="2"/>
  <c r="K412" i="2"/>
  <c r="J412" i="2"/>
  <c r="I412" i="2"/>
  <c r="H412" i="2"/>
  <c r="G412" i="2"/>
  <c r="F412" i="2"/>
  <c r="A412" i="2" s="1"/>
  <c r="B412" i="2" s="1"/>
  <c r="L411" i="2"/>
  <c r="K411" i="2"/>
  <c r="J411" i="2"/>
  <c r="I411" i="2"/>
  <c r="H411" i="2"/>
  <c r="G411" i="2"/>
  <c r="F411" i="2"/>
  <c r="A411" i="2"/>
  <c r="D411" i="2" s="1"/>
  <c r="E411" i="2" s="1"/>
  <c r="L410" i="2"/>
  <c r="K410" i="2"/>
  <c r="J410" i="2"/>
  <c r="I410" i="2"/>
  <c r="H410" i="2"/>
  <c r="G410" i="2"/>
  <c r="F410" i="2"/>
  <c r="A410" i="2" s="1"/>
  <c r="B410" i="2" s="1"/>
  <c r="C410" i="2"/>
  <c r="L409" i="2"/>
  <c r="K409" i="2"/>
  <c r="J409" i="2"/>
  <c r="I409" i="2"/>
  <c r="H409" i="2"/>
  <c r="G409" i="2"/>
  <c r="F409" i="2"/>
  <c r="A409" i="2"/>
  <c r="L408" i="2"/>
  <c r="K408" i="2"/>
  <c r="J408" i="2"/>
  <c r="I408" i="2"/>
  <c r="H408" i="2"/>
  <c r="G408" i="2"/>
  <c r="F408" i="2"/>
  <c r="A408" i="2" s="1"/>
  <c r="B408" i="2" s="1"/>
  <c r="C408" i="2"/>
  <c r="L407" i="2"/>
  <c r="K407" i="2"/>
  <c r="J407" i="2"/>
  <c r="I407" i="2"/>
  <c r="H407" i="2"/>
  <c r="G407" i="2"/>
  <c r="F407" i="2"/>
  <c r="C407" i="2"/>
  <c r="A407" i="2"/>
  <c r="D407" i="2" s="1"/>
  <c r="E407" i="2" s="1"/>
  <c r="L406" i="2"/>
  <c r="K406" i="2"/>
  <c r="J406" i="2"/>
  <c r="I406" i="2"/>
  <c r="H406" i="2"/>
  <c r="G406" i="2"/>
  <c r="F406" i="2"/>
  <c r="A406" i="2" s="1"/>
  <c r="B406" i="2" s="1"/>
  <c r="L405" i="2"/>
  <c r="K405" i="2"/>
  <c r="J405" i="2"/>
  <c r="I405" i="2"/>
  <c r="H405" i="2"/>
  <c r="G405" i="2"/>
  <c r="F405" i="2"/>
  <c r="A405" i="2"/>
  <c r="L404" i="2"/>
  <c r="K404" i="2"/>
  <c r="J404" i="2"/>
  <c r="I404" i="2"/>
  <c r="H404" i="2"/>
  <c r="G404" i="2"/>
  <c r="F404" i="2"/>
  <c r="A404" i="2" s="1"/>
  <c r="B404" i="2" s="1"/>
  <c r="L403" i="2"/>
  <c r="K403" i="2"/>
  <c r="J403" i="2"/>
  <c r="I403" i="2"/>
  <c r="H403" i="2"/>
  <c r="G403" i="2"/>
  <c r="F403" i="2"/>
  <c r="C403" i="2"/>
  <c r="A403" i="2"/>
  <c r="D403" i="2" s="1"/>
  <c r="E403" i="2" s="1"/>
  <c r="L402" i="2"/>
  <c r="K402" i="2"/>
  <c r="J402" i="2"/>
  <c r="I402" i="2"/>
  <c r="H402" i="2"/>
  <c r="G402" i="2"/>
  <c r="F402" i="2"/>
  <c r="A402" i="2" s="1"/>
  <c r="B402" i="2" s="1"/>
  <c r="L401" i="2"/>
  <c r="K401" i="2"/>
  <c r="J401" i="2"/>
  <c r="I401" i="2"/>
  <c r="H401" i="2"/>
  <c r="G401" i="2"/>
  <c r="F401" i="2"/>
  <c r="A401" i="2"/>
  <c r="L400" i="2"/>
  <c r="K400" i="2"/>
  <c r="J400" i="2"/>
  <c r="I400" i="2"/>
  <c r="H400" i="2"/>
  <c r="G400" i="2"/>
  <c r="F400" i="2"/>
  <c r="A400" i="2" s="1"/>
  <c r="B400" i="2" s="1"/>
  <c r="L399" i="2"/>
  <c r="K399" i="2"/>
  <c r="J399" i="2"/>
  <c r="I399" i="2"/>
  <c r="H399" i="2"/>
  <c r="G399" i="2"/>
  <c r="F399" i="2"/>
  <c r="C399" i="2"/>
  <c r="A399" i="2"/>
  <c r="D399" i="2" s="1"/>
  <c r="E399" i="2" s="1"/>
  <c r="L398" i="2"/>
  <c r="K398" i="2"/>
  <c r="J398" i="2"/>
  <c r="I398" i="2"/>
  <c r="H398" i="2"/>
  <c r="G398" i="2"/>
  <c r="F398" i="2"/>
  <c r="A398" i="2" s="1"/>
  <c r="B398" i="2" s="1"/>
  <c r="L397" i="2"/>
  <c r="K397" i="2"/>
  <c r="J397" i="2"/>
  <c r="I397" i="2"/>
  <c r="H397" i="2"/>
  <c r="G397" i="2"/>
  <c r="F397" i="2"/>
  <c r="A397" i="2"/>
  <c r="L396" i="2"/>
  <c r="K396" i="2"/>
  <c r="J396" i="2"/>
  <c r="I396" i="2"/>
  <c r="H396" i="2"/>
  <c r="G396" i="2"/>
  <c r="F396" i="2"/>
  <c r="A396" i="2" s="1"/>
  <c r="B396" i="2" s="1"/>
  <c r="L395" i="2"/>
  <c r="K395" i="2"/>
  <c r="J395" i="2"/>
  <c r="I395" i="2"/>
  <c r="H395" i="2"/>
  <c r="G395" i="2"/>
  <c r="F395" i="2"/>
  <c r="C395" i="2"/>
  <c r="A395" i="2"/>
  <c r="D395" i="2" s="1"/>
  <c r="E395" i="2" s="1"/>
  <c r="L394" i="2"/>
  <c r="K394" i="2"/>
  <c r="J394" i="2"/>
  <c r="I394" i="2"/>
  <c r="H394" i="2"/>
  <c r="G394" i="2"/>
  <c r="F394" i="2"/>
  <c r="A394" i="2" s="1"/>
  <c r="B394" i="2" s="1"/>
  <c r="L393" i="2"/>
  <c r="K393" i="2"/>
  <c r="J393" i="2"/>
  <c r="I393" i="2"/>
  <c r="H393" i="2"/>
  <c r="G393" i="2"/>
  <c r="F393" i="2"/>
  <c r="A393" i="2"/>
  <c r="B393" i="2" s="1"/>
  <c r="L392" i="2"/>
  <c r="K392" i="2"/>
  <c r="J392" i="2"/>
  <c r="I392" i="2"/>
  <c r="H392" i="2"/>
  <c r="G392" i="2"/>
  <c r="F392" i="2"/>
  <c r="A392" i="2" s="1"/>
  <c r="B392" i="2" s="1"/>
  <c r="C392" i="2"/>
  <c r="L391" i="2"/>
  <c r="K391" i="2"/>
  <c r="J391" i="2"/>
  <c r="I391" i="2"/>
  <c r="H391" i="2"/>
  <c r="G391" i="2"/>
  <c r="F391" i="2"/>
  <c r="C391" i="2"/>
  <c r="A391" i="2"/>
  <c r="D391" i="2" s="1"/>
  <c r="E391" i="2" s="1"/>
  <c r="L390" i="2"/>
  <c r="K390" i="2"/>
  <c r="J390" i="2"/>
  <c r="I390" i="2"/>
  <c r="H390" i="2"/>
  <c r="G390" i="2"/>
  <c r="F390" i="2"/>
  <c r="A390" i="2" s="1"/>
  <c r="B390" i="2" s="1"/>
  <c r="L389" i="2"/>
  <c r="K389" i="2"/>
  <c r="J389" i="2"/>
  <c r="I389" i="2"/>
  <c r="H389" i="2"/>
  <c r="G389" i="2"/>
  <c r="F389" i="2"/>
  <c r="A389" i="2"/>
  <c r="L388" i="2"/>
  <c r="K388" i="2"/>
  <c r="J388" i="2"/>
  <c r="I388" i="2"/>
  <c r="H388" i="2"/>
  <c r="G388" i="2"/>
  <c r="F388" i="2"/>
  <c r="A388" i="2" s="1"/>
  <c r="B388" i="2" s="1"/>
  <c r="L387" i="2"/>
  <c r="K387" i="2"/>
  <c r="J387" i="2"/>
  <c r="I387" i="2"/>
  <c r="H387" i="2"/>
  <c r="G387" i="2"/>
  <c r="F387" i="2"/>
  <c r="C387" i="2"/>
  <c r="A387" i="2"/>
  <c r="D387" i="2" s="1"/>
  <c r="E387" i="2" s="1"/>
  <c r="L386" i="2"/>
  <c r="K386" i="2"/>
  <c r="J386" i="2"/>
  <c r="I386" i="2"/>
  <c r="H386" i="2"/>
  <c r="G386" i="2"/>
  <c r="F386" i="2"/>
  <c r="A386" i="2" s="1"/>
  <c r="B386" i="2" s="1"/>
  <c r="L385" i="2"/>
  <c r="K385" i="2"/>
  <c r="J385" i="2"/>
  <c r="I385" i="2"/>
  <c r="H385" i="2"/>
  <c r="G385" i="2"/>
  <c r="F385" i="2"/>
  <c r="A385" i="2"/>
  <c r="B385" i="2" s="1"/>
  <c r="L384" i="2"/>
  <c r="K384" i="2"/>
  <c r="J384" i="2"/>
  <c r="I384" i="2"/>
  <c r="H384" i="2"/>
  <c r="G384" i="2"/>
  <c r="F384" i="2"/>
  <c r="A384" i="2" s="1"/>
  <c r="B384" i="2" s="1"/>
  <c r="C384" i="2"/>
  <c r="L383" i="2"/>
  <c r="K383" i="2"/>
  <c r="J383" i="2"/>
  <c r="I383" i="2"/>
  <c r="H383" i="2"/>
  <c r="G383" i="2"/>
  <c r="F383" i="2"/>
  <c r="C383" i="2"/>
  <c r="A383" i="2"/>
  <c r="D383" i="2" s="1"/>
  <c r="E383" i="2" s="1"/>
  <c r="L382" i="2"/>
  <c r="K382" i="2"/>
  <c r="J382" i="2"/>
  <c r="I382" i="2"/>
  <c r="H382" i="2"/>
  <c r="G382" i="2"/>
  <c r="F382" i="2"/>
  <c r="A382" i="2" s="1"/>
  <c r="B382" i="2" s="1"/>
  <c r="L381" i="2"/>
  <c r="K381" i="2"/>
  <c r="J381" i="2"/>
  <c r="I381" i="2"/>
  <c r="H381" i="2"/>
  <c r="G381" i="2"/>
  <c r="F381" i="2"/>
  <c r="A381" i="2"/>
  <c r="L380" i="2"/>
  <c r="K380" i="2"/>
  <c r="J380" i="2"/>
  <c r="I380" i="2"/>
  <c r="H380" i="2"/>
  <c r="G380" i="2"/>
  <c r="F380" i="2"/>
  <c r="A380" i="2" s="1"/>
  <c r="B380" i="2" s="1"/>
  <c r="L379" i="2"/>
  <c r="K379" i="2"/>
  <c r="J379" i="2"/>
  <c r="I379" i="2"/>
  <c r="H379" i="2"/>
  <c r="G379" i="2"/>
  <c r="F379" i="2"/>
  <c r="C379" i="2"/>
  <c r="A379" i="2"/>
  <c r="D379" i="2" s="1"/>
  <c r="E379" i="2" s="1"/>
  <c r="L378" i="2"/>
  <c r="K378" i="2"/>
  <c r="J378" i="2"/>
  <c r="I378" i="2"/>
  <c r="H378" i="2"/>
  <c r="G378" i="2"/>
  <c r="F378" i="2"/>
  <c r="A378" i="2" s="1"/>
  <c r="B378" i="2" s="1"/>
  <c r="L377" i="2"/>
  <c r="K377" i="2"/>
  <c r="J377" i="2"/>
  <c r="I377" i="2"/>
  <c r="H377" i="2"/>
  <c r="G377" i="2"/>
  <c r="F377" i="2"/>
  <c r="B377" i="2"/>
  <c r="A377" i="2"/>
  <c r="L376" i="2"/>
  <c r="K376" i="2"/>
  <c r="J376" i="2"/>
  <c r="I376" i="2"/>
  <c r="H376" i="2"/>
  <c r="G376" i="2"/>
  <c r="F376" i="2"/>
  <c r="A376" i="2" s="1"/>
  <c r="B376" i="2" s="1"/>
  <c r="L375" i="2"/>
  <c r="K375" i="2"/>
  <c r="J375" i="2"/>
  <c r="I375" i="2"/>
  <c r="H375" i="2"/>
  <c r="G375" i="2"/>
  <c r="F375" i="2"/>
  <c r="C375" i="2"/>
  <c r="A375" i="2"/>
  <c r="D375" i="2" s="1"/>
  <c r="E375" i="2" s="1"/>
  <c r="L374" i="2"/>
  <c r="K374" i="2"/>
  <c r="J374" i="2"/>
  <c r="I374" i="2"/>
  <c r="H374" i="2"/>
  <c r="G374" i="2"/>
  <c r="F374" i="2"/>
  <c r="A374" i="2" s="1"/>
  <c r="B374" i="2" s="1"/>
  <c r="L373" i="2"/>
  <c r="K373" i="2"/>
  <c r="J373" i="2"/>
  <c r="I373" i="2"/>
  <c r="H373" i="2"/>
  <c r="G373" i="2"/>
  <c r="F373" i="2"/>
  <c r="A373" i="2"/>
  <c r="L372" i="2"/>
  <c r="K372" i="2"/>
  <c r="J372" i="2"/>
  <c r="I372" i="2"/>
  <c r="H372" i="2"/>
  <c r="G372" i="2"/>
  <c r="F372" i="2"/>
  <c r="A372" i="2" s="1"/>
  <c r="B372" i="2" s="1"/>
  <c r="L371" i="2"/>
  <c r="K371" i="2"/>
  <c r="J371" i="2"/>
  <c r="I371" i="2"/>
  <c r="H371" i="2"/>
  <c r="G371" i="2"/>
  <c r="F371" i="2"/>
  <c r="C371" i="2"/>
  <c r="A371" i="2"/>
  <c r="D371" i="2" s="1"/>
  <c r="E371" i="2" s="1"/>
  <c r="L370" i="2"/>
  <c r="K370" i="2"/>
  <c r="J370" i="2"/>
  <c r="I370" i="2"/>
  <c r="H370" i="2"/>
  <c r="G370" i="2"/>
  <c r="F370" i="2"/>
  <c r="A370" i="2" s="1"/>
  <c r="B370" i="2" s="1"/>
  <c r="L369" i="2"/>
  <c r="K369" i="2"/>
  <c r="J369" i="2"/>
  <c r="I369" i="2"/>
  <c r="H369" i="2"/>
  <c r="G369" i="2"/>
  <c r="F369" i="2"/>
  <c r="A369" i="2"/>
  <c r="B369" i="2" s="1"/>
  <c r="L368" i="2"/>
  <c r="K368" i="2"/>
  <c r="J368" i="2"/>
  <c r="I368" i="2"/>
  <c r="H368" i="2"/>
  <c r="G368" i="2"/>
  <c r="F368" i="2"/>
  <c r="A368" i="2" s="1"/>
  <c r="B368" i="2" s="1"/>
  <c r="L367" i="2"/>
  <c r="K367" i="2"/>
  <c r="J367" i="2"/>
  <c r="I367" i="2"/>
  <c r="H367" i="2"/>
  <c r="G367" i="2"/>
  <c r="F367" i="2"/>
  <c r="A367" i="2"/>
  <c r="D367" i="2" s="1"/>
  <c r="E367" i="2" s="1"/>
  <c r="L366" i="2"/>
  <c r="K366" i="2"/>
  <c r="J366" i="2"/>
  <c r="I366" i="2"/>
  <c r="H366" i="2"/>
  <c r="G366" i="2"/>
  <c r="F366" i="2"/>
  <c r="A366" i="2" s="1"/>
  <c r="B366" i="2" s="1"/>
  <c r="C366" i="2"/>
  <c r="L365" i="2"/>
  <c r="K365" i="2"/>
  <c r="J365" i="2"/>
  <c r="I365" i="2"/>
  <c r="H365" i="2"/>
  <c r="G365" i="2"/>
  <c r="F365" i="2"/>
  <c r="A365" i="2"/>
  <c r="L364" i="2"/>
  <c r="K364" i="2"/>
  <c r="J364" i="2"/>
  <c r="I364" i="2"/>
  <c r="H364" i="2"/>
  <c r="G364" i="2"/>
  <c r="F364" i="2"/>
  <c r="A364" i="2" s="1"/>
  <c r="B364" i="2" s="1"/>
  <c r="L363" i="2"/>
  <c r="K363" i="2"/>
  <c r="J363" i="2"/>
  <c r="I363" i="2"/>
  <c r="H363" i="2"/>
  <c r="G363" i="2"/>
  <c r="F363" i="2"/>
  <c r="A363" i="2"/>
  <c r="D363" i="2" s="1"/>
  <c r="E363" i="2" s="1"/>
  <c r="L362" i="2"/>
  <c r="K362" i="2"/>
  <c r="J362" i="2"/>
  <c r="I362" i="2"/>
  <c r="H362" i="2"/>
  <c r="G362" i="2"/>
  <c r="F362" i="2"/>
  <c r="A362" i="2" s="1"/>
  <c r="B362" i="2" s="1"/>
  <c r="C362" i="2"/>
  <c r="L361" i="2"/>
  <c r="K361" i="2"/>
  <c r="J361" i="2"/>
  <c r="I361" i="2"/>
  <c r="H361" i="2"/>
  <c r="G361" i="2"/>
  <c r="F361" i="2"/>
  <c r="B361" i="2"/>
  <c r="A361" i="2"/>
  <c r="L360" i="2"/>
  <c r="K360" i="2"/>
  <c r="J360" i="2"/>
  <c r="I360" i="2"/>
  <c r="H360" i="2"/>
  <c r="G360" i="2"/>
  <c r="F360" i="2"/>
  <c r="A360" i="2" s="1"/>
  <c r="B360" i="2" s="1"/>
  <c r="L359" i="2"/>
  <c r="K359" i="2"/>
  <c r="J359" i="2"/>
  <c r="I359" i="2"/>
  <c r="H359" i="2"/>
  <c r="G359" i="2"/>
  <c r="F359" i="2"/>
  <c r="C359" i="2"/>
  <c r="A359" i="2"/>
  <c r="D359" i="2" s="1"/>
  <c r="E359" i="2" s="1"/>
  <c r="L358" i="2"/>
  <c r="K358" i="2"/>
  <c r="J358" i="2"/>
  <c r="I358" i="2"/>
  <c r="H358" i="2"/>
  <c r="G358" i="2"/>
  <c r="F358" i="2"/>
  <c r="A358" i="2" s="1"/>
  <c r="B358" i="2" s="1"/>
  <c r="L357" i="2"/>
  <c r="K357" i="2"/>
  <c r="J357" i="2"/>
  <c r="I357" i="2"/>
  <c r="H357" i="2"/>
  <c r="G357" i="2"/>
  <c r="F357" i="2"/>
  <c r="A357" i="2"/>
  <c r="L356" i="2"/>
  <c r="K356" i="2"/>
  <c r="J356" i="2"/>
  <c r="I356" i="2"/>
  <c r="H356" i="2"/>
  <c r="G356" i="2"/>
  <c r="F356" i="2"/>
  <c r="A356" i="2" s="1"/>
  <c r="B356" i="2" s="1"/>
  <c r="L355" i="2"/>
  <c r="K355" i="2"/>
  <c r="J355" i="2"/>
  <c r="I355" i="2"/>
  <c r="H355" i="2"/>
  <c r="G355" i="2"/>
  <c r="F355" i="2"/>
  <c r="C355" i="2"/>
  <c r="A355" i="2"/>
  <c r="D355" i="2" s="1"/>
  <c r="E355" i="2" s="1"/>
  <c r="L354" i="2"/>
  <c r="K354" i="2"/>
  <c r="J354" i="2"/>
  <c r="I354" i="2"/>
  <c r="H354" i="2"/>
  <c r="G354" i="2"/>
  <c r="F354" i="2"/>
  <c r="A354" i="2" s="1"/>
  <c r="B354" i="2" s="1"/>
  <c r="L353" i="2"/>
  <c r="K353" i="2"/>
  <c r="J353" i="2"/>
  <c r="I353" i="2"/>
  <c r="H353" i="2"/>
  <c r="G353" i="2"/>
  <c r="F353" i="2"/>
  <c r="B353" i="2"/>
  <c r="A353" i="2"/>
  <c r="L352" i="2"/>
  <c r="K352" i="2"/>
  <c r="J352" i="2"/>
  <c r="I352" i="2"/>
  <c r="H352" i="2"/>
  <c r="G352" i="2"/>
  <c r="F352" i="2"/>
  <c r="A352" i="2" s="1"/>
  <c r="B352" i="2" s="1"/>
  <c r="L351" i="2"/>
  <c r="K351" i="2"/>
  <c r="J351" i="2"/>
  <c r="I351" i="2"/>
  <c r="H351" i="2"/>
  <c r="G351" i="2"/>
  <c r="F351" i="2"/>
  <c r="C351" i="2"/>
  <c r="A351" i="2"/>
  <c r="D351" i="2" s="1"/>
  <c r="E351" i="2" s="1"/>
  <c r="L350" i="2"/>
  <c r="K350" i="2"/>
  <c r="J350" i="2"/>
  <c r="I350" i="2"/>
  <c r="H350" i="2"/>
  <c r="G350" i="2"/>
  <c r="F350" i="2"/>
  <c r="A350" i="2" s="1"/>
  <c r="B350" i="2" s="1"/>
  <c r="L349" i="2"/>
  <c r="K349" i="2"/>
  <c r="J349" i="2"/>
  <c r="I349" i="2"/>
  <c r="H349" i="2"/>
  <c r="G349" i="2"/>
  <c r="F349" i="2"/>
  <c r="A349" i="2"/>
  <c r="L348" i="2"/>
  <c r="K348" i="2"/>
  <c r="J348" i="2"/>
  <c r="I348" i="2"/>
  <c r="H348" i="2"/>
  <c r="G348" i="2"/>
  <c r="F348" i="2"/>
  <c r="A348" i="2" s="1"/>
  <c r="B348" i="2" s="1"/>
  <c r="L347" i="2"/>
  <c r="K347" i="2"/>
  <c r="J347" i="2"/>
  <c r="I347" i="2"/>
  <c r="H347" i="2"/>
  <c r="G347" i="2"/>
  <c r="F347" i="2"/>
  <c r="C347" i="2"/>
  <c r="A347" i="2"/>
  <c r="D347" i="2" s="1"/>
  <c r="E347" i="2" s="1"/>
  <c r="L346" i="2"/>
  <c r="K346" i="2"/>
  <c r="J346" i="2"/>
  <c r="I346" i="2"/>
  <c r="H346" i="2"/>
  <c r="G346" i="2"/>
  <c r="F346" i="2"/>
  <c r="A346" i="2" s="1"/>
  <c r="B346" i="2" s="1"/>
  <c r="L345" i="2"/>
  <c r="K345" i="2"/>
  <c r="J345" i="2"/>
  <c r="I345" i="2"/>
  <c r="H345" i="2"/>
  <c r="G345" i="2"/>
  <c r="F345" i="2"/>
  <c r="A345" i="2"/>
  <c r="B345" i="2" s="1"/>
  <c r="L344" i="2"/>
  <c r="K344" i="2"/>
  <c r="J344" i="2"/>
  <c r="I344" i="2"/>
  <c r="H344" i="2"/>
  <c r="G344" i="2"/>
  <c r="F344" i="2"/>
  <c r="A344" i="2" s="1"/>
  <c r="B344" i="2" s="1"/>
  <c r="L343" i="2"/>
  <c r="K343" i="2"/>
  <c r="J343" i="2"/>
  <c r="I343" i="2"/>
  <c r="H343" i="2"/>
  <c r="G343" i="2"/>
  <c r="F343" i="2"/>
  <c r="A343" i="2"/>
  <c r="D343" i="2" s="1"/>
  <c r="E343" i="2" s="1"/>
  <c r="L342" i="2"/>
  <c r="K342" i="2"/>
  <c r="J342" i="2"/>
  <c r="I342" i="2"/>
  <c r="H342" i="2"/>
  <c r="G342" i="2"/>
  <c r="F342" i="2"/>
  <c r="A342" i="2" s="1"/>
  <c r="B342" i="2" s="1"/>
  <c r="C342" i="2"/>
  <c r="L341" i="2"/>
  <c r="K341" i="2"/>
  <c r="J341" i="2"/>
  <c r="I341" i="2"/>
  <c r="H341" i="2"/>
  <c r="G341" i="2"/>
  <c r="F341" i="2"/>
  <c r="A341" i="2"/>
  <c r="L340" i="2"/>
  <c r="K340" i="2"/>
  <c r="J340" i="2"/>
  <c r="I340" i="2"/>
  <c r="H340" i="2"/>
  <c r="G340" i="2"/>
  <c r="F340" i="2"/>
  <c r="A340" i="2" s="1"/>
  <c r="B340" i="2" s="1"/>
  <c r="L339" i="2"/>
  <c r="K339" i="2"/>
  <c r="J339" i="2"/>
  <c r="I339" i="2"/>
  <c r="H339" i="2"/>
  <c r="G339" i="2"/>
  <c r="F339" i="2"/>
  <c r="A339" i="2"/>
  <c r="D339" i="2" s="1"/>
  <c r="E339" i="2" s="1"/>
  <c r="L338" i="2"/>
  <c r="K338" i="2"/>
  <c r="J338" i="2"/>
  <c r="I338" i="2"/>
  <c r="H338" i="2"/>
  <c r="G338" i="2"/>
  <c r="F338" i="2"/>
  <c r="A338" i="2" s="1"/>
  <c r="B338" i="2" s="1"/>
  <c r="C338" i="2"/>
  <c r="L337" i="2"/>
  <c r="K337" i="2"/>
  <c r="J337" i="2"/>
  <c r="I337" i="2"/>
  <c r="H337" i="2"/>
  <c r="G337" i="2"/>
  <c r="F337" i="2"/>
  <c r="B337" i="2"/>
  <c r="A337" i="2"/>
  <c r="L336" i="2"/>
  <c r="K336" i="2"/>
  <c r="J336" i="2"/>
  <c r="I336" i="2"/>
  <c r="H336" i="2"/>
  <c r="G336" i="2"/>
  <c r="F336" i="2"/>
  <c r="A336" i="2" s="1"/>
  <c r="B336" i="2" s="1"/>
  <c r="L335" i="2"/>
  <c r="K335" i="2"/>
  <c r="J335" i="2"/>
  <c r="I335" i="2"/>
  <c r="H335" i="2"/>
  <c r="G335" i="2"/>
  <c r="F335" i="2"/>
  <c r="C335" i="2"/>
  <c r="A335" i="2"/>
  <c r="D335" i="2" s="1"/>
  <c r="E335" i="2" s="1"/>
  <c r="L334" i="2"/>
  <c r="K334" i="2"/>
  <c r="J334" i="2"/>
  <c r="I334" i="2"/>
  <c r="H334" i="2"/>
  <c r="G334" i="2"/>
  <c r="F334" i="2"/>
  <c r="A334" i="2" s="1"/>
  <c r="B334" i="2" s="1"/>
  <c r="L333" i="2"/>
  <c r="K333" i="2"/>
  <c r="J333" i="2"/>
  <c r="I333" i="2"/>
  <c r="H333" i="2"/>
  <c r="G333" i="2"/>
  <c r="F333" i="2"/>
  <c r="A333" i="2"/>
  <c r="L332" i="2"/>
  <c r="K332" i="2"/>
  <c r="J332" i="2"/>
  <c r="I332" i="2"/>
  <c r="H332" i="2"/>
  <c r="G332" i="2"/>
  <c r="F332" i="2"/>
  <c r="A332" i="2" s="1"/>
  <c r="B332" i="2" s="1"/>
  <c r="L331" i="2"/>
  <c r="K331" i="2"/>
  <c r="J331" i="2"/>
  <c r="I331" i="2"/>
  <c r="H331" i="2"/>
  <c r="G331" i="2"/>
  <c r="F331" i="2"/>
  <c r="C331" i="2"/>
  <c r="A331" i="2"/>
  <c r="D331" i="2" s="1"/>
  <c r="E331" i="2" s="1"/>
  <c r="L330" i="2"/>
  <c r="K330" i="2"/>
  <c r="J330" i="2"/>
  <c r="I330" i="2"/>
  <c r="H330" i="2"/>
  <c r="G330" i="2"/>
  <c r="F330" i="2"/>
  <c r="A330" i="2" s="1"/>
  <c r="B330" i="2" s="1"/>
  <c r="L329" i="2"/>
  <c r="K329" i="2"/>
  <c r="J329" i="2"/>
  <c r="I329" i="2"/>
  <c r="H329" i="2"/>
  <c r="G329" i="2"/>
  <c r="F329" i="2"/>
  <c r="A329" i="2"/>
  <c r="B329" i="2" s="1"/>
  <c r="L328" i="2"/>
  <c r="K328" i="2"/>
  <c r="J328" i="2"/>
  <c r="I328" i="2"/>
  <c r="H328" i="2"/>
  <c r="G328" i="2"/>
  <c r="F328" i="2"/>
  <c r="A328" i="2" s="1"/>
  <c r="B328" i="2" s="1"/>
  <c r="L327" i="2"/>
  <c r="K327" i="2"/>
  <c r="J327" i="2"/>
  <c r="I327" i="2"/>
  <c r="H327" i="2"/>
  <c r="G327" i="2"/>
  <c r="F327" i="2"/>
  <c r="A327" i="2"/>
  <c r="D327" i="2" s="1"/>
  <c r="E327" i="2" s="1"/>
  <c r="L326" i="2"/>
  <c r="K326" i="2"/>
  <c r="J326" i="2"/>
  <c r="I326" i="2"/>
  <c r="H326" i="2"/>
  <c r="G326" i="2"/>
  <c r="F326" i="2"/>
  <c r="A326" i="2" s="1"/>
  <c r="B326" i="2" s="1"/>
  <c r="C326" i="2"/>
  <c r="L325" i="2"/>
  <c r="K325" i="2"/>
  <c r="J325" i="2"/>
  <c r="I325" i="2"/>
  <c r="H325" i="2"/>
  <c r="G325" i="2"/>
  <c r="F325" i="2"/>
  <c r="A325" i="2"/>
  <c r="L324" i="2"/>
  <c r="K324" i="2"/>
  <c r="J324" i="2"/>
  <c r="I324" i="2"/>
  <c r="H324" i="2"/>
  <c r="G324" i="2"/>
  <c r="F324" i="2"/>
  <c r="A324" i="2" s="1"/>
  <c r="B324" i="2" s="1"/>
  <c r="L323" i="2"/>
  <c r="K323" i="2"/>
  <c r="J323" i="2"/>
  <c r="I323" i="2"/>
  <c r="H323" i="2"/>
  <c r="G323" i="2"/>
  <c r="F323" i="2"/>
  <c r="A323" i="2"/>
  <c r="D323" i="2" s="1"/>
  <c r="E323" i="2" s="1"/>
  <c r="L322" i="2"/>
  <c r="K322" i="2"/>
  <c r="J322" i="2"/>
  <c r="I322" i="2"/>
  <c r="H322" i="2"/>
  <c r="G322" i="2"/>
  <c r="F322" i="2"/>
  <c r="A322" i="2" s="1"/>
  <c r="B322" i="2" s="1"/>
  <c r="C322" i="2"/>
  <c r="L321" i="2"/>
  <c r="K321" i="2"/>
  <c r="J321" i="2"/>
  <c r="I321" i="2"/>
  <c r="H321" i="2"/>
  <c r="G321" i="2"/>
  <c r="F321" i="2"/>
  <c r="B321" i="2"/>
  <c r="A321" i="2"/>
  <c r="L320" i="2"/>
  <c r="K320" i="2"/>
  <c r="J320" i="2"/>
  <c r="I320" i="2"/>
  <c r="H320" i="2"/>
  <c r="G320" i="2"/>
  <c r="F320" i="2"/>
  <c r="A320" i="2" s="1"/>
  <c r="B320" i="2" s="1"/>
  <c r="L319" i="2"/>
  <c r="K319" i="2"/>
  <c r="J319" i="2"/>
  <c r="I319" i="2"/>
  <c r="H319" i="2"/>
  <c r="G319" i="2"/>
  <c r="F319" i="2"/>
  <c r="C319" i="2"/>
  <c r="A319" i="2"/>
  <c r="D319" i="2" s="1"/>
  <c r="E319" i="2" s="1"/>
  <c r="L318" i="2"/>
  <c r="K318" i="2"/>
  <c r="J318" i="2"/>
  <c r="I318" i="2"/>
  <c r="H318" i="2"/>
  <c r="G318" i="2"/>
  <c r="F318" i="2"/>
  <c r="A318" i="2" s="1"/>
  <c r="B318" i="2" s="1"/>
  <c r="L317" i="2"/>
  <c r="K317" i="2"/>
  <c r="J317" i="2"/>
  <c r="I317" i="2"/>
  <c r="H317" i="2"/>
  <c r="G317" i="2"/>
  <c r="F317" i="2"/>
  <c r="A317" i="2"/>
  <c r="L316" i="2"/>
  <c r="K316" i="2"/>
  <c r="J316" i="2"/>
  <c r="I316" i="2"/>
  <c r="H316" i="2"/>
  <c r="G316" i="2"/>
  <c r="F316" i="2"/>
  <c r="A316" i="2" s="1"/>
  <c r="B316" i="2" s="1"/>
  <c r="L315" i="2"/>
  <c r="K315" i="2"/>
  <c r="J315" i="2"/>
  <c r="I315" i="2"/>
  <c r="H315" i="2"/>
  <c r="G315" i="2"/>
  <c r="F315" i="2"/>
  <c r="C315" i="2"/>
  <c r="A315" i="2"/>
  <c r="D315" i="2" s="1"/>
  <c r="E315" i="2" s="1"/>
  <c r="L314" i="2"/>
  <c r="K314" i="2"/>
  <c r="J314" i="2"/>
  <c r="I314" i="2"/>
  <c r="H314" i="2"/>
  <c r="G314" i="2"/>
  <c r="F314" i="2"/>
  <c r="A314" i="2" s="1"/>
  <c r="B314" i="2" s="1"/>
  <c r="L313" i="2"/>
  <c r="K313" i="2"/>
  <c r="J313" i="2"/>
  <c r="I313" i="2"/>
  <c r="H313" i="2"/>
  <c r="G313" i="2"/>
  <c r="F313" i="2"/>
  <c r="B313" i="2"/>
  <c r="A313" i="2"/>
  <c r="L312" i="2"/>
  <c r="K312" i="2"/>
  <c r="J312" i="2"/>
  <c r="I312" i="2"/>
  <c r="H312" i="2"/>
  <c r="G312" i="2"/>
  <c r="F312" i="2"/>
  <c r="A312" i="2" s="1"/>
  <c r="B312" i="2" s="1"/>
  <c r="L311" i="2"/>
  <c r="K311" i="2"/>
  <c r="J311" i="2"/>
  <c r="I311" i="2"/>
  <c r="H311" i="2"/>
  <c r="G311" i="2"/>
  <c r="F311" i="2"/>
  <c r="C311" i="2"/>
  <c r="A311" i="2"/>
  <c r="D311" i="2" s="1"/>
  <c r="E311" i="2" s="1"/>
  <c r="L310" i="2"/>
  <c r="K310" i="2"/>
  <c r="J310" i="2"/>
  <c r="I310" i="2"/>
  <c r="H310" i="2"/>
  <c r="G310" i="2"/>
  <c r="F310" i="2"/>
  <c r="A310" i="2" s="1"/>
  <c r="B310" i="2" s="1"/>
  <c r="L309" i="2"/>
  <c r="K309" i="2"/>
  <c r="J309" i="2"/>
  <c r="I309" i="2"/>
  <c r="H309" i="2"/>
  <c r="G309" i="2"/>
  <c r="F309" i="2"/>
  <c r="A309" i="2"/>
  <c r="L308" i="2"/>
  <c r="K308" i="2"/>
  <c r="J308" i="2"/>
  <c r="I308" i="2"/>
  <c r="H308" i="2"/>
  <c r="G308" i="2"/>
  <c r="F308" i="2"/>
  <c r="A308" i="2" s="1"/>
  <c r="B308" i="2" s="1"/>
  <c r="L307" i="2"/>
  <c r="K307" i="2"/>
  <c r="J307" i="2"/>
  <c r="I307" i="2"/>
  <c r="H307" i="2"/>
  <c r="G307" i="2"/>
  <c r="F307" i="2"/>
  <c r="C307" i="2"/>
  <c r="A307" i="2"/>
  <c r="D307" i="2" s="1"/>
  <c r="E307" i="2" s="1"/>
  <c r="L306" i="2"/>
  <c r="K306" i="2"/>
  <c r="J306" i="2"/>
  <c r="I306" i="2"/>
  <c r="H306" i="2"/>
  <c r="G306" i="2"/>
  <c r="F306" i="2"/>
  <c r="A306" i="2" s="1"/>
  <c r="B306" i="2" s="1"/>
  <c r="L305" i="2"/>
  <c r="K305" i="2"/>
  <c r="J305" i="2"/>
  <c r="I305" i="2"/>
  <c r="H305" i="2"/>
  <c r="G305" i="2"/>
  <c r="F305" i="2"/>
  <c r="A305" i="2"/>
  <c r="B305" i="2" s="1"/>
  <c r="L304" i="2"/>
  <c r="K304" i="2"/>
  <c r="J304" i="2"/>
  <c r="I304" i="2"/>
  <c r="H304" i="2"/>
  <c r="G304" i="2"/>
  <c r="F304" i="2"/>
  <c r="A304" i="2" s="1"/>
  <c r="B304" i="2" s="1"/>
  <c r="L303" i="2"/>
  <c r="K303" i="2"/>
  <c r="J303" i="2"/>
  <c r="I303" i="2"/>
  <c r="H303" i="2"/>
  <c r="G303" i="2"/>
  <c r="F303" i="2"/>
  <c r="A303" i="2"/>
  <c r="D303" i="2" s="1"/>
  <c r="E303" i="2" s="1"/>
  <c r="L302" i="2"/>
  <c r="K302" i="2"/>
  <c r="J302" i="2"/>
  <c r="I302" i="2"/>
  <c r="H302" i="2"/>
  <c r="G302" i="2"/>
  <c r="F302" i="2"/>
  <c r="A302" i="2" s="1"/>
  <c r="B302" i="2" s="1"/>
  <c r="C302" i="2"/>
  <c r="L301" i="2"/>
  <c r="K301" i="2"/>
  <c r="J301" i="2"/>
  <c r="I301" i="2"/>
  <c r="H301" i="2"/>
  <c r="G301" i="2"/>
  <c r="F301" i="2"/>
  <c r="A301" i="2"/>
  <c r="L300" i="2"/>
  <c r="K300" i="2"/>
  <c r="J300" i="2"/>
  <c r="I300" i="2"/>
  <c r="H300" i="2"/>
  <c r="G300" i="2"/>
  <c r="F300" i="2"/>
  <c r="A300" i="2" s="1"/>
  <c r="B300" i="2" s="1"/>
  <c r="L299" i="2"/>
  <c r="K299" i="2"/>
  <c r="J299" i="2"/>
  <c r="I299" i="2"/>
  <c r="H299" i="2"/>
  <c r="G299" i="2"/>
  <c r="F299" i="2"/>
  <c r="A299" i="2"/>
  <c r="D299" i="2" s="1"/>
  <c r="E299" i="2" s="1"/>
  <c r="L298" i="2"/>
  <c r="K298" i="2"/>
  <c r="J298" i="2"/>
  <c r="I298" i="2"/>
  <c r="H298" i="2"/>
  <c r="G298" i="2"/>
  <c r="F298" i="2"/>
  <c r="A298" i="2" s="1"/>
  <c r="B298" i="2" s="1"/>
  <c r="C298" i="2"/>
  <c r="L297" i="2"/>
  <c r="K297" i="2"/>
  <c r="J297" i="2"/>
  <c r="I297" i="2"/>
  <c r="H297" i="2"/>
  <c r="G297" i="2"/>
  <c r="F297" i="2"/>
  <c r="B297" i="2"/>
  <c r="A297" i="2"/>
  <c r="L296" i="2"/>
  <c r="K296" i="2"/>
  <c r="J296" i="2"/>
  <c r="I296" i="2"/>
  <c r="H296" i="2"/>
  <c r="G296" i="2"/>
  <c r="F296" i="2"/>
  <c r="A296" i="2" s="1"/>
  <c r="B296" i="2" s="1"/>
  <c r="L295" i="2"/>
  <c r="K295" i="2"/>
  <c r="J295" i="2"/>
  <c r="I295" i="2"/>
  <c r="H295" i="2"/>
  <c r="G295" i="2"/>
  <c r="F295" i="2"/>
  <c r="C295" i="2"/>
  <c r="A295" i="2"/>
  <c r="D295" i="2" s="1"/>
  <c r="E295" i="2" s="1"/>
  <c r="L294" i="2"/>
  <c r="K294" i="2"/>
  <c r="J294" i="2"/>
  <c r="I294" i="2"/>
  <c r="H294" i="2"/>
  <c r="G294" i="2"/>
  <c r="F294" i="2"/>
  <c r="A294" i="2" s="1"/>
  <c r="B294" i="2" s="1"/>
  <c r="L293" i="2"/>
  <c r="K293" i="2"/>
  <c r="J293" i="2"/>
  <c r="I293" i="2"/>
  <c r="H293" i="2"/>
  <c r="G293" i="2"/>
  <c r="F293" i="2"/>
  <c r="A293" i="2"/>
  <c r="L292" i="2"/>
  <c r="K292" i="2"/>
  <c r="J292" i="2"/>
  <c r="I292" i="2"/>
  <c r="H292" i="2"/>
  <c r="G292" i="2"/>
  <c r="F292" i="2"/>
  <c r="A292" i="2" s="1"/>
  <c r="B292" i="2" s="1"/>
  <c r="L291" i="2"/>
  <c r="K291" i="2"/>
  <c r="J291" i="2"/>
  <c r="I291" i="2"/>
  <c r="H291" i="2"/>
  <c r="G291" i="2"/>
  <c r="F291" i="2"/>
  <c r="C291" i="2"/>
  <c r="A291" i="2"/>
  <c r="D291" i="2" s="1"/>
  <c r="E291" i="2" s="1"/>
  <c r="L290" i="2"/>
  <c r="K290" i="2"/>
  <c r="J290" i="2"/>
  <c r="I290" i="2"/>
  <c r="H290" i="2"/>
  <c r="G290" i="2"/>
  <c r="F290" i="2"/>
  <c r="A290" i="2" s="1"/>
  <c r="B290" i="2" s="1"/>
  <c r="L289" i="2"/>
  <c r="K289" i="2"/>
  <c r="J289" i="2"/>
  <c r="I289" i="2"/>
  <c r="H289" i="2"/>
  <c r="G289" i="2"/>
  <c r="F289" i="2"/>
  <c r="B289" i="2"/>
  <c r="A289" i="2"/>
  <c r="L288" i="2"/>
  <c r="K288" i="2"/>
  <c r="J288" i="2"/>
  <c r="I288" i="2"/>
  <c r="H288" i="2"/>
  <c r="G288" i="2"/>
  <c r="F288" i="2"/>
  <c r="A288" i="2" s="1"/>
  <c r="B288" i="2" s="1"/>
  <c r="L287" i="2"/>
  <c r="K287" i="2"/>
  <c r="J287" i="2"/>
  <c r="I287" i="2"/>
  <c r="H287" i="2"/>
  <c r="G287" i="2"/>
  <c r="F287" i="2"/>
  <c r="C287" i="2"/>
  <c r="A287" i="2"/>
  <c r="D287" i="2" s="1"/>
  <c r="E287" i="2" s="1"/>
  <c r="L286" i="2"/>
  <c r="K286" i="2"/>
  <c r="J286" i="2"/>
  <c r="I286" i="2"/>
  <c r="H286" i="2"/>
  <c r="G286" i="2"/>
  <c r="F286" i="2"/>
  <c r="A286" i="2" s="1"/>
  <c r="B286" i="2" s="1"/>
  <c r="L285" i="2"/>
  <c r="K285" i="2"/>
  <c r="J285" i="2"/>
  <c r="I285" i="2"/>
  <c r="H285" i="2"/>
  <c r="G285" i="2"/>
  <c r="F285" i="2"/>
  <c r="A285" i="2"/>
  <c r="L284" i="2"/>
  <c r="K284" i="2"/>
  <c r="J284" i="2"/>
  <c r="I284" i="2"/>
  <c r="H284" i="2"/>
  <c r="G284" i="2"/>
  <c r="F284" i="2"/>
  <c r="A284" i="2" s="1"/>
  <c r="B284" i="2" s="1"/>
  <c r="L283" i="2"/>
  <c r="K283" i="2"/>
  <c r="J283" i="2"/>
  <c r="I283" i="2"/>
  <c r="H283" i="2"/>
  <c r="G283" i="2"/>
  <c r="F283" i="2"/>
  <c r="C283" i="2"/>
  <c r="A283" i="2"/>
  <c r="D283" i="2" s="1"/>
  <c r="E283" i="2" s="1"/>
  <c r="L282" i="2"/>
  <c r="K282" i="2"/>
  <c r="J282" i="2"/>
  <c r="I282" i="2"/>
  <c r="H282" i="2"/>
  <c r="G282" i="2"/>
  <c r="F282" i="2"/>
  <c r="A282" i="2" s="1"/>
  <c r="B282" i="2" s="1"/>
  <c r="L281" i="2"/>
  <c r="K281" i="2"/>
  <c r="J281" i="2"/>
  <c r="I281" i="2"/>
  <c r="H281" i="2"/>
  <c r="G281" i="2"/>
  <c r="F281" i="2"/>
  <c r="A281" i="2"/>
  <c r="B281" i="2" s="1"/>
  <c r="L280" i="2"/>
  <c r="K280" i="2"/>
  <c r="J280" i="2"/>
  <c r="I280" i="2"/>
  <c r="H280" i="2"/>
  <c r="G280" i="2"/>
  <c r="F280" i="2"/>
  <c r="A280" i="2" s="1"/>
  <c r="B280" i="2" s="1"/>
  <c r="L279" i="2"/>
  <c r="K279" i="2"/>
  <c r="J279" i="2"/>
  <c r="I279" i="2"/>
  <c r="H279" i="2"/>
  <c r="G279" i="2"/>
  <c r="F279" i="2"/>
  <c r="A279" i="2"/>
  <c r="D279" i="2" s="1"/>
  <c r="E279" i="2" s="1"/>
  <c r="L278" i="2"/>
  <c r="K278" i="2"/>
  <c r="J278" i="2"/>
  <c r="I278" i="2"/>
  <c r="H278" i="2"/>
  <c r="G278" i="2"/>
  <c r="F278" i="2"/>
  <c r="A278" i="2" s="1"/>
  <c r="B278" i="2" s="1"/>
  <c r="C278" i="2"/>
  <c r="L277" i="2"/>
  <c r="K277" i="2"/>
  <c r="J277" i="2"/>
  <c r="I277" i="2"/>
  <c r="H277" i="2"/>
  <c r="G277" i="2"/>
  <c r="F277" i="2"/>
  <c r="A277" i="2"/>
  <c r="L276" i="2"/>
  <c r="K276" i="2"/>
  <c r="J276" i="2"/>
  <c r="I276" i="2"/>
  <c r="H276" i="2"/>
  <c r="G276" i="2"/>
  <c r="F276" i="2"/>
  <c r="A276" i="2" s="1"/>
  <c r="B276" i="2" s="1"/>
  <c r="L275" i="2"/>
  <c r="K275" i="2"/>
  <c r="J275" i="2"/>
  <c r="I275" i="2"/>
  <c r="H275" i="2"/>
  <c r="G275" i="2"/>
  <c r="F275" i="2"/>
  <c r="A275" i="2"/>
  <c r="D275" i="2" s="1"/>
  <c r="E275" i="2" s="1"/>
  <c r="L274" i="2"/>
  <c r="K274" i="2"/>
  <c r="J274" i="2"/>
  <c r="I274" i="2"/>
  <c r="H274" i="2"/>
  <c r="G274" i="2"/>
  <c r="F274" i="2"/>
  <c r="A274" i="2" s="1"/>
  <c r="B274" i="2" s="1"/>
  <c r="C274" i="2"/>
  <c r="L273" i="2"/>
  <c r="K273" i="2"/>
  <c r="J273" i="2"/>
  <c r="I273" i="2"/>
  <c r="H273" i="2"/>
  <c r="G273" i="2"/>
  <c r="F273" i="2"/>
  <c r="B273" i="2"/>
  <c r="A273" i="2"/>
  <c r="L272" i="2"/>
  <c r="K272" i="2"/>
  <c r="J272" i="2"/>
  <c r="I272" i="2"/>
  <c r="H272" i="2"/>
  <c r="G272" i="2"/>
  <c r="F272" i="2"/>
  <c r="A272" i="2" s="1"/>
  <c r="B272" i="2" s="1"/>
  <c r="L271" i="2"/>
  <c r="K271" i="2"/>
  <c r="J271" i="2"/>
  <c r="I271" i="2"/>
  <c r="H271" i="2"/>
  <c r="G271" i="2"/>
  <c r="F271" i="2"/>
  <c r="C271" i="2"/>
  <c r="A271" i="2"/>
  <c r="D271" i="2" s="1"/>
  <c r="E271" i="2" s="1"/>
  <c r="L270" i="2"/>
  <c r="K270" i="2"/>
  <c r="J270" i="2"/>
  <c r="I270" i="2"/>
  <c r="H270" i="2"/>
  <c r="G270" i="2"/>
  <c r="F270" i="2"/>
  <c r="A270" i="2" s="1"/>
  <c r="B270" i="2" s="1"/>
  <c r="L269" i="2"/>
  <c r="K269" i="2"/>
  <c r="J269" i="2"/>
  <c r="I269" i="2"/>
  <c r="H269" i="2"/>
  <c r="G269" i="2"/>
  <c r="F269" i="2"/>
  <c r="A269" i="2"/>
  <c r="L268" i="2"/>
  <c r="K268" i="2"/>
  <c r="J268" i="2"/>
  <c r="I268" i="2"/>
  <c r="H268" i="2"/>
  <c r="G268" i="2"/>
  <c r="F268" i="2"/>
  <c r="A268" i="2" s="1"/>
  <c r="B268" i="2" s="1"/>
  <c r="L267" i="2"/>
  <c r="K267" i="2"/>
  <c r="J267" i="2"/>
  <c r="I267" i="2"/>
  <c r="H267" i="2"/>
  <c r="G267" i="2"/>
  <c r="F267" i="2"/>
  <c r="C267" i="2"/>
  <c r="A267" i="2"/>
  <c r="D267" i="2" s="1"/>
  <c r="E267" i="2" s="1"/>
  <c r="L266" i="2"/>
  <c r="K266" i="2"/>
  <c r="J266" i="2"/>
  <c r="I266" i="2"/>
  <c r="H266" i="2"/>
  <c r="G266" i="2"/>
  <c r="F266" i="2"/>
  <c r="A266" i="2" s="1"/>
  <c r="B266" i="2" s="1"/>
  <c r="L265" i="2"/>
  <c r="K265" i="2"/>
  <c r="J265" i="2"/>
  <c r="I265" i="2"/>
  <c r="H265" i="2"/>
  <c r="G265" i="2"/>
  <c r="F265" i="2"/>
  <c r="A265" i="2"/>
  <c r="B265" i="2" s="1"/>
  <c r="L264" i="2"/>
  <c r="K264" i="2"/>
  <c r="J264" i="2"/>
  <c r="I264" i="2"/>
  <c r="H264" i="2"/>
  <c r="G264" i="2"/>
  <c r="F264" i="2"/>
  <c r="A264" i="2" s="1"/>
  <c r="B264" i="2" s="1"/>
  <c r="L263" i="2"/>
  <c r="K263" i="2"/>
  <c r="J263" i="2"/>
  <c r="I263" i="2"/>
  <c r="H263" i="2"/>
  <c r="G263" i="2"/>
  <c r="F263" i="2"/>
  <c r="A263" i="2"/>
  <c r="D263" i="2" s="1"/>
  <c r="E263" i="2" s="1"/>
  <c r="L262" i="2"/>
  <c r="K262" i="2"/>
  <c r="J262" i="2"/>
  <c r="I262" i="2"/>
  <c r="H262" i="2"/>
  <c r="G262" i="2"/>
  <c r="F262" i="2"/>
  <c r="A262" i="2" s="1"/>
  <c r="B262" i="2" s="1"/>
  <c r="C262" i="2"/>
  <c r="L261" i="2"/>
  <c r="K261" i="2"/>
  <c r="J261" i="2"/>
  <c r="I261" i="2"/>
  <c r="H261" i="2"/>
  <c r="G261" i="2"/>
  <c r="F261" i="2"/>
  <c r="A261" i="2"/>
  <c r="L260" i="2"/>
  <c r="K260" i="2"/>
  <c r="J260" i="2"/>
  <c r="I260" i="2"/>
  <c r="H260" i="2"/>
  <c r="G260" i="2"/>
  <c r="F260" i="2"/>
  <c r="A260" i="2" s="1"/>
  <c r="B260" i="2" s="1"/>
  <c r="L259" i="2"/>
  <c r="K259" i="2"/>
  <c r="J259" i="2"/>
  <c r="I259" i="2"/>
  <c r="H259" i="2"/>
  <c r="G259" i="2"/>
  <c r="F259" i="2"/>
  <c r="A259" i="2"/>
  <c r="D259" i="2" s="1"/>
  <c r="E259" i="2" s="1"/>
  <c r="L258" i="2"/>
  <c r="K258" i="2"/>
  <c r="J258" i="2"/>
  <c r="I258" i="2"/>
  <c r="H258" i="2"/>
  <c r="G258" i="2"/>
  <c r="F258" i="2"/>
  <c r="A258" i="2" s="1"/>
  <c r="B258" i="2" s="1"/>
  <c r="C258" i="2"/>
  <c r="L257" i="2"/>
  <c r="K257" i="2"/>
  <c r="J257" i="2"/>
  <c r="I257" i="2"/>
  <c r="H257" i="2"/>
  <c r="G257" i="2"/>
  <c r="F257" i="2"/>
  <c r="B257" i="2"/>
  <c r="A257" i="2"/>
  <c r="L256" i="2"/>
  <c r="K256" i="2"/>
  <c r="J256" i="2"/>
  <c r="I256" i="2"/>
  <c r="H256" i="2"/>
  <c r="G256" i="2"/>
  <c r="F256" i="2"/>
  <c r="A256" i="2" s="1"/>
  <c r="B256" i="2" s="1"/>
  <c r="L255" i="2"/>
  <c r="K255" i="2"/>
  <c r="J255" i="2"/>
  <c r="I255" i="2"/>
  <c r="H255" i="2"/>
  <c r="G255" i="2"/>
  <c r="F255" i="2"/>
  <c r="C255" i="2"/>
  <c r="A255" i="2"/>
  <c r="D255" i="2" s="1"/>
  <c r="E255" i="2" s="1"/>
  <c r="L254" i="2"/>
  <c r="K254" i="2"/>
  <c r="J254" i="2"/>
  <c r="I254" i="2"/>
  <c r="H254" i="2"/>
  <c r="G254" i="2"/>
  <c r="F254" i="2"/>
  <c r="A254" i="2" s="1"/>
  <c r="B254" i="2" s="1"/>
  <c r="L253" i="2"/>
  <c r="K253" i="2"/>
  <c r="J253" i="2"/>
  <c r="I253" i="2"/>
  <c r="H253" i="2"/>
  <c r="G253" i="2"/>
  <c r="F253" i="2"/>
  <c r="A253" i="2"/>
  <c r="L252" i="2"/>
  <c r="K252" i="2"/>
  <c r="J252" i="2"/>
  <c r="I252" i="2"/>
  <c r="H252" i="2"/>
  <c r="G252" i="2"/>
  <c r="F252" i="2"/>
  <c r="A252" i="2" s="1"/>
  <c r="B252" i="2" s="1"/>
  <c r="L251" i="2"/>
  <c r="K251" i="2"/>
  <c r="J251" i="2"/>
  <c r="I251" i="2"/>
  <c r="H251" i="2"/>
  <c r="G251" i="2"/>
  <c r="F251" i="2"/>
  <c r="C251" i="2"/>
  <c r="A251" i="2"/>
  <c r="D251" i="2" s="1"/>
  <c r="E251" i="2" s="1"/>
  <c r="L250" i="2"/>
  <c r="K250" i="2"/>
  <c r="J250" i="2"/>
  <c r="I250" i="2"/>
  <c r="H250" i="2"/>
  <c r="G250" i="2"/>
  <c r="F250" i="2"/>
  <c r="A250" i="2" s="1"/>
  <c r="B250" i="2" s="1"/>
  <c r="L249" i="2"/>
  <c r="K249" i="2"/>
  <c r="J249" i="2"/>
  <c r="I249" i="2"/>
  <c r="H249" i="2"/>
  <c r="G249" i="2"/>
  <c r="F249" i="2"/>
  <c r="B249" i="2"/>
  <c r="A249" i="2"/>
  <c r="L248" i="2"/>
  <c r="K248" i="2"/>
  <c r="J248" i="2"/>
  <c r="I248" i="2"/>
  <c r="H248" i="2"/>
  <c r="G248" i="2"/>
  <c r="F248" i="2"/>
  <c r="A248" i="2" s="1"/>
  <c r="B248" i="2" s="1"/>
  <c r="L247" i="2"/>
  <c r="K247" i="2"/>
  <c r="J247" i="2"/>
  <c r="I247" i="2"/>
  <c r="H247" i="2"/>
  <c r="G247" i="2"/>
  <c r="F247" i="2"/>
  <c r="C247" i="2"/>
  <c r="A247" i="2"/>
  <c r="D247" i="2" s="1"/>
  <c r="E247" i="2" s="1"/>
  <c r="L246" i="2"/>
  <c r="K246" i="2"/>
  <c r="J246" i="2"/>
  <c r="I246" i="2"/>
  <c r="H246" i="2"/>
  <c r="G246" i="2"/>
  <c r="F246" i="2"/>
  <c r="A246" i="2" s="1"/>
  <c r="B246" i="2" s="1"/>
  <c r="L245" i="2"/>
  <c r="K245" i="2"/>
  <c r="J245" i="2"/>
  <c r="I245" i="2"/>
  <c r="H245" i="2"/>
  <c r="G245" i="2"/>
  <c r="F245" i="2"/>
  <c r="A245" i="2"/>
  <c r="L244" i="2"/>
  <c r="K244" i="2"/>
  <c r="J244" i="2"/>
  <c r="I244" i="2"/>
  <c r="H244" i="2"/>
  <c r="G244" i="2"/>
  <c r="F244" i="2"/>
  <c r="A244" i="2" s="1"/>
  <c r="B244" i="2" s="1"/>
  <c r="L243" i="2"/>
  <c r="K243" i="2"/>
  <c r="J243" i="2"/>
  <c r="I243" i="2"/>
  <c r="H243" i="2"/>
  <c r="G243" i="2"/>
  <c r="F243" i="2"/>
  <c r="C243" i="2"/>
  <c r="A243" i="2"/>
  <c r="D243" i="2" s="1"/>
  <c r="E243" i="2" s="1"/>
  <c r="L242" i="2"/>
  <c r="K242" i="2"/>
  <c r="J242" i="2"/>
  <c r="I242" i="2"/>
  <c r="H242" i="2"/>
  <c r="G242" i="2"/>
  <c r="F242" i="2"/>
  <c r="A242" i="2" s="1"/>
  <c r="B242" i="2" s="1"/>
  <c r="L241" i="2"/>
  <c r="K241" i="2"/>
  <c r="J241" i="2"/>
  <c r="I241" i="2"/>
  <c r="H241" i="2"/>
  <c r="G241" i="2"/>
  <c r="F241" i="2"/>
  <c r="A241" i="2"/>
  <c r="B241" i="2" s="1"/>
  <c r="L240" i="2"/>
  <c r="K240" i="2"/>
  <c r="J240" i="2"/>
  <c r="I240" i="2"/>
  <c r="H240" i="2"/>
  <c r="G240" i="2"/>
  <c r="F240" i="2"/>
  <c r="A240" i="2" s="1"/>
  <c r="B240" i="2" s="1"/>
  <c r="L239" i="2"/>
  <c r="K239" i="2"/>
  <c r="J239" i="2"/>
  <c r="I239" i="2"/>
  <c r="H239" i="2"/>
  <c r="G239" i="2"/>
  <c r="F239" i="2"/>
  <c r="A239" i="2"/>
  <c r="D239" i="2" s="1"/>
  <c r="E239" i="2" s="1"/>
  <c r="L238" i="2"/>
  <c r="K238" i="2"/>
  <c r="J238" i="2"/>
  <c r="I238" i="2"/>
  <c r="H238" i="2"/>
  <c r="G238" i="2"/>
  <c r="F238" i="2"/>
  <c r="A238" i="2" s="1"/>
  <c r="B238" i="2" s="1"/>
  <c r="C238" i="2"/>
  <c r="L237" i="2"/>
  <c r="K237" i="2"/>
  <c r="J237" i="2"/>
  <c r="I237" i="2"/>
  <c r="H237" i="2"/>
  <c r="G237" i="2"/>
  <c r="F237" i="2"/>
  <c r="A237" i="2"/>
  <c r="L236" i="2"/>
  <c r="K236" i="2"/>
  <c r="J236" i="2"/>
  <c r="I236" i="2"/>
  <c r="H236" i="2"/>
  <c r="G236" i="2"/>
  <c r="F236" i="2"/>
  <c r="A236" i="2" s="1"/>
  <c r="B236" i="2" s="1"/>
  <c r="L235" i="2"/>
  <c r="K235" i="2"/>
  <c r="J235" i="2"/>
  <c r="I235" i="2"/>
  <c r="H235" i="2"/>
  <c r="G235" i="2"/>
  <c r="F235" i="2"/>
  <c r="A235" i="2"/>
  <c r="D235" i="2" s="1"/>
  <c r="E235" i="2" s="1"/>
  <c r="L234" i="2"/>
  <c r="K234" i="2"/>
  <c r="J234" i="2"/>
  <c r="I234" i="2"/>
  <c r="H234" i="2"/>
  <c r="G234" i="2"/>
  <c r="F234" i="2"/>
  <c r="A234" i="2" s="1"/>
  <c r="B234" i="2" s="1"/>
  <c r="C234" i="2"/>
  <c r="L233" i="2"/>
  <c r="K233" i="2"/>
  <c r="J233" i="2"/>
  <c r="I233" i="2"/>
  <c r="H233" i="2"/>
  <c r="G233" i="2"/>
  <c r="F233" i="2"/>
  <c r="B233" i="2"/>
  <c r="A233" i="2"/>
  <c r="L232" i="2"/>
  <c r="K232" i="2"/>
  <c r="J232" i="2"/>
  <c r="I232" i="2"/>
  <c r="H232" i="2"/>
  <c r="G232" i="2"/>
  <c r="F232" i="2"/>
  <c r="A232" i="2" s="1"/>
  <c r="B232" i="2" s="1"/>
  <c r="L231" i="2"/>
  <c r="K231" i="2"/>
  <c r="J231" i="2"/>
  <c r="I231" i="2"/>
  <c r="H231" i="2"/>
  <c r="G231" i="2"/>
  <c r="F231" i="2"/>
  <c r="C231" i="2"/>
  <c r="A231" i="2"/>
  <c r="D231" i="2" s="1"/>
  <c r="E231" i="2" s="1"/>
  <c r="L230" i="2"/>
  <c r="K230" i="2"/>
  <c r="J230" i="2"/>
  <c r="I230" i="2"/>
  <c r="H230" i="2"/>
  <c r="G230" i="2"/>
  <c r="F230" i="2"/>
  <c r="A230" i="2" s="1"/>
  <c r="B230" i="2" s="1"/>
  <c r="L229" i="2"/>
  <c r="K229" i="2"/>
  <c r="J229" i="2"/>
  <c r="I229" i="2"/>
  <c r="H229" i="2"/>
  <c r="G229" i="2"/>
  <c r="F229" i="2"/>
  <c r="A229" i="2"/>
  <c r="L228" i="2"/>
  <c r="K228" i="2"/>
  <c r="J228" i="2"/>
  <c r="I228" i="2"/>
  <c r="H228" i="2"/>
  <c r="G228" i="2"/>
  <c r="F228" i="2"/>
  <c r="A228" i="2" s="1"/>
  <c r="B228" i="2" s="1"/>
  <c r="L227" i="2"/>
  <c r="K227" i="2"/>
  <c r="J227" i="2"/>
  <c r="I227" i="2"/>
  <c r="H227" i="2"/>
  <c r="G227" i="2"/>
  <c r="F227" i="2"/>
  <c r="C227" i="2"/>
  <c r="A227" i="2"/>
  <c r="D227" i="2" s="1"/>
  <c r="E227" i="2" s="1"/>
  <c r="L226" i="2"/>
  <c r="K226" i="2"/>
  <c r="J226" i="2"/>
  <c r="I226" i="2"/>
  <c r="H226" i="2"/>
  <c r="G226" i="2"/>
  <c r="F226" i="2"/>
  <c r="A226" i="2" s="1"/>
  <c r="B226" i="2" s="1"/>
  <c r="L225" i="2"/>
  <c r="K225" i="2"/>
  <c r="J225" i="2"/>
  <c r="I225" i="2"/>
  <c r="H225" i="2"/>
  <c r="G225" i="2"/>
  <c r="F225" i="2"/>
  <c r="B225" i="2"/>
  <c r="A225" i="2"/>
  <c r="L224" i="2"/>
  <c r="K224" i="2"/>
  <c r="J224" i="2"/>
  <c r="I224" i="2"/>
  <c r="H224" i="2"/>
  <c r="G224" i="2"/>
  <c r="F224" i="2"/>
  <c r="A224" i="2" s="1"/>
  <c r="B224" i="2" s="1"/>
  <c r="L223" i="2"/>
  <c r="K223" i="2"/>
  <c r="J223" i="2"/>
  <c r="I223" i="2"/>
  <c r="H223" i="2"/>
  <c r="G223" i="2"/>
  <c r="F223" i="2"/>
  <c r="C223" i="2"/>
  <c r="A223" i="2"/>
  <c r="D223" i="2" s="1"/>
  <c r="E223" i="2" s="1"/>
  <c r="L222" i="2"/>
  <c r="K222" i="2"/>
  <c r="J222" i="2"/>
  <c r="I222" i="2"/>
  <c r="H222" i="2"/>
  <c r="G222" i="2"/>
  <c r="F222" i="2"/>
  <c r="A222" i="2" s="1"/>
  <c r="B222" i="2" s="1"/>
  <c r="L221" i="2"/>
  <c r="K221" i="2"/>
  <c r="J221" i="2"/>
  <c r="I221" i="2"/>
  <c r="H221" i="2"/>
  <c r="G221" i="2"/>
  <c r="F221" i="2"/>
  <c r="A221" i="2"/>
  <c r="L220" i="2"/>
  <c r="K220" i="2"/>
  <c r="J220" i="2"/>
  <c r="I220" i="2"/>
  <c r="H220" i="2"/>
  <c r="G220" i="2"/>
  <c r="F220" i="2"/>
  <c r="A220" i="2" s="1"/>
  <c r="B220" i="2" s="1"/>
  <c r="L219" i="2"/>
  <c r="K219" i="2"/>
  <c r="J219" i="2"/>
  <c r="I219" i="2"/>
  <c r="H219" i="2"/>
  <c r="G219" i="2"/>
  <c r="F219" i="2"/>
  <c r="C219" i="2"/>
  <c r="A219" i="2"/>
  <c r="D219" i="2" s="1"/>
  <c r="E219" i="2" s="1"/>
  <c r="L218" i="2"/>
  <c r="K218" i="2"/>
  <c r="J218" i="2"/>
  <c r="I218" i="2"/>
  <c r="H218" i="2"/>
  <c r="G218" i="2"/>
  <c r="F218" i="2"/>
  <c r="A218" i="2" s="1"/>
  <c r="B218" i="2" s="1"/>
  <c r="L217" i="2"/>
  <c r="K217" i="2"/>
  <c r="J217" i="2"/>
  <c r="I217" i="2"/>
  <c r="H217" i="2"/>
  <c r="G217" i="2"/>
  <c r="F217" i="2"/>
  <c r="A217" i="2"/>
  <c r="B217" i="2" s="1"/>
  <c r="L216" i="2"/>
  <c r="K216" i="2"/>
  <c r="J216" i="2"/>
  <c r="I216" i="2"/>
  <c r="H216" i="2"/>
  <c r="G216" i="2"/>
  <c r="F216" i="2"/>
  <c r="A216" i="2" s="1"/>
  <c r="B216" i="2" s="1"/>
  <c r="L215" i="2"/>
  <c r="K215" i="2"/>
  <c r="J215" i="2"/>
  <c r="I215" i="2"/>
  <c r="H215" i="2"/>
  <c r="G215" i="2"/>
  <c r="F215" i="2"/>
  <c r="A215" i="2"/>
  <c r="D215" i="2" s="1"/>
  <c r="E215" i="2" s="1"/>
  <c r="L214" i="2"/>
  <c r="K214" i="2"/>
  <c r="J214" i="2"/>
  <c r="I214" i="2"/>
  <c r="H214" i="2"/>
  <c r="G214" i="2"/>
  <c r="F214" i="2"/>
  <c r="A214" i="2" s="1"/>
  <c r="B214" i="2" s="1"/>
  <c r="C214" i="2"/>
  <c r="L213" i="2"/>
  <c r="K213" i="2"/>
  <c r="J213" i="2"/>
  <c r="I213" i="2"/>
  <c r="H213" i="2"/>
  <c r="G213" i="2"/>
  <c r="F213" i="2"/>
  <c r="A213" i="2"/>
  <c r="L212" i="2"/>
  <c r="K212" i="2"/>
  <c r="J212" i="2"/>
  <c r="I212" i="2"/>
  <c r="H212" i="2"/>
  <c r="G212" i="2"/>
  <c r="F212" i="2"/>
  <c r="A212" i="2" s="1"/>
  <c r="B212" i="2" s="1"/>
  <c r="L211" i="2"/>
  <c r="K211" i="2"/>
  <c r="J211" i="2"/>
  <c r="I211" i="2"/>
  <c r="H211" i="2"/>
  <c r="G211" i="2"/>
  <c r="F211" i="2"/>
  <c r="A211" i="2"/>
  <c r="D211" i="2" s="1"/>
  <c r="E211" i="2" s="1"/>
  <c r="L210" i="2"/>
  <c r="K210" i="2"/>
  <c r="J210" i="2"/>
  <c r="I210" i="2"/>
  <c r="H210" i="2"/>
  <c r="G210" i="2"/>
  <c r="F210" i="2"/>
  <c r="A210" i="2" s="1"/>
  <c r="B210" i="2" s="1"/>
  <c r="C210" i="2"/>
  <c r="L209" i="2"/>
  <c r="K209" i="2"/>
  <c r="J209" i="2"/>
  <c r="I209" i="2"/>
  <c r="H209" i="2"/>
  <c r="G209" i="2"/>
  <c r="F209" i="2"/>
  <c r="B209" i="2"/>
  <c r="A209" i="2"/>
  <c r="L208" i="2"/>
  <c r="K208" i="2"/>
  <c r="J208" i="2"/>
  <c r="I208" i="2"/>
  <c r="H208" i="2"/>
  <c r="G208" i="2"/>
  <c r="F208" i="2"/>
  <c r="A208" i="2" s="1"/>
  <c r="B208" i="2" s="1"/>
  <c r="L207" i="2"/>
  <c r="K207" i="2"/>
  <c r="J207" i="2"/>
  <c r="I207" i="2"/>
  <c r="H207" i="2"/>
  <c r="G207" i="2"/>
  <c r="F207" i="2"/>
  <c r="C207" i="2"/>
  <c r="A207" i="2"/>
  <c r="D207" i="2" s="1"/>
  <c r="E207" i="2" s="1"/>
  <c r="L206" i="2"/>
  <c r="K206" i="2"/>
  <c r="J206" i="2"/>
  <c r="I206" i="2"/>
  <c r="H206" i="2"/>
  <c r="G206" i="2"/>
  <c r="F206" i="2"/>
  <c r="A206" i="2" s="1"/>
  <c r="B206" i="2" s="1"/>
  <c r="L205" i="2"/>
  <c r="K205" i="2"/>
  <c r="J205" i="2"/>
  <c r="I205" i="2"/>
  <c r="H205" i="2"/>
  <c r="G205" i="2"/>
  <c r="F205" i="2"/>
  <c r="A205" i="2"/>
  <c r="L204" i="2"/>
  <c r="K204" i="2"/>
  <c r="J204" i="2"/>
  <c r="I204" i="2"/>
  <c r="H204" i="2"/>
  <c r="G204" i="2"/>
  <c r="F204" i="2"/>
  <c r="A204" i="2" s="1"/>
  <c r="B204" i="2" s="1"/>
  <c r="L203" i="2"/>
  <c r="K203" i="2"/>
  <c r="J203" i="2"/>
  <c r="I203" i="2"/>
  <c r="H203" i="2"/>
  <c r="G203" i="2"/>
  <c r="F203" i="2"/>
  <c r="C203" i="2"/>
  <c r="A203" i="2"/>
  <c r="D203" i="2" s="1"/>
  <c r="E203" i="2" s="1"/>
  <c r="L202" i="2"/>
  <c r="K202" i="2"/>
  <c r="J202" i="2"/>
  <c r="I202" i="2"/>
  <c r="H202" i="2"/>
  <c r="G202" i="2"/>
  <c r="F202" i="2"/>
  <c r="A202" i="2" s="1"/>
  <c r="B202" i="2" s="1"/>
  <c r="L201" i="2"/>
  <c r="K201" i="2"/>
  <c r="J201" i="2"/>
  <c r="I201" i="2"/>
  <c r="H201" i="2"/>
  <c r="G201" i="2"/>
  <c r="F201" i="2"/>
  <c r="A201" i="2"/>
  <c r="B201" i="2" s="1"/>
  <c r="L200" i="2"/>
  <c r="K200" i="2"/>
  <c r="J200" i="2"/>
  <c r="I200" i="2"/>
  <c r="H200" i="2"/>
  <c r="G200" i="2"/>
  <c r="F200" i="2"/>
  <c r="A200" i="2" s="1"/>
  <c r="B200" i="2" s="1"/>
  <c r="L199" i="2"/>
  <c r="K199" i="2"/>
  <c r="J199" i="2"/>
  <c r="I199" i="2"/>
  <c r="H199" i="2"/>
  <c r="G199" i="2"/>
  <c r="F199" i="2"/>
  <c r="A199" i="2"/>
  <c r="D199" i="2" s="1"/>
  <c r="E199" i="2" s="1"/>
  <c r="L198" i="2"/>
  <c r="K198" i="2"/>
  <c r="J198" i="2"/>
  <c r="I198" i="2"/>
  <c r="H198" i="2"/>
  <c r="G198" i="2"/>
  <c r="F198" i="2"/>
  <c r="A198" i="2" s="1"/>
  <c r="B198" i="2" s="1"/>
  <c r="C198" i="2"/>
  <c r="L197" i="2"/>
  <c r="K197" i="2"/>
  <c r="J197" i="2"/>
  <c r="I197" i="2"/>
  <c r="H197" i="2"/>
  <c r="G197" i="2"/>
  <c r="F197" i="2"/>
  <c r="A197" i="2"/>
  <c r="L196" i="2"/>
  <c r="K196" i="2"/>
  <c r="J196" i="2"/>
  <c r="I196" i="2"/>
  <c r="H196" i="2"/>
  <c r="G196" i="2"/>
  <c r="F196" i="2"/>
  <c r="A196" i="2" s="1"/>
  <c r="B196" i="2" s="1"/>
  <c r="L195" i="2"/>
  <c r="K195" i="2"/>
  <c r="J195" i="2"/>
  <c r="I195" i="2"/>
  <c r="H195" i="2"/>
  <c r="G195" i="2"/>
  <c r="F195" i="2"/>
  <c r="A195" i="2"/>
  <c r="D195" i="2" s="1"/>
  <c r="E195" i="2" s="1"/>
  <c r="L194" i="2"/>
  <c r="K194" i="2"/>
  <c r="J194" i="2"/>
  <c r="I194" i="2"/>
  <c r="H194" i="2"/>
  <c r="G194" i="2"/>
  <c r="F194" i="2"/>
  <c r="A194" i="2" s="1"/>
  <c r="B194" i="2" s="1"/>
  <c r="C194" i="2"/>
  <c r="L193" i="2"/>
  <c r="K193" i="2"/>
  <c r="J193" i="2"/>
  <c r="I193" i="2"/>
  <c r="H193" i="2"/>
  <c r="G193" i="2"/>
  <c r="F193" i="2"/>
  <c r="B193" i="2"/>
  <c r="A193" i="2"/>
  <c r="L192" i="2"/>
  <c r="K192" i="2"/>
  <c r="J192" i="2"/>
  <c r="I192" i="2"/>
  <c r="H192" i="2"/>
  <c r="G192" i="2"/>
  <c r="F192" i="2"/>
  <c r="A192" i="2" s="1"/>
  <c r="B192" i="2" s="1"/>
  <c r="L191" i="2"/>
  <c r="K191" i="2"/>
  <c r="J191" i="2"/>
  <c r="I191" i="2"/>
  <c r="H191" i="2"/>
  <c r="G191" i="2"/>
  <c r="F191" i="2"/>
  <c r="C191" i="2"/>
  <c r="A191" i="2"/>
  <c r="D191" i="2" s="1"/>
  <c r="E191" i="2" s="1"/>
  <c r="L190" i="2"/>
  <c r="K190" i="2"/>
  <c r="J190" i="2"/>
  <c r="I190" i="2"/>
  <c r="H190" i="2"/>
  <c r="G190" i="2"/>
  <c r="F190" i="2"/>
  <c r="A190" i="2" s="1"/>
  <c r="B190" i="2" s="1"/>
  <c r="L189" i="2"/>
  <c r="K189" i="2"/>
  <c r="J189" i="2"/>
  <c r="I189" i="2"/>
  <c r="H189" i="2"/>
  <c r="G189" i="2"/>
  <c r="F189" i="2"/>
  <c r="A189" i="2"/>
  <c r="L188" i="2"/>
  <c r="K188" i="2"/>
  <c r="J188" i="2"/>
  <c r="I188" i="2"/>
  <c r="H188" i="2"/>
  <c r="G188" i="2"/>
  <c r="F188" i="2"/>
  <c r="A188" i="2" s="1"/>
  <c r="B188" i="2" s="1"/>
  <c r="L187" i="2"/>
  <c r="K187" i="2"/>
  <c r="J187" i="2"/>
  <c r="I187" i="2"/>
  <c r="H187" i="2"/>
  <c r="G187" i="2"/>
  <c r="F187" i="2"/>
  <c r="C187" i="2"/>
  <c r="A187" i="2"/>
  <c r="D187" i="2" s="1"/>
  <c r="E187" i="2" s="1"/>
  <c r="L186" i="2"/>
  <c r="K186" i="2"/>
  <c r="J186" i="2"/>
  <c r="I186" i="2"/>
  <c r="H186" i="2"/>
  <c r="G186" i="2"/>
  <c r="F186" i="2"/>
  <c r="A186" i="2" s="1"/>
  <c r="B186" i="2" s="1"/>
  <c r="L185" i="2"/>
  <c r="K185" i="2"/>
  <c r="J185" i="2"/>
  <c r="I185" i="2"/>
  <c r="H185" i="2"/>
  <c r="G185" i="2"/>
  <c r="F185" i="2"/>
  <c r="B185" i="2"/>
  <c r="A185" i="2"/>
  <c r="L184" i="2"/>
  <c r="K184" i="2"/>
  <c r="J184" i="2"/>
  <c r="I184" i="2"/>
  <c r="H184" i="2"/>
  <c r="G184" i="2"/>
  <c r="F184" i="2"/>
  <c r="A184" i="2" s="1"/>
  <c r="B184" i="2" s="1"/>
  <c r="L183" i="2"/>
  <c r="K183" i="2"/>
  <c r="J183" i="2"/>
  <c r="I183" i="2"/>
  <c r="H183" i="2"/>
  <c r="G183" i="2"/>
  <c r="F183" i="2"/>
  <c r="C183" i="2"/>
  <c r="A183" i="2"/>
  <c r="D183" i="2" s="1"/>
  <c r="E183" i="2" s="1"/>
  <c r="L182" i="2"/>
  <c r="K182" i="2"/>
  <c r="J182" i="2"/>
  <c r="I182" i="2"/>
  <c r="H182" i="2"/>
  <c r="G182" i="2"/>
  <c r="F182" i="2"/>
  <c r="A182" i="2" s="1"/>
  <c r="B182" i="2" s="1"/>
  <c r="L181" i="2"/>
  <c r="K181" i="2"/>
  <c r="J181" i="2"/>
  <c r="I181" i="2"/>
  <c r="H181" i="2"/>
  <c r="G181" i="2"/>
  <c r="F181" i="2"/>
  <c r="A181" i="2"/>
  <c r="L180" i="2"/>
  <c r="K180" i="2"/>
  <c r="J180" i="2"/>
  <c r="I180" i="2"/>
  <c r="H180" i="2"/>
  <c r="G180" i="2"/>
  <c r="F180" i="2"/>
  <c r="A180" i="2" s="1"/>
  <c r="B180" i="2" s="1"/>
  <c r="L179" i="2"/>
  <c r="K179" i="2"/>
  <c r="J179" i="2"/>
  <c r="I179" i="2"/>
  <c r="H179" i="2"/>
  <c r="G179" i="2"/>
  <c r="F179" i="2"/>
  <c r="C179" i="2"/>
  <c r="A179" i="2"/>
  <c r="D179" i="2" s="1"/>
  <c r="E179" i="2" s="1"/>
  <c r="L178" i="2"/>
  <c r="K178" i="2"/>
  <c r="J178" i="2"/>
  <c r="I178" i="2"/>
  <c r="H178" i="2"/>
  <c r="G178" i="2"/>
  <c r="F178" i="2"/>
  <c r="A178" i="2" s="1"/>
  <c r="B178" i="2" s="1"/>
  <c r="L177" i="2"/>
  <c r="K177" i="2"/>
  <c r="J177" i="2"/>
  <c r="I177" i="2"/>
  <c r="H177" i="2"/>
  <c r="G177" i="2"/>
  <c r="F177" i="2"/>
  <c r="A177" i="2"/>
  <c r="B177" i="2" s="1"/>
  <c r="L176" i="2"/>
  <c r="K176" i="2"/>
  <c r="J176" i="2"/>
  <c r="I176" i="2"/>
  <c r="H176" i="2"/>
  <c r="G176" i="2"/>
  <c r="F176" i="2"/>
  <c r="A176" i="2" s="1"/>
  <c r="B176" i="2" s="1"/>
  <c r="L175" i="2"/>
  <c r="K175" i="2"/>
  <c r="J175" i="2"/>
  <c r="I175" i="2"/>
  <c r="H175" i="2"/>
  <c r="G175" i="2"/>
  <c r="F175" i="2"/>
  <c r="A175" i="2"/>
  <c r="D175" i="2" s="1"/>
  <c r="E175" i="2" s="1"/>
  <c r="L174" i="2"/>
  <c r="K174" i="2"/>
  <c r="J174" i="2"/>
  <c r="I174" i="2"/>
  <c r="H174" i="2"/>
  <c r="G174" i="2"/>
  <c r="F174" i="2"/>
  <c r="A174" i="2" s="1"/>
  <c r="B174" i="2" s="1"/>
  <c r="C174" i="2"/>
  <c r="L173" i="2"/>
  <c r="K173" i="2"/>
  <c r="J173" i="2"/>
  <c r="I173" i="2"/>
  <c r="H173" i="2"/>
  <c r="G173" i="2"/>
  <c r="F173" i="2"/>
  <c r="A173" i="2"/>
  <c r="L172" i="2"/>
  <c r="K172" i="2"/>
  <c r="J172" i="2"/>
  <c r="I172" i="2"/>
  <c r="H172" i="2"/>
  <c r="G172" i="2"/>
  <c r="F172" i="2"/>
  <c r="A172" i="2" s="1"/>
  <c r="B172" i="2" s="1"/>
  <c r="L171" i="2"/>
  <c r="K171" i="2"/>
  <c r="J171" i="2"/>
  <c r="I171" i="2"/>
  <c r="H171" i="2"/>
  <c r="G171" i="2"/>
  <c r="F171" i="2"/>
  <c r="A171" i="2" s="1"/>
  <c r="C171" i="2" s="1"/>
  <c r="L170" i="2"/>
  <c r="K170" i="2"/>
  <c r="J170" i="2"/>
  <c r="I170" i="2"/>
  <c r="H170" i="2"/>
  <c r="G170" i="2"/>
  <c r="F170" i="2"/>
  <c r="A170" i="2" s="1"/>
  <c r="D170" i="2" s="1"/>
  <c r="E170" i="2" s="1"/>
  <c r="B170" i="2"/>
  <c r="L169" i="2"/>
  <c r="K169" i="2"/>
  <c r="J169" i="2"/>
  <c r="I169" i="2"/>
  <c r="H169" i="2"/>
  <c r="G169" i="2"/>
  <c r="F169" i="2"/>
  <c r="A169" i="2" s="1"/>
  <c r="D169" i="2" s="1"/>
  <c r="E169" i="2" s="1"/>
  <c r="B169" i="2"/>
  <c r="L168" i="2"/>
  <c r="K168" i="2"/>
  <c r="J168" i="2"/>
  <c r="I168" i="2"/>
  <c r="H168" i="2"/>
  <c r="G168" i="2"/>
  <c r="F168" i="2"/>
  <c r="A168" i="2"/>
  <c r="L167" i="2"/>
  <c r="K167" i="2"/>
  <c r="J167" i="2"/>
  <c r="I167" i="2"/>
  <c r="H167" i="2"/>
  <c r="G167" i="2"/>
  <c r="F167" i="2"/>
  <c r="A167" i="2" s="1"/>
  <c r="C167" i="2" s="1"/>
  <c r="D167" i="2"/>
  <c r="E167" i="2" s="1"/>
  <c r="L166" i="2"/>
  <c r="K166" i="2"/>
  <c r="J166" i="2"/>
  <c r="I166" i="2"/>
  <c r="H166" i="2"/>
  <c r="G166" i="2"/>
  <c r="F166" i="2"/>
  <c r="A166" i="2" s="1"/>
  <c r="L165" i="2"/>
  <c r="K165" i="2"/>
  <c r="J165" i="2"/>
  <c r="I165" i="2"/>
  <c r="H165" i="2"/>
  <c r="G165" i="2"/>
  <c r="F165" i="2"/>
  <c r="A165" i="2" s="1"/>
  <c r="L164" i="2"/>
  <c r="K164" i="2"/>
  <c r="J164" i="2"/>
  <c r="I164" i="2"/>
  <c r="H164" i="2"/>
  <c r="G164" i="2"/>
  <c r="F164" i="2"/>
  <c r="A164" i="2" s="1"/>
  <c r="L163" i="2"/>
  <c r="K163" i="2"/>
  <c r="J163" i="2"/>
  <c r="I163" i="2"/>
  <c r="H163" i="2"/>
  <c r="G163" i="2"/>
  <c r="F163" i="2"/>
  <c r="A163" i="2" s="1"/>
  <c r="D163" i="2" s="1"/>
  <c r="E163" i="2" s="1"/>
  <c r="L162" i="2"/>
  <c r="K162" i="2"/>
  <c r="J162" i="2"/>
  <c r="I162" i="2"/>
  <c r="H162" i="2"/>
  <c r="G162" i="2"/>
  <c r="F162" i="2"/>
  <c r="A162" i="2"/>
  <c r="L161" i="2"/>
  <c r="K161" i="2"/>
  <c r="J161" i="2"/>
  <c r="I161" i="2"/>
  <c r="H161" i="2"/>
  <c r="G161" i="2"/>
  <c r="F161" i="2"/>
  <c r="A161" i="2" s="1"/>
  <c r="C161" i="2" s="1"/>
  <c r="L160" i="2"/>
  <c r="K160" i="2"/>
  <c r="J160" i="2"/>
  <c r="I160" i="2"/>
  <c r="H160" i="2"/>
  <c r="G160" i="2"/>
  <c r="F160" i="2"/>
  <c r="A160" i="2" s="1"/>
  <c r="L159" i="2"/>
  <c r="K159" i="2"/>
  <c r="J159" i="2"/>
  <c r="I159" i="2"/>
  <c r="H159" i="2"/>
  <c r="G159" i="2"/>
  <c r="F159" i="2"/>
  <c r="A159" i="2" s="1"/>
  <c r="C159" i="2" s="1"/>
  <c r="D159" i="2"/>
  <c r="E159" i="2" s="1"/>
  <c r="L158" i="2"/>
  <c r="K158" i="2"/>
  <c r="J158" i="2"/>
  <c r="I158" i="2"/>
  <c r="H158" i="2"/>
  <c r="G158" i="2"/>
  <c r="F158" i="2"/>
  <c r="A158" i="2"/>
  <c r="L157" i="2"/>
  <c r="K157" i="2"/>
  <c r="J157" i="2"/>
  <c r="I157" i="2"/>
  <c r="H157" i="2"/>
  <c r="G157" i="2"/>
  <c r="F157" i="2"/>
  <c r="A157" i="2" s="1"/>
  <c r="D157" i="2"/>
  <c r="E157" i="2" s="1"/>
  <c r="C157" i="2"/>
  <c r="B157" i="2"/>
  <c r="L156" i="2"/>
  <c r="K156" i="2"/>
  <c r="J156" i="2"/>
  <c r="I156" i="2"/>
  <c r="H156" i="2"/>
  <c r="G156" i="2"/>
  <c r="F156" i="2"/>
  <c r="A156" i="2"/>
  <c r="L155" i="2"/>
  <c r="K155" i="2"/>
  <c r="J155" i="2"/>
  <c r="I155" i="2"/>
  <c r="H155" i="2"/>
  <c r="G155" i="2"/>
  <c r="F155" i="2"/>
  <c r="A155" i="2" s="1"/>
  <c r="D155" i="2" s="1"/>
  <c r="E155" i="2" s="1"/>
  <c r="B155" i="2"/>
  <c r="L154" i="2"/>
  <c r="K154" i="2"/>
  <c r="J154" i="2"/>
  <c r="I154" i="2"/>
  <c r="H154" i="2"/>
  <c r="G154" i="2"/>
  <c r="F154" i="2"/>
  <c r="A154" i="2"/>
  <c r="L153" i="2"/>
  <c r="K153" i="2"/>
  <c r="J153" i="2"/>
  <c r="I153" i="2"/>
  <c r="H153" i="2"/>
  <c r="G153" i="2"/>
  <c r="F153" i="2"/>
  <c r="A153" i="2" s="1"/>
  <c r="D153" i="2" s="1"/>
  <c r="E153" i="2" s="1"/>
  <c r="B153" i="2"/>
  <c r="L152" i="2"/>
  <c r="K152" i="2"/>
  <c r="J152" i="2"/>
  <c r="I152" i="2"/>
  <c r="H152" i="2"/>
  <c r="G152" i="2"/>
  <c r="F152" i="2"/>
  <c r="A152" i="2"/>
  <c r="L151" i="2"/>
  <c r="K151" i="2"/>
  <c r="J151" i="2"/>
  <c r="I151" i="2"/>
  <c r="H151" i="2"/>
  <c r="G151" i="2"/>
  <c r="F151" i="2"/>
  <c r="A151" i="2" s="1"/>
  <c r="C151" i="2" s="1"/>
  <c r="D151" i="2"/>
  <c r="E151" i="2" s="1"/>
  <c r="L150" i="2"/>
  <c r="K150" i="2"/>
  <c r="J150" i="2"/>
  <c r="I150" i="2"/>
  <c r="H150" i="2"/>
  <c r="G150" i="2"/>
  <c r="F150" i="2"/>
  <c r="A150" i="2" s="1"/>
  <c r="L149" i="2"/>
  <c r="K149" i="2"/>
  <c r="J149" i="2"/>
  <c r="I149" i="2"/>
  <c r="H149" i="2"/>
  <c r="G149" i="2"/>
  <c r="F149" i="2"/>
  <c r="A149" i="2" s="1"/>
  <c r="L148" i="2"/>
  <c r="K148" i="2"/>
  <c r="J148" i="2"/>
  <c r="I148" i="2"/>
  <c r="H148" i="2"/>
  <c r="G148" i="2"/>
  <c r="F148" i="2"/>
  <c r="A148" i="2" s="1"/>
  <c r="L147" i="2"/>
  <c r="K147" i="2"/>
  <c r="J147" i="2"/>
  <c r="I147" i="2"/>
  <c r="H147" i="2"/>
  <c r="G147" i="2"/>
  <c r="F147" i="2"/>
  <c r="A147" i="2" s="1"/>
  <c r="D147" i="2" s="1"/>
  <c r="E147" i="2" s="1"/>
  <c r="L146" i="2"/>
  <c r="K146" i="2"/>
  <c r="J146" i="2"/>
  <c r="I146" i="2"/>
  <c r="H146" i="2"/>
  <c r="G146" i="2"/>
  <c r="F146" i="2"/>
  <c r="A146" i="2"/>
  <c r="L145" i="2"/>
  <c r="K145" i="2"/>
  <c r="J145" i="2"/>
  <c r="I145" i="2"/>
  <c r="H145" i="2"/>
  <c r="G145" i="2"/>
  <c r="F145" i="2"/>
  <c r="A145" i="2" s="1"/>
  <c r="C145" i="2" s="1"/>
  <c r="L144" i="2"/>
  <c r="K144" i="2"/>
  <c r="J144" i="2"/>
  <c r="I144" i="2"/>
  <c r="H144" i="2"/>
  <c r="G144" i="2"/>
  <c r="F144" i="2"/>
  <c r="A144" i="2" s="1"/>
  <c r="L143" i="2"/>
  <c r="K143" i="2"/>
  <c r="J143" i="2"/>
  <c r="I143" i="2"/>
  <c r="H143" i="2"/>
  <c r="G143" i="2"/>
  <c r="F143" i="2"/>
  <c r="A143" i="2" s="1"/>
  <c r="C143" i="2" s="1"/>
  <c r="D143" i="2"/>
  <c r="E143" i="2" s="1"/>
  <c r="L142" i="2"/>
  <c r="K142" i="2"/>
  <c r="J142" i="2"/>
  <c r="I142" i="2"/>
  <c r="H142" i="2"/>
  <c r="G142" i="2"/>
  <c r="F142" i="2"/>
  <c r="A142" i="2"/>
  <c r="L141" i="2"/>
  <c r="K141" i="2"/>
  <c r="J141" i="2"/>
  <c r="I141" i="2"/>
  <c r="H141" i="2"/>
  <c r="G141" i="2"/>
  <c r="F141" i="2"/>
  <c r="A141" i="2" s="1"/>
  <c r="D141" i="2"/>
  <c r="E141" i="2" s="1"/>
  <c r="C141" i="2"/>
  <c r="B141" i="2"/>
  <c r="L140" i="2"/>
  <c r="K140" i="2"/>
  <c r="J140" i="2"/>
  <c r="I140" i="2"/>
  <c r="H140" i="2"/>
  <c r="G140" i="2"/>
  <c r="F140" i="2"/>
  <c r="A140" i="2"/>
  <c r="L139" i="2"/>
  <c r="K139" i="2"/>
  <c r="J139" i="2"/>
  <c r="I139" i="2"/>
  <c r="H139" i="2"/>
  <c r="G139" i="2"/>
  <c r="F139" i="2"/>
  <c r="A139" i="2" s="1"/>
  <c r="D139" i="2" s="1"/>
  <c r="E139" i="2" s="1"/>
  <c r="B139" i="2"/>
  <c r="L138" i="2"/>
  <c r="K138" i="2"/>
  <c r="J138" i="2"/>
  <c r="I138" i="2"/>
  <c r="H138" i="2"/>
  <c r="G138" i="2"/>
  <c r="F138" i="2"/>
  <c r="A138" i="2"/>
  <c r="L137" i="2"/>
  <c r="K137" i="2"/>
  <c r="J137" i="2"/>
  <c r="I137" i="2"/>
  <c r="H137" i="2"/>
  <c r="G137" i="2"/>
  <c r="F137" i="2"/>
  <c r="A137" i="2" s="1"/>
  <c r="D137" i="2" s="1"/>
  <c r="E137" i="2" s="1"/>
  <c r="B137" i="2"/>
  <c r="L136" i="2"/>
  <c r="K136" i="2"/>
  <c r="J136" i="2"/>
  <c r="I136" i="2"/>
  <c r="H136" i="2"/>
  <c r="G136" i="2"/>
  <c r="F136" i="2"/>
  <c r="A136" i="2"/>
  <c r="L135" i="2"/>
  <c r="K135" i="2"/>
  <c r="J135" i="2"/>
  <c r="I135" i="2"/>
  <c r="H135" i="2"/>
  <c r="G135" i="2"/>
  <c r="F135" i="2"/>
  <c r="A135" i="2" s="1"/>
  <c r="C135" i="2" s="1"/>
  <c r="D135" i="2"/>
  <c r="E135" i="2" s="1"/>
  <c r="L134" i="2"/>
  <c r="K134" i="2"/>
  <c r="J134" i="2"/>
  <c r="I134" i="2"/>
  <c r="H134" i="2"/>
  <c r="G134" i="2"/>
  <c r="F134" i="2"/>
  <c r="A134" i="2" s="1"/>
  <c r="L133" i="2"/>
  <c r="K133" i="2"/>
  <c r="J133" i="2"/>
  <c r="I133" i="2"/>
  <c r="H133" i="2"/>
  <c r="G133" i="2"/>
  <c r="F133" i="2"/>
  <c r="A133" i="2" s="1"/>
  <c r="L132" i="2"/>
  <c r="K132" i="2"/>
  <c r="J132" i="2"/>
  <c r="I132" i="2"/>
  <c r="H132" i="2"/>
  <c r="G132" i="2"/>
  <c r="F132" i="2"/>
  <c r="A132" i="2" s="1"/>
  <c r="L131" i="2"/>
  <c r="K131" i="2"/>
  <c r="J131" i="2"/>
  <c r="I131" i="2"/>
  <c r="H131" i="2"/>
  <c r="G131" i="2"/>
  <c r="F131" i="2"/>
  <c r="A131" i="2" s="1"/>
  <c r="D131" i="2" s="1"/>
  <c r="E131" i="2" s="1"/>
  <c r="L130" i="2"/>
  <c r="K130" i="2"/>
  <c r="J130" i="2"/>
  <c r="I130" i="2"/>
  <c r="H130" i="2"/>
  <c r="G130" i="2"/>
  <c r="F130" i="2"/>
  <c r="A130" i="2"/>
  <c r="L129" i="2"/>
  <c r="K129" i="2"/>
  <c r="J129" i="2"/>
  <c r="I129" i="2"/>
  <c r="H129" i="2"/>
  <c r="G129" i="2"/>
  <c r="F129" i="2"/>
  <c r="A129" i="2" s="1"/>
  <c r="C129" i="2" s="1"/>
  <c r="L128" i="2"/>
  <c r="K128" i="2"/>
  <c r="J128" i="2"/>
  <c r="I128" i="2"/>
  <c r="H128" i="2"/>
  <c r="G128" i="2"/>
  <c r="F128" i="2"/>
  <c r="A128" i="2" s="1"/>
  <c r="L127" i="2"/>
  <c r="K127" i="2"/>
  <c r="J127" i="2"/>
  <c r="I127" i="2"/>
  <c r="H127" i="2"/>
  <c r="G127" i="2"/>
  <c r="F127" i="2"/>
  <c r="A127" i="2" s="1"/>
  <c r="C127" i="2" s="1"/>
  <c r="D127" i="2"/>
  <c r="E127" i="2" s="1"/>
  <c r="L126" i="2"/>
  <c r="K126" i="2"/>
  <c r="J126" i="2"/>
  <c r="I126" i="2"/>
  <c r="H126" i="2"/>
  <c r="G126" i="2"/>
  <c r="F126" i="2"/>
  <c r="A126" i="2"/>
  <c r="L125" i="2"/>
  <c r="K125" i="2"/>
  <c r="J125" i="2"/>
  <c r="I125" i="2"/>
  <c r="H125" i="2"/>
  <c r="G125" i="2"/>
  <c r="F125" i="2"/>
  <c r="A125" i="2" s="1"/>
  <c r="D125" i="2"/>
  <c r="E125" i="2" s="1"/>
  <c r="C125" i="2"/>
  <c r="B125" i="2"/>
  <c r="L124" i="2"/>
  <c r="K124" i="2"/>
  <c r="J124" i="2"/>
  <c r="I124" i="2"/>
  <c r="H124" i="2"/>
  <c r="G124" i="2"/>
  <c r="F124" i="2"/>
  <c r="A124" i="2"/>
  <c r="L123" i="2"/>
  <c r="K123" i="2"/>
  <c r="J123" i="2"/>
  <c r="I123" i="2"/>
  <c r="H123" i="2"/>
  <c r="G123" i="2"/>
  <c r="F123" i="2"/>
  <c r="A123" i="2" s="1"/>
  <c r="D123" i="2" s="1"/>
  <c r="E123" i="2" s="1"/>
  <c r="B123" i="2"/>
  <c r="L122" i="2"/>
  <c r="K122" i="2"/>
  <c r="J122" i="2"/>
  <c r="I122" i="2"/>
  <c r="H122" i="2"/>
  <c r="G122" i="2"/>
  <c r="F122" i="2"/>
  <c r="A122" i="2"/>
  <c r="L121" i="2"/>
  <c r="K121" i="2"/>
  <c r="J121" i="2"/>
  <c r="I121" i="2"/>
  <c r="H121" i="2"/>
  <c r="G121" i="2"/>
  <c r="F121" i="2"/>
  <c r="A121" i="2" s="1"/>
  <c r="D121" i="2" s="1"/>
  <c r="E121" i="2" s="1"/>
  <c r="B121" i="2"/>
  <c r="L120" i="2"/>
  <c r="K120" i="2"/>
  <c r="J120" i="2"/>
  <c r="I120" i="2"/>
  <c r="H120" i="2"/>
  <c r="G120" i="2"/>
  <c r="F120" i="2"/>
  <c r="A120" i="2"/>
  <c r="L119" i="2"/>
  <c r="K119" i="2"/>
  <c r="J119" i="2"/>
  <c r="I119" i="2"/>
  <c r="H119" i="2"/>
  <c r="G119" i="2"/>
  <c r="F119" i="2"/>
  <c r="A119" i="2" s="1"/>
  <c r="C119" i="2" s="1"/>
  <c r="D119" i="2"/>
  <c r="E119" i="2" s="1"/>
  <c r="L118" i="2"/>
  <c r="K118" i="2"/>
  <c r="J118" i="2"/>
  <c r="I118" i="2"/>
  <c r="H118" i="2"/>
  <c r="G118" i="2"/>
  <c r="F118" i="2"/>
  <c r="A118" i="2" s="1"/>
  <c r="L117" i="2"/>
  <c r="K117" i="2"/>
  <c r="J117" i="2"/>
  <c r="I117" i="2"/>
  <c r="H117" i="2"/>
  <c r="G117" i="2"/>
  <c r="F117" i="2"/>
  <c r="A117" i="2" s="1"/>
  <c r="L116" i="2"/>
  <c r="K116" i="2"/>
  <c r="J116" i="2"/>
  <c r="I116" i="2"/>
  <c r="H116" i="2"/>
  <c r="G116" i="2"/>
  <c r="F116" i="2"/>
  <c r="A116" i="2" s="1"/>
  <c r="L115" i="2"/>
  <c r="K115" i="2"/>
  <c r="J115" i="2"/>
  <c r="I115" i="2"/>
  <c r="H115" i="2"/>
  <c r="G115" i="2"/>
  <c r="F115" i="2"/>
  <c r="A115" i="2" s="1"/>
  <c r="D115" i="2" s="1"/>
  <c r="E115" i="2" s="1"/>
  <c r="L114" i="2"/>
  <c r="K114" i="2"/>
  <c r="J114" i="2"/>
  <c r="I114" i="2"/>
  <c r="H114" i="2"/>
  <c r="G114" i="2"/>
  <c r="F114" i="2"/>
  <c r="A114" i="2"/>
  <c r="L113" i="2"/>
  <c r="K113" i="2"/>
  <c r="J113" i="2"/>
  <c r="I113" i="2"/>
  <c r="H113" i="2"/>
  <c r="G113" i="2"/>
  <c r="F113" i="2"/>
  <c r="A113" i="2" s="1"/>
  <c r="C113" i="2" s="1"/>
  <c r="L112" i="2"/>
  <c r="K112" i="2"/>
  <c r="J112" i="2"/>
  <c r="I112" i="2"/>
  <c r="H112" i="2"/>
  <c r="G112" i="2"/>
  <c r="F112" i="2"/>
  <c r="A112" i="2" s="1"/>
  <c r="L111" i="2"/>
  <c r="K111" i="2"/>
  <c r="J111" i="2"/>
  <c r="I111" i="2"/>
  <c r="H111" i="2"/>
  <c r="G111" i="2"/>
  <c r="F111" i="2"/>
  <c r="A111" i="2" s="1"/>
  <c r="C111" i="2" s="1"/>
  <c r="D111" i="2"/>
  <c r="E111" i="2" s="1"/>
  <c r="L110" i="2"/>
  <c r="K110" i="2"/>
  <c r="J110" i="2"/>
  <c r="I110" i="2"/>
  <c r="H110" i="2"/>
  <c r="G110" i="2"/>
  <c r="F110" i="2"/>
  <c r="A110" i="2"/>
  <c r="L109" i="2"/>
  <c r="K109" i="2"/>
  <c r="J109" i="2"/>
  <c r="I109" i="2"/>
  <c r="H109" i="2"/>
  <c r="G109" i="2"/>
  <c r="F109" i="2"/>
  <c r="A109" i="2" s="1"/>
  <c r="D109" i="2"/>
  <c r="E109" i="2" s="1"/>
  <c r="C109" i="2"/>
  <c r="B109" i="2"/>
  <c r="L108" i="2"/>
  <c r="K108" i="2"/>
  <c r="J108" i="2"/>
  <c r="I108" i="2"/>
  <c r="H108" i="2"/>
  <c r="G108" i="2"/>
  <c r="F108" i="2"/>
  <c r="A108" i="2"/>
  <c r="L107" i="2"/>
  <c r="K107" i="2"/>
  <c r="J107" i="2"/>
  <c r="I107" i="2"/>
  <c r="H107" i="2"/>
  <c r="G107" i="2"/>
  <c r="F107" i="2"/>
  <c r="A107" i="2" s="1"/>
  <c r="D107" i="2" s="1"/>
  <c r="E107" i="2" s="1"/>
  <c r="B107" i="2"/>
  <c r="L106" i="2"/>
  <c r="K106" i="2"/>
  <c r="J106" i="2"/>
  <c r="I106" i="2"/>
  <c r="H106" i="2"/>
  <c r="G106" i="2"/>
  <c r="F106" i="2"/>
  <c r="A106" i="2"/>
  <c r="L105" i="2"/>
  <c r="K105" i="2"/>
  <c r="J105" i="2"/>
  <c r="I105" i="2"/>
  <c r="H105" i="2"/>
  <c r="G105" i="2"/>
  <c r="F105" i="2"/>
  <c r="A105" i="2" s="1"/>
  <c r="D105" i="2" s="1"/>
  <c r="E105" i="2" s="1"/>
  <c r="B105" i="2"/>
  <c r="L104" i="2"/>
  <c r="K104" i="2"/>
  <c r="J104" i="2"/>
  <c r="I104" i="2"/>
  <c r="H104" i="2"/>
  <c r="G104" i="2"/>
  <c r="F104" i="2"/>
  <c r="A104" i="2"/>
  <c r="L103" i="2"/>
  <c r="K103" i="2"/>
  <c r="J103" i="2"/>
  <c r="I103" i="2"/>
  <c r="H103" i="2"/>
  <c r="G103" i="2"/>
  <c r="F103" i="2"/>
  <c r="A103" i="2" s="1"/>
  <c r="C103" i="2" s="1"/>
  <c r="D103" i="2"/>
  <c r="E103" i="2" s="1"/>
  <c r="L102" i="2"/>
  <c r="K102" i="2"/>
  <c r="J102" i="2"/>
  <c r="I102" i="2"/>
  <c r="H102" i="2"/>
  <c r="G102" i="2"/>
  <c r="F102" i="2"/>
  <c r="A102" i="2" s="1"/>
  <c r="L101" i="2"/>
  <c r="K101" i="2"/>
  <c r="J101" i="2"/>
  <c r="I101" i="2"/>
  <c r="H101" i="2"/>
  <c r="G101" i="2"/>
  <c r="F101" i="2"/>
  <c r="A101" i="2" s="1"/>
  <c r="C101" i="2" s="1"/>
  <c r="L100" i="2"/>
  <c r="K100" i="2"/>
  <c r="J100" i="2"/>
  <c r="I100" i="2"/>
  <c r="H100" i="2"/>
  <c r="G100" i="2"/>
  <c r="F100" i="2"/>
  <c r="A100" i="2" s="1"/>
  <c r="L99" i="2"/>
  <c r="K99" i="2"/>
  <c r="J99" i="2"/>
  <c r="I99" i="2"/>
  <c r="H99" i="2"/>
  <c r="G99" i="2"/>
  <c r="F99" i="2"/>
  <c r="A99" i="2" s="1"/>
  <c r="L98" i="2"/>
  <c r="K98" i="2"/>
  <c r="J98" i="2"/>
  <c r="I98" i="2"/>
  <c r="H98" i="2"/>
  <c r="G98" i="2"/>
  <c r="F98" i="2"/>
  <c r="A98" i="2"/>
  <c r="L97" i="2"/>
  <c r="K97" i="2"/>
  <c r="J97" i="2"/>
  <c r="I97" i="2"/>
  <c r="H97" i="2"/>
  <c r="G97" i="2"/>
  <c r="F97" i="2"/>
  <c r="A97" i="2" s="1"/>
  <c r="C97" i="2" s="1"/>
  <c r="L96" i="2"/>
  <c r="K96" i="2"/>
  <c r="J96" i="2"/>
  <c r="I96" i="2"/>
  <c r="H96" i="2"/>
  <c r="G96" i="2"/>
  <c r="F96" i="2"/>
  <c r="A96" i="2" s="1"/>
  <c r="L95" i="2"/>
  <c r="K95" i="2"/>
  <c r="J95" i="2"/>
  <c r="I95" i="2"/>
  <c r="H95" i="2"/>
  <c r="G95" i="2"/>
  <c r="F95" i="2"/>
  <c r="A95" i="2" s="1"/>
  <c r="C95" i="2" s="1"/>
  <c r="D95" i="2"/>
  <c r="E95" i="2" s="1"/>
  <c r="L94" i="2"/>
  <c r="K94" i="2"/>
  <c r="J94" i="2"/>
  <c r="I94" i="2"/>
  <c r="H94" i="2"/>
  <c r="G94" i="2"/>
  <c r="F94" i="2"/>
  <c r="A94" i="2"/>
  <c r="L93" i="2"/>
  <c r="K93" i="2"/>
  <c r="J93" i="2"/>
  <c r="I93" i="2"/>
  <c r="H93" i="2"/>
  <c r="G93" i="2"/>
  <c r="F93" i="2"/>
  <c r="A93" i="2" s="1"/>
  <c r="D93" i="2"/>
  <c r="E93" i="2" s="1"/>
  <c r="C93" i="2"/>
  <c r="B93" i="2"/>
  <c r="L92" i="2"/>
  <c r="K92" i="2"/>
  <c r="J92" i="2"/>
  <c r="I92" i="2"/>
  <c r="H92" i="2"/>
  <c r="G92" i="2"/>
  <c r="F92" i="2"/>
  <c r="A92" i="2"/>
  <c r="L91" i="2"/>
  <c r="K91" i="2"/>
  <c r="J91" i="2"/>
  <c r="I91" i="2"/>
  <c r="H91" i="2"/>
  <c r="G91" i="2"/>
  <c r="F91" i="2"/>
  <c r="A91" i="2" s="1"/>
  <c r="D91" i="2" s="1"/>
  <c r="E91" i="2" s="1"/>
  <c r="L90" i="2"/>
  <c r="K90" i="2"/>
  <c r="J90" i="2"/>
  <c r="I90" i="2"/>
  <c r="H90" i="2"/>
  <c r="G90" i="2"/>
  <c r="F90" i="2"/>
  <c r="A90" i="2"/>
  <c r="L89" i="2"/>
  <c r="K89" i="2"/>
  <c r="J89" i="2"/>
  <c r="I89" i="2"/>
  <c r="H89" i="2"/>
  <c r="G89" i="2"/>
  <c r="F89" i="2"/>
  <c r="A89" i="2" s="1"/>
  <c r="D89" i="2" s="1"/>
  <c r="E89" i="2" s="1"/>
  <c r="L88" i="2"/>
  <c r="K88" i="2"/>
  <c r="J88" i="2"/>
  <c r="I88" i="2"/>
  <c r="H88" i="2"/>
  <c r="G88" i="2"/>
  <c r="F88" i="2"/>
  <c r="A88" i="2"/>
  <c r="L87" i="2"/>
  <c r="K87" i="2"/>
  <c r="J87" i="2"/>
  <c r="I87" i="2"/>
  <c r="H87" i="2"/>
  <c r="G87" i="2"/>
  <c r="F87" i="2"/>
  <c r="A87" i="2" s="1"/>
  <c r="B87" i="2" s="1"/>
  <c r="C87" i="2"/>
  <c r="L86" i="2"/>
  <c r="K86" i="2"/>
  <c r="J86" i="2"/>
  <c r="I86" i="2"/>
  <c r="H86" i="2"/>
  <c r="G86" i="2"/>
  <c r="F86" i="2"/>
  <c r="A86" i="2" s="1"/>
  <c r="L85" i="2"/>
  <c r="K85" i="2"/>
  <c r="J85" i="2"/>
  <c r="I85" i="2"/>
  <c r="H85" i="2"/>
  <c r="G85" i="2"/>
  <c r="F85" i="2"/>
  <c r="A85" i="2" s="1"/>
  <c r="C85" i="2"/>
  <c r="L84" i="2"/>
  <c r="K84" i="2"/>
  <c r="J84" i="2"/>
  <c r="I84" i="2"/>
  <c r="H84" i="2"/>
  <c r="G84" i="2"/>
  <c r="F84" i="2"/>
  <c r="A84" i="2" s="1"/>
  <c r="L83" i="2"/>
  <c r="K83" i="2"/>
  <c r="J83" i="2"/>
  <c r="I83" i="2"/>
  <c r="H83" i="2"/>
  <c r="G83" i="2"/>
  <c r="F83" i="2"/>
  <c r="A83" i="2" s="1"/>
  <c r="L82" i="2"/>
  <c r="K82" i="2"/>
  <c r="J82" i="2"/>
  <c r="I82" i="2"/>
  <c r="H82" i="2"/>
  <c r="G82" i="2"/>
  <c r="F82" i="2"/>
  <c r="A82" i="2"/>
  <c r="L81" i="2"/>
  <c r="K81" i="2"/>
  <c r="J81" i="2"/>
  <c r="I81" i="2"/>
  <c r="H81" i="2"/>
  <c r="G81" i="2"/>
  <c r="F81" i="2"/>
  <c r="A81" i="2" s="1"/>
  <c r="C81" i="2" s="1"/>
  <c r="L80" i="2"/>
  <c r="K80" i="2"/>
  <c r="J80" i="2"/>
  <c r="I80" i="2"/>
  <c r="H80" i="2"/>
  <c r="G80" i="2"/>
  <c r="F80" i="2"/>
  <c r="A80" i="2" s="1"/>
  <c r="L79" i="2"/>
  <c r="K79" i="2"/>
  <c r="J79" i="2"/>
  <c r="I79" i="2"/>
  <c r="H79" i="2"/>
  <c r="G79" i="2"/>
  <c r="F79" i="2"/>
  <c r="A79" i="2" s="1"/>
  <c r="C79" i="2" s="1"/>
  <c r="D79" i="2"/>
  <c r="E79" i="2" s="1"/>
  <c r="L78" i="2"/>
  <c r="K78" i="2"/>
  <c r="J78" i="2"/>
  <c r="I78" i="2"/>
  <c r="H78" i="2"/>
  <c r="G78" i="2"/>
  <c r="F78" i="2"/>
  <c r="A78" i="2"/>
  <c r="L77" i="2"/>
  <c r="K77" i="2"/>
  <c r="J77" i="2"/>
  <c r="I77" i="2"/>
  <c r="H77" i="2"/>
  <c r="G77" i="2"/>
  <c r="F77" i="2"/>
  <c r="A77" i="2" s="1"/>
  <c r="D77" i="2"/>
  <c r="E77" i="2" s="1"/>
  <c r="C77" i="2"/>
  <c r="B77" i="2"/>
  <c r="L76" i="2"/>
  <c r="K76" i="2"/>
  <c r="J76" i="2"/>
  <c r="I76" i="2"/>
  <c r="H76" i="2"/>
  <c r="G76" i="2"/>
  <c r="F76" i="2"/>
  <c r="A76" i="2"/>
  <c r="L75" i="2"/>
  <c r="K75" i="2"/>
  <c r="J75" i="2"/>
  <c r="I75" i="2"/>
  <c r="H75" i="2"/>
  <c r="G75" i="2"/>
  <c r="F75" i="2"/>
  <c r="A75" i="2" s="1"/>
  <c r="B75" i="2" s="1"/>
  <c r="L74" i="2"/>
  <c r="K74" i="2"/>
  <c r="J74" i="2"/>
  <c r="I74" i="2"/>
  <c r="H74" i="2"/>
  <c r="G74" i="2"/>
  <c r="F74" i="2"/>
  <c r="A74" i="2"/>
  <c r="L73" i="2"/>
  <c r="K73" i="2"/>
  <c r="J73" i="2"/>
  <c r="I73" i="2"/>
  <c r="H73" i="2"/>
  <c r="G73" i="2"/>
  <c r="F73" i="2"/>
  <c r="A73" i="2" s="1"/>
  <c r="D73" i="2" s="1"/>
  <c r="E73" i="2" s="1"/>
  <c r="L72" i="2"/>
  <c r="K72" i="2"/>
  <c r="J72" i="2"/>
  <c r="I72" i="2"/>
  <c r="H72" i="2"/>
  <c r="G72" i="2"/>
  <c r="F72" i="2"/>
  <c r="A72" i="2"/>
  <c r="L71" i="2"/>
  <c r="K71" i="2"/>
  <c r="J71" i="2"/>
  <c r="I71" i="2"/>
  <c r="H71" i="2"/>
  <c r="G71" i="2"/>
  <c r="F71" i="2"/>
  <c r="A71" i="2" s="1"/>
  <c r="B71" i="2" s="1"/>
  <c r="C71" i="2"/>
  <c r="L70" i="2"/>
  <c r="K70" i="2"/>
  <c r="J70" i="2"/>
  <c r="I70" i="2"/>
  <c r="H70" i="2"/>
  <c r="G70" i="2"/>
  <c r="F70" i="2"/>
  <c r="A70" i="2" s="1"/>
  <c r="L69" i="2"/>
  <c r="K69" i="2"/>
  <c r="J69" i="2"/>
  <c r="I69" i="2"/>
  <c r="H69" i="2"/>
  <c r="G69" i="2"/>
  <c r="F69" i="2"/>
  <c r="A69" i="2" s="1"/>
  <c r="L68" i="2"/>
  <c r="K68" i="2"/>
  <c r="J68" i="2"/>
  <c r="I68" i="2"/>
  <c r="H68" i="2"/>
  <c r="G68" i="2"/>
  <c r="F68" i="2"/>
  <c r="A68" i="2" s="1"/>
  <c r="L67" i="2"/>
  <c r="K67" i="2"/>
  <c r="J67" i="2"/>
  <c r="I67" i="2"/>
  <c r="H67" i="2"/>
  <c r="G67" i="2"/>
  <c r="F67" i="2"/>
  <c r="A67" i="2" s="1"/>
  <c r="B67" i="2"/>
  <c r="L66" i="2"/>
  <c r="K66" i="2"/>
  <c r="J66" i="2"/>
  <c r="I66" i="2"/>
  <c r="H66" i="2"/>
  <c r="G66" i="2"/>
  <c r="F66" i="2"/>
  <c r="A66" i="2"/>
  <c r="L65" i="2"/>
  <c r="K65" i="2"/>
  <c r="J65" i="2"/>
  <c r="I65" i="2"/>
  <c r="H65" i="2"/>
  <c r="G65" i="2"/>
  <c r="F65" i="2"/>
  <c r="A65" i="2" s="1"/>
  <c r="C65" i="2" s="1"/>
  <c r="L64" i="2"/>
  <c r="K64" i="2"/>
  <c r="J64" i="2"/>
  <c r="I64" i="2"/>
  <c r="H64" i="2"/>
  <c r="G64" i="2"/>
  <c r="F64" i="2"/>
  <c r="A64" i="2" s="1"/>
  <c r="L63" i="2"/>
  <c r="K63" i="2"/>
  <c r="J63" i="2"/>
  <c r="I63" i="2"/>
  <c r="H63" i="2"/>
  <c r="G63" i="2"/>
  <c r="F63" i="2"/>
  <c r="A63" i="2" s="1"/>
  <c r="C63" i="2" s="1"/>
  <c r="D63" i="2"/>
  <c r="E63" i="2" s="1"/>
  <c r="L62" i="2"/>
  <c r="K62" i="2"/>
  <c r="J62" i="2"/>
  <c r="I62" i="2"/>
  <c r="H62" i="2"/>
  <c r="G62" i="2"/>
  <c r="F62" i="2"/>
  <c r="A62" i="2"/>
  <c r="L61" i="2"/>
  <c r="K61" i="2"/>
  <c r="J61" i="2"/>
  <c r="I61" i="2"/>
  <c r="H61" i="2"/>
  <c r="G61" i="2"/>
  <c r="F61" i="2"/>
  <c r="A61" i="2" s="1"/>
  <c r="C61" i="2" s="1"/>
  <c r="D61" i="2"/>
  <c r="E61" i="2" s="1"/>
  <c r="B61" i="2"/>
  <c r="L60" i="2"/>
  <c r="K60" i="2"/>
  <c r="J60" i="2"/>
  <c r="I60" i="2"/>
  <c r="H60" i="2"/>
  <c r="G60" i="2"/>
  <c r="F60" i="2"/>
  <c r="A60" i="2"/>
  <c r="L59" i="2"/>
  <c r="K59" i="2"/>
  <c r="J59" i="2"/>
  <c r="I59" i="2"/>
  <c r="H59" i="2"/>
  <c r="G59" i="2"/>
  <c r="F59" i="2"/>
  <c r="A59" i="2" s="1"/>
  <c r="B59" i="2" s="1"/>
  <c r="L58" i="2"/>
  <c r="K58" i="2"/>
  <c r="J58" i="2"/>
  <c r="I58" i="2"/>
  <c r="H58" i="2"/>
  <c r="G58" i="2"/>
  <c r="F58" i="2"/>
  <c r="A58" i="2"/>
  <c r="L57" i="2"/>
  <c r="K57" i="2"/>
  <c r="J57" i="2"/>
  <c r="I57" i="2"/>
  <c r="H57" i="2"/>
  <c r="G57" i="2"/>
  <c r="F57" i="2"/>
  <c r="A57" i="2" s="1"/>
  <c r="D57" i="2" s="1"/>
  <c r="E57" i="2" s="1"/>
  <c r="L56" i="2"/>
  <c r="K56" i="2"/>
  <c r="J56" i="2"/>
  <c r="I56" i="2"/>
  <c r="H56" i="2"/>
  <c r="G56" i="2"/>
  <c r="F56" i="2"/>
  <c r="A56" i="2"/>
  <c r="L55" i="2"/>
  <c r="K55" i="2"/>
  <c r="J55" i="2"/>
  <c r="I55" i="2"/>
  <c r="H55" i="2"/>
  <c r="G55" i="2"/>
  <c r="F55" i="2"/>
  <c r="A55" i="2" s="1"/>
  <c r="B55" i="2" s="1"/>
  <c r="C55" i="2"/>
  <c r="L54" i="2"/>
  <c r="K54" i="2"/>
  <c r="J54" i="2"/>
  <c r="I54" i="2"/>
  <c r="H54" i="2"/>
  <c r="G54" i="2"/>
  <c r="F54" i="2"/>
  <c r="A54" i="2" s="1"/>
  <c r="L53" i="2"/>
  <c r="K53" i="2"/>
  <c r="J53" i="2"/>
  <c r="I53" i="2"/>
  <c r="H53" i="2"/>
  <c r="G53" i="2"/>
  <c r="F53" i="2"/>
  <c r="A53" i="2" s="1"/>
  <c r="C53" i="2" s="1"/>
  <c r="L52" i="2"/>
  <c r="K52" i="2"/>
  <c r="J52" i="2"/>
  <c r="I52" i="2"/>
  <c r="H52" i="2"/>
  <c r="G52" i="2"/>
  <c r="F52" i="2"/>
  <c r="A52" i="2" s="1"/>
  <c r="L51" i="2"/>
  <c r="K51" i="2"/>
  <c r="J51" i="2"/>
  <c r="I51" i="2"/>
  <c r="H51" i="2"/>
  <c r="G51" i="2"/>
  <c r="F51" i="2"/>
  <c r="A51" i="2" s="1"/>
  <c r="B51" i="2"/>
  <c r="L50" i="2"/>
  <c r="K50" i="2"/>
  <c r="J50" i="2"/>
  <c r="I50" i="2"/>
  <c r="H50" i="2"/>
  <c r="G50" i="2"/>
  <c r="F50" i="2"/>
  <c r="A50" i="2"/>
  <c r="L49" i="2"/>
  <c r="K49" i="2"/>
  <c r="J49" i="2"/>
  <c r="I49" i="2"/>
  <c r="H49" i="2"/>
  <c r="G49" i="2"/>
  <c r="F49" i="2"/>
  <c r="A49" i="2" s="1"/>
  <c r="C49" i="2" s="1"/>
  <c r="L48" i="2"/>
  <c r="K48" i="2"/>
  <c r="J48" i="2"/>
  <c r="I48" i="2"/>
  <c r="H48" i="2"/>
  <c r="G48" i="2"/>
  <c r="F48" i="2"/>
  <c r="A48" i="2" s="1"/>
  <c r="L47" i="2"/>
  <c r="K47" i="2"/>
  <c r="J47" i="2"/>
  <c r="I47" i="2"/>
  <c r="H47" i="2"/>
  <c r="G47" i="2"/>
  <c r="F47" i="2"/>
  <c r="A47" i="2" s="1"/>
  <c r="C47" i="2" s="1"/>
  <c r="D47" i="2"/>
  <c r="E47" i="2" s="1"/>
  <c r="L46" i="2"/>
  <c r="K46" i="2"/>
  <c r="J46" i="2"/>
  <c r="I46" i="2"/>
  <c r="H46" i="2"/>
  <c r="G46" i="2"/>
  <c r="F46" i="2"/>
  <c r="A46" i="2"/>
  <c r="L45" i="2"/>
  <c r="K45" i="2"/>
  <c r="J45" i="2"/>
  <c r="I45" i="2"/>
  <c r="H45" i="2"/>
  <c r="G45" i="2"/>
  <c r="F45" i="2"/>
  <c r="A45" i="2" s="1"/>
  <c r="C45" i="2" s="1"/>
  <c r="D45" i="2"/>
  <c r="E45" i="2" s="1"/>
  <c r="B45" i="2"/>
  <c r="L44" i="2"/>
  <c r="K44" i="2"/>
  <c r="J44" i="2"/>
  <c r="I44" i="2"/>
  <c r="H44" i="2"/>
  <c r="G44" i="2"/>
  <c r="F44" i="2"/>
  <c r="A44" i="2"/>
  <c r="L43" i="2"/>
  <c r="K43" i="2"/>
  <c r="J43" i="2"/>
  <c r="I43" i="2"/>
  <c r="H43" i="2"/>
  <c r="G43" i="2"/>
  <c r="F43" i="2"/>
  <c r="A43" i="2" s="1"/>
  <c r="B43" i="2"/>
  <c r="L42" i="2"/>
  <c r="K42" i="2"/>
  <c r="J42" i="2"/>
  <c r="I42" i="2"/>
  <c r="H42" i="2"/>
  <c r="G42" i="2"/>
  <c r="F42" i="2"/>
  <c r="A42" i="2"/>
  <c r="L41" i="2"/>
  <c r="K41" i="2"/>
  <c r="J41" i="2"/>
  <c r="I41" i="2"/>
  <c r="H41" i="2"/>
  <c r="G41" i="2"/>
  <c r="F41" i="2"/>
  <c r="A41" i="2" s="1"/>
  <c r="D41" i="2" s="1"/>
  <c r="E41" i="2" s="1"/>
  <c r="B41" i="2"/>
  <c r="L40" i="2"/>
  <c r="K40" i="2"/>
  <c r="J40" i="2"/>
  <c r="I40" i="2"/>
  <c r="H40" i="2"/>
  <c r="G40" i="2"/>
  <c r="F40" i="2"/>
  <c r="A40" i="2" s="1"/>
  <c r="L39" i="2"/>
  <c r="K39" i="2"/>
  <c r="J39" i="2"/>
  <c r="I39" i="2"/>
  <c r="H39" i="2"/>
  <c r="G39" i="2"/>
  <c r="F39" i="2"/>
  <c r="A39" i="2" s="1"/>
  <c r="L38" i="2"/>
  <c r="K38" i="2"/>
  <c r="J38" i="2"/>
  <c r="I38" i="2"/>
  <c r="H38" i="2"/>
  <c r="G38" i="2"/>
  <c r="F38" i="2"/>
  <c r="L37" i="2"/>
  <c r="K37" i="2"/>
  <c r="J37" i="2"/>
  <c r="I37" i="2"/>
  <c r="H37" i="2"/>
  <c r="G37" i="2"/>
  <c r="F37" i="2"/>
  <c r="L36" i="2"/>
  <c r="K36" i="2"/>
  <c r="J36" i="2"/>
  <c r="I36" i="2"/>
  <c r="H36" i="2"/>
  <c r="G36" i="2"/>
  <c r="F36" i="2"/>
  <c r="A36" i="2" s="1"/>
  <c r="L35" i="2"/>
  <c r="K35" i="2"/>
  <c r="J35" i="2"/>
  <c r="I35" i="2"/>
  <c r="H35" i="2"/>
  <c r="G35" i="2"/>
  <c r="F35" i="2"/>
  <c r="L34" i="2"/>
  <c r="K34" i="2"/>
  <c r="J34" i="2"/>
  <c r="I34" i="2"/>
  <c r="H34" i="2"/>
  <c r="G34" i="2"/>
  <c r="F34" i="2"/>
  <c r="L33" i="2"/>
  <c r="K33" i="2"/>
  <c r="J33" i="2"/>
  <c r="I33" i="2"/>
  <c r="H33" i="2"/>
  <c r="G33" i="2"/>
  <c r="F33" i="2"/>
  <c r="L32" i="2"/>
  <c r="K32" i="2"/>
  <c r="J32" i="2"/>
  <c r="I32" i="2"/>
  <c r="H32" i="2"/>
  <c r="G32" i="2"/>
  <c r="F32" i="2"/>
  <c r="A32" i="2" s="1"/>
  <c r="L31" i="2"/>
  <c r="K31" i="2"/>
  <c r="J31" i="2"/>
  <c r="I31" i="2"/>
  <c r="H31" i="2"/>
  <c r="G31" i="2"/>
  <c r="F31" i="2"/>
  <c r="A31" i="2" s="1"/>
  <c r="L30" i="2"/>
  <c r="K30" i="2"/>
  <c r="J30" i="2"/>
  <c r="I30" i="2"/>
  <c r="H30" i="2"/>
  <c r="G30" i="2"/>
  <c r="F30" i="2"/>
  <c r="L29" i="2"/>
  <c r="K29" i="2"/>
  <c r="J29" i="2"/>
  <c r="I29" i="2"/>
  <c r="H29" i="2"/>
  <c r="G29" i="2"/>
  <c r="F29" i="2"/>
  <c r="L28" i="2"/>
  <c r="K28" i="2"/>
  <c r="J28" i="2"/>
  <c r="I28" i="2"/>
  <c r="H28" i="2"/>
  <c r="G28" i="2"/>
  <c r="F28" i="2"/>
  <c r="A28" i="2" s="1"/>
  <c r="L27" i="2"/>
  <c r="K27" i="2"/>
  <c r="J27" i="2"/>
  <c r="I27" i="2"/>
  <c r="H27" i="2"/>
  <c r="G27" i="2"/>
  <c r="F27" i="2"/>
  <c r="A27" i="2" s="1"/>
  <c r="L26" i="2"/>
  <c r="K26" i="2"/>
  <c r="J26" i="2"/>
  <c r="I26" i="2"/>
  <c r="H26" i="2"/>
  <c r="G26" i="2"/>
  <c r="F26" i="2"/>
  <c r="L25" i="2"/>
  <c r="K25" i="2"/>
  <c r="J25" i="2"/>
  <c r="I25" i="2"/>
  <c r="H25" i="2"/>
  <c r="G25" i="2"/>
  <c r="F25" i="2"/>
  <c r="L24" i="2"/>
  <c r="K24" i="2"/>
  <c r="J24" i="2"/>
  <c r="I24" i="2"/>
  <c r="H24" i="2"/>
  <c r="G24" i="2"/>
  <c r="F24" i="2"/>
  <c r="A24" i="2" s="1"/>
  <c r="L23" i="2"/>
  <c r="K23" i="2"/>
  <c r="J23" i="2"/>
  <c r="I23" i="2"/>
  <c r="H23" i="2"/>
  <c r="G23" i="2"/>
  <c r="F23" i="2"/>
  <c r="A23" i="2" s="1"/>
  <c r="L22" i="2"/>
  <c r="K22" i="2"/>
  <c r="J22" i="2"/>
  <c r="I22" i="2"/>
  <c r="H22" i="2"/>
  <c r="G22" i="2"/>
  <c r="F22" i="2"/>
  <c r="L21" i="2"/>
  <c r="K21" i="2"/>
  <c r="J21" i="2"/>
  <c r="I21" i="2"/>
  <c r="H21" i="2"/>
  <c r="G21" i="2"/>
  <c r="F21" i="2"/>
  <c r="L20" i="2"/>
  <c r="K20" i="2"/>
  <c r="J20" i="2"/>
  <c r="I20" i="2"/>
  <c r="H20" i="2"/>
  <c r="G20" i="2"/>
  <c r="F20" i="2"/>
  <c r="L19" i="2"/>
  <c r="K19" i="2"/>
  <c r="J19" i="2"/>
  <c r="I19" i="2"/>
  <c r="H19" i="2"/>
  <c r="G19" i="2"/>
  <c r="F19" i="2"/>
  <c r="L18" i="2"/>
  <c r="K18" i="2"/>
  <c r="J18" i="2"/>
  <c r="I18" i="2"/>
  <c r="H18" i="2"/>
  <c r="G18" i="2"/>
  <c r="F18" i="2"/>
  <c r="A18" i="2" s="1"/>
  <c r="L17" i="2"/>
  <c r="K17" i="2"/>
  <c r="J17" i="2"/>
  <c r="I17" i="2"/>
  <c r="H17" i="2"/>
  <c r="G17" i="2"/>
  <c r="F17" i="2"/>
  <c r="L16" i="2"/>
  <c r="K16" i="2"/>
  <c r="J16" i="2"/>
  <c r="I16" i="2"/>
  <c r="H16" i="2"/>
  <c r="G16" i="2"/>
  <c r="F16" i="2"/>
  <c r="A16" i="2" s="1"/>
  <c r="L15" i="2"/>
  <c r="K15" i="2"/>
  <c r="J15" i="2"/>
  <c r="I15" i="2"/>
  <c r="H15" i="2"/>
  <c r="G15" i="2"/>
  <c r="F15" i="2"/>
  <c r="A15" i="2" s="1"/>
  <c r="L14" i="2"/>
  <c r="K14" i="2"/>
  <c r="J14" i="2"/>
  <c r="I14" i="2"/>
  <c r="H14" i="2"/>
  <c r="G14" i="2"/>
  <c r="F14" i="2"/>
  <c r="L13" i="2"/>
  <c r="K13" i="2"/>
  <c r="J13" i="2"/>
  <c r="I13" i="2"/>
  <c r="H13" i="2"/>
  <c r="G13" i="2"/>
  <c r="F13" i="2"/>
  <c r="L12" i="2"/>
  <c r="K12" i="2"/>
  <c r="J12" i="2"/>
  <c r="I12" i="2"/>
  <c r="H12" i="2"/>
  <c r="G12" i="2"/>
  <c r="F12" i="2"/>
  <c r="L11" i="2"/>
  <c r="K11" i="2"/>
  <c r="J11" i="2"/>
  <c r="I11" i="2"/>
  <c r="H11" i="2"/>
  <c r="G11" i="2"/>
  <c r="F11" i="2"/>
  <c r="A11" i="2" s="1"/>
  <c r="L10" i="2"/>
  <c r="K10" i="2"/>
  <c r="J10" i="2"/>
  <c r="I10" i="2"/>
  <c r="H10" i="2"/>
  <c r="G10" i="2"/>
  <c r="F10" i="2"/>
  <c r="L9" i="2"/>
  <c r="K9" i="2"/>
  <c r="J9" i="2"/>
  <c r="I9" i="2"/>
  <c r="H9" i="2"/>
  <c r="G9" i="2"/>
  <c r="F9" i="2"/>
  <c r="A33" i="2"/>
  <c r="A35" i="2"/>
  <c r="A14" i="2"/>
  <c r="A12" i="2"/>
  <c r="A25" i="2"/>
  <c r="A20" i="2"/>
  <c r="A37" i="2"/>
  <c r="A29" i="2"/>
  <c r="A17" i="2"/>
  <c r="A10" i="2"/>
  <c r="A21" i="2"/>
  <c r="A13" i="2"/>
  <c r="A9" i="2"/>
  <c r="A26" i="2"/>
  <c r="A19" i="2"/>
  <c r="A38" i="2"/>
  <c r="A22" i="2"/>
  <c r="A34" i="2"/>
  <c r="A30" i="2"/>
  <c r="D49" i="2" l="1"/>
  <c r="E49" i="2" s="1"/>
  <c r="D55" i="2"/>
  <c r="E55" i="2" s="1"/>
  <c r="B57" i="2"/>
  <c r="D65" i="2"/>
  <c r="E65" i="2" s="1"/>
  <c r="D71" i="2"/>
  <c r="E71" i="2" s="1"/>
  <c r="B73" i="2"/>
  <c r="D87" i="2"/>
  <c r="E87" i="2" s="1"/>
  <c r="B89" i="2"/>
  <c r="B91" i="2"/>
  <c r="C170" i="2"/>
  <c r="C175" i="2"/>
  <c r="C178" i="2"/>
  <c r="C182" i="2"/>
  <c r="C235" i="2"/>
  <c r="C239" i="2"/>
  <c r="C242" i="2"/>
  <c r="C246" i="2"/>
  <c r="C299" i="2"/>
  <c r="C303" i="2"/>
  <c r="C306" i="2"/>
  <c r="C310" i="2"/>
  <c r="C363" i="2"/>
  <c r="C367" i="2"/>
  <c r="C370" i="2"/>
  <c r="C374" i="2"/>
  <c r="C411" i="2"/>
  <c r="B415" i="2"/>
  <c r="D429" i="2"/>
  <c r="E429" i="2" s="1"/>
  <c r="C433" i="2"/>
  <c r="C449" i="2"/>
  <c r="D465" i="2"/>
  <c r="E465" i="2" s="1"/>
  <c r="C497" i="2"/>
  <c r="D549" i="2"/>
  <c r="E549" i="2" s="1"/>
  <c r="C551" i="2"/>
  <c r="D567" i="2"/>
  <c r="E567" i="2" s="1"/>
  <c r="D607" i="2"/>
  <c r="E607" i="2" s="1"/>
  <c r="D627" i="2"/>
  <c r="E627" i="2" s="1"/>
  <c r="D637" i="2"/>
  <c r="E637" i="2" s="1"/>
  <c r="D647" i="2"/>
  <c r="E647" i="2" s="1"/>
  <c r="D669" i="2"/>
  <c r="E669" i="2" s="1"/>
  <c r="D683" i="2"/>
  <c r="E683" i="2" s="1"/>
  <c r="D695" i="2"/>
  <c r="E695" i="2" s="1"/>
  <c r="B722" i="2"/>
  <c r="B748" i="2"/>
  <c r="B806" i="2"/>
  <c r="B821" i="2"/>
  <c r="C835" i="2"/>
  <c r="B836" i="2"/>
  <c r="D81" i="2"/>
  <c r="E81" i="2" s="1"/>
  <c r="D97" i="2"/>
  <c r="E97" i="2" s="1"/>
  <c r="D113" i="2"/>
  <c r="E113" i="2" s="1"/>
  <c r="D129" i="2"/>
  <c r="E129" i="2" s="1"/>
  <c r="D145" i="2"/>
  <c r="E145" i="2" s="1"/>
  <c r="D161" i="2"/>
  <c r="E161" i="2" s="1"/>
  <c r="C186" i="2"/>
  <c r="C190" i="2"/>
  <c r="C250" i="2"/>
  <c r="C254" i="2"/>
  <c r="C314" i="2"/>
  <c r="C318" i="2"/>
  <c r="C378" i="2"/>
  <c r="C382" i="2"/>
  <c r="C415" i="2"/>
  <c r="D416" i="2"/>
  <c r="E416" i="2" s="1"/>
  <c r="B417" i="2"/>
  <c r="D497" i="2"/>
  <c r="E497" i="2" s="1"/>
  <c r="D551" i="2"/>
  <c r="E551" i="2" s="1"/>
  <c r="D589" i="2"/>
  <c r="E589" i="2" s="1"/>
  <c r="D599" i="2"/>
  <c r="E599" i="2" s="1"/>
  <c r="D609" i="2"/>
  <c r="E609" i="2" s="1"/>
  <c r="D619" i="2"/>
  <c r="E619" i="2" s="1"/>
  <c r="D649" i="2"/>
  <c r="E649" i="2" s="1"/>
  <c r="D659" i="2"/>
  <c r="E659" i="2" s="1"/>
  <c r="D671" i="2"/>
  <c r="E671" i="2" s="1"/>
  <c r="D697" i="2"/>
  <c r="E697" i="2" s="1"/>
  <c r="D709" i="2"/>
  <c r="E709" i="2" s="1"/>
  <c r="D722" i="2"/>
  <c r="E722" i="2" s="1"/>
  <c r="B732" i="2"/>
  <c r="B740" i="2"/>
  <c r="D748" i="2"/>
  <c r="E748" i="2" s="1"/>
  <c r="B762" i="2"/>
  <c r="B768" i="2"/>
  <c r="B774" i="2"/>
  <c r="B794" i="2"/>
  <c r="D806" i="2"/>
  <c r="E806" i="2" s="1"/>
  <c r="C821" i="2"/>
  <c r="C822" i="2"/>
  <c r="C195" i="2"/>
  <c r="C199" i="2"/>
  <c r="C202" i="2"/>
  <c r="C206" i="2"/>
  <c r="C259" i="2"/>
  <c r="C263" i="2"/>
  <c r="C266" i="2"/>
  <c r="C270" i="2"/>
  <c r="C323" i="2"/>
  <c r="C327" i="2"/>
  <c r="C330" i="2"/>
  <c r="C334" i="2"/>
  <c r="C386" i="2"/>
  <c r="C390" i="2"/>
  <c r="C421" i="2"/>
  <c r="D437" i="2"/>
  <c r="E437" i="2" s="1"/>
  <c r="C439" i="2"/>
  <c r="D453" i="2"/>
  <c r="E453" i="2" s="1"/>
  <c r="C455" i="2"/>
  <c r="D471" i="2"/>
  <c r="E471" i="2" s="1"/>
  <c r="D477" i="2"/>
  <c r="E477" i="2" s="1"/>
  <c r="C481" i="2"/>
  <c r="D509" i="2"/>
  <c r="E509" i="2" s="1"/>
  <c r="D535" i="2"/>
  <c r="E535" i="2" s="1"/>
  <c r="C539" i="2"/>
  <c r="C557" i="2"/>
  <c r="D593" i="2"/>
  <c r="E593" i="2" s="1"/>
  <c r="D611" i="2"/>
  <c r="E611" i="2" s="1"/>
  <c r="D621" i="2"/>
  <c r="E621" i="2" s="1"/>
  <c r="D631" i="2"/>
  <c r="E631" i="2" s="1"/>
  <c r="D641" i="2"/>
  <c r="E641" i="2" s="1"/>
  <c r="D651" i="2"/>
  <c r="E651" i="2" s="1"/>
  <c r="D661" i="2"/>
  <c r="E661" i="2" s="1"/>
  <c r="D675" i="2"/>
  <c r="E675" i="2" s="1"/>
  <c r="D687" i="2"/>
  <c r="E687" i="2" s="1"/>
  <c r="D714" i="2"/>
  <c r="E714" i="2" s="1"/>
  <c r="B734" i="2"/>
  <c r="B750" i="2"/>
  <c r="D756" i="2"/>
  <c r="E756" i="2" s="1"/>
  <c r="B764" i="2"/>
  <c r="B770" i="2"/>
  <c r="B776" i="2"/>
  <c r="D782" i="2"/>
  <c r="E782" i="2" s="1"/>
  <c r="D788" i="2"/>
  <c r="E788" i="2" s="1"/>
  <c r="B796" i="2"/>
  <c r="B802" i="2"/>
  <c r="C826" i="2"/>
  <c r="C827" i="2"/>
  <c r="B829" i="2"/>
  <c r="D846" i="2"/>
  <c r="E846" i="2" s="1"/>
  <c r="B848" i="2"/>
  <c r="D850" i="2"/>
  <c r="E850" i="2" s="1"/>
  <c r="B852" i="2"/>
  <c r="C541" i="2"/>
  <c r="D734" i="2"/>
  <c r="E734" i="2" s="1"/>
  <c r="D750" i="2"/>
  <c r="E750" i="2" s="1"/>
  <c r="D764" i="2"/>
  <c r="E764" i="2" s="1"/>
  <c r="D770" i="2"/>
  <c r="E770" i="2" s="1"/>
  <c r="D776" i="2"/>
  <c r="E776" i="2" s="1"/>
  <c r="D796" i="2"/>
  <c r="E796" i="2" s="1"/>
  <c r="D802" i="2"/>
  <c r="E802" i="2" s="1"/>
  <c r="B103" i="2"/>
  <c r="B119" i="2"/>
  <c r="B135" i="2"/>
  <c r="B151" i="2"/>
  <c r="B167" i="2"/>
  <c r="C211" i="2"/>
  <c r="C215" i="2"/>
  <c r="C218" i="2"/>
  <c r="C222" i="2"/>
  <c r="C275" i="2"/>
  <c r="C279" i="2"/>
  <c r="C282" i="2"/>
  <c r="C286" i="2"/>
  <c r="C339" i="2"/>
  <c r="C343" i="2"/>
  <c r="C346" i="2"/>
  <c r="C350" i="2"/>
  <c r="C394" i="2"/>
  <c r="C398" i="2"/>
  <c r="C443" i="2"/>
  <c r="C487" i="2"/>
  <c r="C493" i="2"/>
  <c r="D513" i="2"/>
  <c r="E513" i="2" s="1"/>
  <c r="D519" i="2"/>
  <c r="E519" i="2" s="1"/>
  <c r="C523" i="2"/>
  <c r="D541" i="2"/>
  <c r="E541" i="2" s="1"/>
  <c r="C561" i="2"/>
  <c r="D585" i="2"/>
  <c r="E585" i="2" s="1"/>
  <c r="D595" i="2"/>
  <c r="E595" i="2" s="1"/>
  <c r="D613" i="2"/>
  <c r="E613" i="2" s="1"/>
  <c r="D623" i="2"/>
  <c r="E623" i="2" s="1"/>
  <c r="D643" i="2"/>
  <c r="E643" i="2" s="1"/>
  <c r="D653" i="2"/>
  <c r="E653" i="2" s="1"/>
  <c r="D665" i="2"/>
  <c r="E665" i="2" s="1"/>
  <c r="D677" i="2"/>
  <c r="E677" i="2" s="1"/>
  <c r="D691" i="2"/>
  <c r="E691" i="2" s="1"/>
  <c r="D703" i="2"/>
  <c r="E703" i="2" s="1"/>
  <c r="B718" i="2"/>
  <c r="B726" i="2"/>
  <c r="B736" i="2"/>
  <c r="B744" i="2"/>
  <c r="B752" i="2"/>
  <c r="B758" i="2"/>
  <c r="B778" i="2"/>
  <c r="B784" i="2"/>
  <c r="B790" i="2"/>
  <c r="B804" i="2"/>
  <c r="C830" i="2"/>
  <c r="C831" i="2"/>
  <c r="B840" i="2"/>
  <c r="C226" i="2"/>
  <c r="C230" i="2"/>
  <c r="C290" i="2"/>
  <c r="C294" i="2"/>
  <c r="C354" i="2"/>
  <c r="C358" i="2"/>
  <c r="C400" i="2"/>
  <c r="C402" i="2"/>
  <c r="C406" i="2"/>
  <c r="C427" i="2"/>
  <c r="D443" i="2"/>
  <c r="E443" i="2" s="1"/>
  <c r="C445" i="2"/>
  <c r="D487" i="2"/>
  <c r="E487" i="2" s="1"/>
  <c r="D523" i="2"/>
  <c r="E523" i="2" s="1"/>
  <c r="C525" i="2"/>
  <c r="C545" i="2"/>
  <c r="D561" i="2"/>
  <c r="E561" i="2" s="1"/>
  <c r="D718" i="2"/>
  <c r="E718" i="2" s="1"/>
  <c r="D726" i="2"/>
  <c r="E726" i="2" s="1"/>
  <c r="D736" i="2"/>
  <c r="E736" i="2" s="1"/>
  <c r="D744" i="2"/>
  <c r="E744" i="2" s="1"/>
  <c r="D752" i="2"/>
  <c r="E752" i="2" s="1"/>
  <c r="D758" i="2"/>
  <c r="E758" i="2" s="1"/>
  <c r="B766" i="2"/>
  <c r="D778" i="2"/>
  <c r="E778" i="2" s="1"/>
  <c r="D784" i="2"/>
  <c r="E784" i="2" s="1"/>
  <c r="D790" i="2"/>
  <c r="E790" i="2" s="1"/>
  <c r="B798" i="2"/>
  <c r="D804" i="2"/>
  <c r="E804" i="2" s="1"/>
  <c r="B812" i="2"/>
  <c r="D831" i="2"/>
  <c r="E831" i="2" s="1"/>
  <c r="D840" i="2"/>
  <c r="E840" i="2" s="1"/>
  <c r="D16" i="2"/>
  <c r="E16" i="2" s="1"/>
  <c r="C16" i="2"/>
  <c r="B16" i="2"/>
  <c r="D28" i="2"/>
  <c r="E28" i="2" s="1"/>
  <c r="B28" i="2"/>
  <c r="C28" i="2"/>
  <c r="D12" i="2"/>
  <c r="E12" i="2" s="1"/>
  <c r="C12" i="2"/>
  <c r="B12" i="2"/>
  <c r="D38" i="2"/>
  <c r="E38" i="2" s="1"/>
  <c r="C38" i="2"/>
  <c r="B38" i="2"/>
  <c r="D26" i="2"/>
  <c r="E26" i="2" s="1"/>
  <c r="B26" i="2"/>
  <c r="C26" i="2"/>
  <c r="D10" i="2"/>
  <c r="E10" i="2" s="1"/>
  <c r="B10" i="2"/>
  <c r="C10" i="2"/>
  <c r="D18" i="2"/>
  <c r="E18" i="2" s="1"/>
  <c r="B18" i="2"/>
  <c r="C18" i="2"/>
  <c r="D27" i="2"/>
  <c r="E27" i="2" s="1"/>
  <c r="C27" i="2"/>
  <c r="B27" i="2"/>
  <c r="D32" i="2"/>
  <c r="E32" i="2" s="1"/>
  <c r="C32" i="2"/>
  <c r="B32" i="2"/>
  <c r="D34" i="2"/>
  <c r="E34" i="2" s="1"/>
  <c r="C34" i="2"/>
  <c r="B34" i="2"/>
  <c r="D36" i="2"/>
  <c r="E36" i="2" s="1"/>
  <c r="C36" i="2"/>
  <c r="B36" i="2"/>
  <c r="D37" i="2"/>
  <c r="E37" i="2" s="1"/>
  <c r="B37" i="2"/>
  <c r="C37" i="2"/>
  <c r="D9" i="2"/>
  <c r="E9" i="2" s="1"/>
  <c r="C9" i="2"/>
  <c r="B9" i="2"/>
  <c r="B17" i="2"/>
  <c r="C17" i="2"/>
  <c r="D17" i="2"/>
  <c r="E17" i="2" s="1"/>
  <c r="B20" i="2"/>
  <c r="D20" i="2"/>
  <c r="E20" i="2" s="1"/>
  <c r="C20" i="2"/>
  <c r="D35" i="2"/>
  <c r="E35" i="2" s="1"/>
  <c r="C35" i="2"/>
  <c r="B35" i="2"/>
  <c r="C15" i="2"/>
  <c r="B15" i="2"/>
  <c r="D15" i="2"/>
  <c r="E15" i="2" s="1"/>
  <c r="D19" i="2"/>
  <c r="E19" i="2" s="1"/>
  <c r="C19" i="2"/>
  <c r="B19" i="2"/>
  <c r="D22" i="2"/>
  <c r="E22" i="2" s="1"/>
  <c r="B22" i="2"/>
  <c r="C22" i="2"/>
  <c r="B21" i="2"/>
  <c r="D21" i="2"/>
  <c r="E21" i="2" s="1"/>
  <c r="C21" i="2"/>
  <c r="D11" i="2"/>
  <c r="E11" i="2" s="1"/>
  <c r="C11" i="2"/>
  <c r="B11" i="2"/>
  <c r="D24" i="2"/>
  <c r="E24" i="2" s="1"/>
  <c r="C24" i="2"/>
  <c r="B24" i="2"/>
  <c r="D40" i="2"/>
  <c r="E40" i="2" s="1"/>
  <c r="C40" i="2"/>
  <c r="B40" i="2"/>
  <c r="C33" i="2"/>
  <c r="B33" i="2"/>
  <c r="D33" i="2"/>
  <c r="E33" i="2" s="1"/>
  <c r="D23" i="2"/>
  <c r="E23" i="2" s="1"/>
  <c r="C23" i="2"/>
  <c r="B23" i="2"/>
  <c r="D30" i="2"/>
  <c r="E30" i="2" s="1"/>
  <c r="C30" i="2"/>
  <c r="B30" i="2"/>
  <c r="B39" i="2"/>
  <c r="D39" i="2"/>
  <c r="E39" i="2" s="1"/>
  <c r="C39" i="2"/>
  <c r="D14" i="2"/>
  <c r="E14" i="2" s="1"/>
  <c r="B14" i="2"/>
  <c r="C14" i="2"/>
  <c r="D13" i="2"/>
  <c r="E13" i="2" s="1"/>
  <c r="C13" i="2"/>
  <c r="B13" i="2"/>
  <c r="D29" i="2"/>
  <c r="E29" i="2" s="1"/>
  <c r="C29" i="2"/>
  <c r="B29" i="2"/>
  <c r="D25" i="2"/>
  <c r="E25" i="2" s="1"/>
  <c r="C25" i="2"/>
  <c r="B25" i="2"/>
  <c r="C31" i="2"/>
  <c r="B31" i="2"/>
  <c r="D31" i="2"/>
  <c r="E31" i="2" s="1"/>
  <c r="D64" i="2"/>
  <c r="E64" i="2" s="1"/>
  <c r="C64" i="2"/>
  <c r="B64" i="2"/>
  <c r="D245" i="2"/>
  <c r="E245" i="2" s="1"/>
  <c r="C245" i="2"/>
  <c r="B245" i="2"/>
  <c r="D309" i="2"/>
  <c r="E309" i="2" s="1"/>
  <c r="C309" i="2"/>
  <c r="B309" i="2"/>
  <c r="D397" i="2"/>
  <c r="E397" i="2" s="1"/>
  <c r="C397" i="2"/>
  <c r="B397" i="2"/>
  <c r="D42" i="2"/>
  <c r="E42" i="2" s="1"/>
  <c r="C42" i="2"/>
  <c r="B42" i="2"/>
  <c r="D67" i="2"/>
  <c r="E67" i="2" s="1"/>
  <c r="C67" i="2"/>
  <c r="D74" i="2"/>
  <c r="E74" i="2" s="1"/>
  <c r="C74" i="2"/>
  <c r="B74" i="2"/>
  <c r="D86" i="2"/>
  <c r="E86" i="2" s="1"/>
  <c r="C86" i="2"/>
  <c r="B86" i="2"/>
  <c r="B507" i="2"/>
  <c r="D507" i="2"/>
  <c r="E507" i="2" s="1"/>
  <c r="C507" i="2"/>
  <c r="D69" i="2"/>
  <c r="E69" i="2" s="1"/>
  <c r="B69" i="2"/>
  <c r="D181" i="2"/>
  <c r="E181" i="2" s="1"/>
  <c r="C181" i="2"/>
  <c r="B181" i="2"/>
  <c r="D213" i="2"/>
  <c r="E213" i="2" s="1"/>
  <c r="C213" i="2"/>
  <c r="B213" i="2"/>
  <c r="D341" i="2"/>
  <c r="E341" i="2" s="1"/>
  <c r="C341" i="2"/>
  <c r="B341" i="2"/>
  <c r="D476" i="2"/>
  <c r="E476" i="2" s="1"/>
  <c r="C476" i="2"/>
  <c r="B476" i="2"/>
  <c r="D44" i="2"/>
  <c r="E44" i="2" s="1"/>
  <c r="C44" i="2"/>
  <c r="B44" i="2"/>
  <c r="D76" i="2"/>
  <c r="E76" i="2" s="1"/>
  <c r="C76" i="2"/>
  <c r="B76" i="2"/>
  <c r="D84" i="2"/>
  <c r="E84" i="2" s="1"/>
  <c r="C84" i="2"/>
  <c r="B84" i="2"/>
  <c r="D85" i="2"/>
  <c r="E85" i="2" s="1"/>
  <c r="B85" i="2"/>
  <c r="D189" i="2"/>
  <c r="E189" i="2" s="1"/>
  <c r="C189" i="2"/>
  <c r="B189" i="2"/>
  <c r="D221" i="2"/>
  <c r="E221" i="2" s="1"/>
  <c r="C221" i="2"/>
  <c r="B221" i="2"/>
  <c r="D253" i="2"/>
  <c r="E253" i="2" s="1"/>
  <c r="C253" i="2"/>
  <c r="B253" i="2"/>
  <c r="D285" i="2"/>
  <c r="E285" i="2" s="1"/>
  <c r="C285" i="2"/>
  <c r="B285" i="2"/>
  <c r="D317" i="2"/>
  <c r="E317" i="2" s="1"/>
  <c r="C317" i="2"/>
  <c r="B317" i="2"/>
  <c r="D349" i="2"/>
  <c r="E349" i="2" s="1"/>
  <c r="C349" i="2"/>
  <c r="B349" i="2"/>
  <c r="D381" i="2"/>
  <c r="E381" i="2" s="1"/>
  <c r="C381" i="2"/>
  <c r="B381" i="2"/>
  <c r="D405" i="2"/>
  <c r="E405" i="2" s="1"/>
  <c r="C405" i="2"/>
  <c r="B405" i="2"/>
  <c r="B459" i="2"/>
  <c r="D459" i="2"/>
  <c r="E459" i="2" s="1"/>
  <c r="C459" i="2"/>
  <c r="D68" i="2"/>
  <c r="E68" i="2" s="1"/>
  <c r="C68" i="2"/>
  <c r="B68" i="2"/>
  <c r="D277" i="2"/>
  <c r="E277" i="2" s="1"/>
  <c r="C277" i="2"/>
  <c r="B277" i="2"/>
  <c r="D43" i="2"/>
  <c r="E43" i="2" s="1"/>
  <c r="C43" i="2"/>
  <c r="D54" i="2"/>
  <c r="E54" i="2" s="1"/>
  <c r="C54" i="2"/>
  <c r="B54" i="2"/>
  <c r="D75" i="2"/>
  <c r="E75" i="2" s="1"/>
  <c r="C75" i="2"/>
  <c r="D83" i="2"/>
  <c r="E83" i="2" s="1"/>
  <c r="C83" i="2"/>
  <c r="B83" i="2"/>
  <c r="D90" i="2"/>
  <c r="E90" i="2" s="1"/>
  <c r="C90" i="2"/>
  <c r="B90" i="2"/>
  <c r="D102" i="2"/>
  <c r="E102" i="2" s="1"/>
  <c r="C102" i="2"/>
  <c r="B102" i="2"/>
  <c r="D538" i="2"/>
  <c r="E538" i="2" s="1"/>
  <c r="C538" i="2"/>
  <c r="B538" i="2"/>
  <c r="D66" i="2"/>
  <c r="E66" i="2" s="1"/>
  <c r="C66" i="2"/>
  <c r="B66" i="2"/>
  <c r="D128" i="2"/>
  <c r="E128" i="2" s="1"/>
  <c r="C128" i="2"/>
  <c r="B128" i="2"/>
  <c r="D144" i="2"/>
  <c r="E144" i="2" s="1"/>
  <c r="C144" i="2"/>
  <c r="B144" i="2"/>
  <c r="D598" i="2"/>
  <c r="E598" i="2" s="1"/>
  <c r="C598" i="2"/>
  <c r="B598" i="2"/>
  <c r="D48" i="2"/>
  <c r="E48" i="2" s="1"/>
  <c r="C48" i="2"/>
  <c r="B48" i="2"/>
  <c r="D50" i="2"/>
  <c r="E50" i="2" s="1"/>
  <c r="C50" i="2"/>
  <c r="B50" i="2"/>
  <c r="D52" i="2"/>
  <c r="E52" i="2" s="1"/>
  <c r="C52" i="2"/>
  <c r="B52" i="2"/>
  <c r="D53" i="2"/>
  <c r="E53" i="2" s="1"/>
  <c r="B53" i="2"/>
  <c r="D80" i="2"/>
  <c r="E80" i="2" s="1"/>
  <c r="C80" i="2"/>
  <c r="B80" i="2"/>
  <c r="D92" i="2"/>
  <c r="E92" i="2" s="1"/>
  <c r="C92" i="2"/>
  <c r="B92" i="2"/>
  <c r="D100" i="2"/>
  <c r="E100" i="2" s="1"/>
  <c r="C100" i="2"/>
  <c r="B100" i="2"/>
  <c r="D101" i="2"/>
  <c r="E101" i="2" s="1"/>
  <c r="B101" i="2"/>
  <c r="D118" i="2"/>
  <c r="E118" i="2" s="1"/>
  <c r="C118" i="2"/>
  <c r="B118" i="2"/>
  <c r="D134" i="2"/>
  <c r="E134" i="2" s="1"/>
  <c r="C134" i="2"/>
  <c r="B134" i="2"/>
  <c r="D150" i="2"/>
  <c r="E150" i="2" s="1"/>
  <c r="C150" i="2"/>
  <c r="B150" i="2"/>
  <c r="D166" i="2"/>
  <c r="E166" i="2" s="1"/>
  <c r="C166" i="2"/>
  <c r="B166" i="2"/>
  <c r="D197" i="2"/>
  <c r="E197" i="2" s="1"/>
  <c r="C197" i="2"/>
  <c r="B197" i="2"/>
  <c r="D229" i="2"/>
  <c r="E229" i="2" s="1"/>
  <c r="C229" i="2"/>
  <c r="B229" i="2"/>
  <c r="D261" i="2"/>
  <c r="E261" i="2" s="1"/>
  <c r="C261" i="2"/>
  <c r="B261" i="2"/>
  <c r="D293" i="2"/>
  <c r="E293" i="2" s="1"/>
  <c r="C293" i="2"/>
  <c r="B293" i="2"/>
  <c r="D325" i="2"/>
  <c r="E325" i="2" s="1"/>
  <c r="C325" i="2"/>
  <c r="B325" i="2"/>
  <c r="D357" i="2"/>
  <c r="E357" i="2" s="1"/>
  <c r="C357" i="2"/>
  <c r="B357" i="2"/>
  <c r="D413" i="2"/>
  <c r="E413" i="2" s="1"/>
  <c r="C413" i="2"/>
  <c r="B413" i="2"/>
  <c r="D492" i="2"/>
  <c r="E492" i="2" s="1"/>
  <c r="C492" i="2"/>
  <c r="B492" i="2"/>
  <c r="D112" i="2"/>
  <c r="E112" i="2" s="1"/>
  <c r="C112" i="2"/>
  <c r="B112" i="2"/>
  <c r="D160" i="2"/>
  <c r="E160" i="2" s="1"/>
  <c r="C160" i="2"/>
  <c r="B160" i="2"/>
  <c r="D373" i="2"/>
  <c r="E373" i="2" s="1"/>
  <c r="C373" i="2"/>
  <c r="B373" i="2"/>
  <c r="D51" i="2"/>
  <c r="E51" i="2" s="1"/>
  <c r="C51" i="2"/>
  <c r="D58" i="2"/>
  <c r="E58" i="2" s="1"/>
  <c r="C58" i="2"/>
  <c r="B58" i="2"/>
  <c r="D99" i="2"/>
  <c r="E99" i="2" s="1"/>
  <c r="C99" i="2"/>
  <c r="B99" i="2"/>
  <c r="D106" i="2"/>
  <c r="E106" i="2" s="1"/>
  <c r="C106" i="2"/>
  <c r="B106" i="2"/>
  <c r="D117" i="2"/>
  <c r="E117" i="2" s="1"/>
  <c r="C117" i="2"/>
  <c r="B117" i="2"/>
  <c r="D133" i="2"/>
  <c r="E133" i="2" s="1"/>
  <c r="C133" i="2"/>
  <c r="B133" i="2"/>
  <c r="D149" i="2"/>
  <c r="E149" i="2" s="1"/>
  <c r="C149" i="2"/>
  <c r="B149" i="2"/>
  <c r="D165" i="2"/>
  <c r="E165" i="2" s="1"/>
  <c r="C165" i="2"/>
  <c r="B165" i="2"/>
  <c r="D389" i="2"/>
  <c r="E389" i="2" s="1"/>
  <c r="C389" i="2"/>
  <c r="B389" i="2"/>
  <c r="B447" i="2"/>
  <c r="C447" i="2"/>
  <c r="D447" i="2"/>
  <c r="E447" i="2" s="1"/>
  <c r="B559" i="2"/>
  <c r="C559" i="2"/>
  <c r="D559" i="2"/>
  <c r="E559" i="2" s="1"/>
  <c r="D60" i="2"/>
  <c r="E60" i="2" s="1"/>
  <c r="C60" i="2"/>
  <c r="B60" i="2"/>
  <c r="D96" i="2"/>
  <c r="E96" i="2" s="1"/>
  <c r="C96" i="2"/>
  <c r="B96" i="2"/>
  <c r="D108" i="2"/>
  <c r="E108" i="2" s="1"/>
  <c r="C108" i="2"/>
  <c r="B108" i="2"/>
  <c r="D116" i="2"/>
  <c r="E116" i="2" s="1"/>
  <c r="C116" i="2"/>
  <c r="B116" i="2"/>
  <c r="D124" i="2"/>
  <c r="E124" i="2" s="1"/>
  <c r="C124" i="2"/>
  <c r="B124" i="2"/>
  <c r="D132" i="2"/>
  <c r="E132" i="2" s="1"/>
  <c r="C132" i="2"/>
  <c r="B132" i="2"/>
  <c r="D140" i="2"/>
  <c r="E140" i="2" s="1"/>
  <c r="C140" i="2"/>
  <c r="B140" i="2"/>
  <c r="D148" i="2"/>
  <c r="E148" i="2" s="1"/>
  <c r="C148" i="2"/>
  <c r="B148" i="2"/>
  <c r="D156" i="2"/>
  <c r="E156" i="2" s="1"/>
  <c r="C156" i="2"/>
  <c r="B156" i="2"/>
  <c r="D164" i="2"/>
  <c r="E164" i="2" s="1"/>
  <c r="C164" i="2"/>
  <c r="B164" i="2"/>
  <c r="D173" i="2"/>
  <c r="E173" i="2" s="1"/>
  <c r="C173" i="2"/>
  <c r="B173" i="2"/>
  <c r="D205" i="2"/>
  <c r="E205" i="2" s="1"/>
  <c r="C205" i="2"/>
  <c r="B205" i="2"/>
  <c r="D237" i="2"/>
  <c r="E237" i="2" s="1"/>
  <c r="C237" i="2"/>
  <c r="B237" i="2"/>
  <c r="D269" i="2"/>
  <c r="E269" i="2" s="1"/>
  <c r="C269" i="2"/>
  <c r="B269" i="2"/>
  <c r="D301" i="2"/>
  <c r="E301" i="2" s="1"/>
  <c r="C301" i="2"/>
  <c r="B301" i="2"/>
  <c r="D333" i="2"/>
  <c r="E333" i="2" s="1"/>
  <c r="C333" i="2"/>
  <c r="B333" i="2"/>
  <c r="D365" i="2"/>
  <c r="E365" i="2" s="1"/>
  <c r="C365" i="2"/>
  <c r="B365" i="2"/>
  <c r="D59" i="2"/>
  <c r="E59" i="2" s="1"/>
  <c r="C59" i="2"/>
  <c r="C69" i="2"/>
  <c r="D70" i="2"/>
  <c r="E70" i="2" s="1"/>
  <c r="C70" i="2"/>
  <c r="B70" i="2"/>
  <c r="D434" i="2"/>
  <c r="E434" i="2" s="1"/>
  <c r="C434" i="2"/>
  <c r="B434" i="2"/>
  <c r="B435" i="2"/>
  <c r="D435" i="2"/>
  <c r="E435" i="2" s="1"/>
  <c r="C435" i="2"/>
  <c r="D82" i="2"/>
  <c r="E82" i="2" s="1"/>
  <c r="C82" i="2"/>
  <c r="B82" i="2"/>
  <c r="D98" i="2"/>
  <c r="E98" i="2" s="1"/>
  <c r="C98" i="2"/>
  <c r="B98" i="2"/>
  <c r="D114" i="2"/>
  <c r="E114" i="2" s="1"/>
  <c r="C114" i="2"/>
  <c r="B114" i="2"/>
  <c r="B115" i="2"/>
  <c r="D130" i="2"/>
  <c r="E130" i="2" s="1"/>
  <c r="C130" i="2"/>
  <c r="B130" i="2"/>
  <c r="B131" i="2"/>
  <c r="D146" i="2"/>
  <c r="E146" i="2" s="1"/>
  <c r="C146" i="2"/>
  <c r="B146" i="2"/>
  <c r="B147" i="2"/>
  <c r="D162" i="2"/>
  <c r="E162" i="2" s="1"/>
  <c r="C162" i="2"/>
  <c r="B162" i="2"/>
  <c r="B163" i="2"/>
  <c r="D426" i="2"/>
  <c r="E426" i="2" s="1"/>
  <c r="C426" i="2"/>
  <c r="B475" i="2"/>
  <c r="C475" i="2"/>
  <c r="B491" i="2"/>
  <c r="D491" i="2"/>
  <c r="E491" i="2" s="1"/>
  <c r="C491" i="2"/>
  <c r="B537" i="2"/>
  <c r="D537" i="2"/>
  <c r="E537" i="2" s="1"/>
  <c r="C537" i="2"/>
  <c r="C581" i="2"/>
  <c r="B581" i="2"/>
  <c r="D590" i="2"/>
  <c r="E590" i="2" s="1"/>
  <c r="C590" i="2"/>
  <c r="B590" i="2"/>
  <c r="D1007" i="2"/>
  <c r="E1007" i="2" s="1"/>
  <c r="C1007" i="2"/>
  <c r="B1007" i="2"/>
  <c r="D56" i="2"/>
  <c r="E56" i="2" s="1"/>
  <c r="C56" i="2"/>
  <c r="B56" i="2"/>
  <c r="D72" i="2"/>
  <c r="E72" i="2" s="1"/>
  <c r="C72" i="2"/>
  <c r="B72" i="2"/>
  <c r="D88" i="2"/>
  <c r="E88" i="2" s="1"/>
  <c r="C88" i="2"/>
  <c r="B88" i="2"/>
  <c r="D104" i="2"/>
  <c r="E104" i="2" s="1"/>
  <c r="C104" i="2"/>
  <c r="B104" i="2"/>
  <c r="C115" i="2"/>
  <c r="D120" i="2"/>
  <c r="E120" i="2" s="1"/>
  <c r="C120" i="2"/>
  <c r="B120" i="2"/>
  <c r="C131" i="2"/>
  <c r="D136" i="2"/>
  <c r="E136" i="2" s="1"/>
  <c r="C136" i="2"/>
  <c r="B136" i="2"/>
  <c r="C147" i="2"/>
  <c r="D152" i="2"/>
  <c r="E152" i="2" s="1"/>
  <c r="C152" i="2"/>
  <c r="B152" i="2"/>
  <c r="C163" i="2"/>
  <c r="D168" i="2"/>
  <c r="E168" i="2" s="1"/>
  <c r="C168" i="2"/>
  <c r="B168" i="2"/>
  <c r="C176" i="2"/>
  <c r="C184" i="2"/>
  <c r="C192" i="2"/>
  <c r="C200" i="2"/>
  <c r="C208" i="2"/>
  <c r="C216" i="2"/>
  <c r="C224" i="2"/>
  <c r="C232" i="2"/>
  <c r="C240" i="2"/>
  <c r="C248" i="2"/>
  <c r="C256" i="2"/>
  <c r="C264" i="2"/>
  <c r="C272" i="2"/>
  <c r="C280" i="2"/>
  <c r="C288" i="2"/>
  <c r="C296" i="2"/>
  <c r="C304" i="2"/>
  <c r="C312" i="2"/>
  <c r="C320" i="2"/>
  <c r="C328" i="2"/>
  <c r="C336" i="2"/>
  <c r="C344" i="2"/>
  <c r="C352" i="2"/>
  <c r="C360" i="2"/>
  <c r="C368" i="2"/>
  <c r="C376" i="2"/>
  <c r="B425" i="2"/>
  <c r="D425" i="2"/>
  <c r="E425" i="2" s="1"/>
  <c r="C425" i="2"/>
  <c r="D450" i="2"/>
  <c r="E450" i="2" s="1"/>
  <c r="C450" i="2"/>
  <c r="B450" i="2"/>
  <c r="B451" i="2"/>
  <c r="D451" i="2"/>
  <c r="E451" i="2" s="1"/>
  <c r="C451" i="2"/>
  <c r="D554" i="2"/>
  <c r="E554" i="2" s="1"/>
  <c r="C554" i="2"/>
  <c r="D562" i="2"/>
  <c r="E562" i="2" s="1"/>
  <c r="C562" i="2"/>
  <c r="B562" i="2"/>
  <c r="B563" i="2"/>
  <c r="D563" i="2"/>
  <c r="E563" i="2" s="1"/>
  <c r="C563" i="2"/>
  <c r="D581" i="2"/>
  <c r="E581" i="2" s="1"/>
  <c r="D749" i="2"/>
  <c r="E749" i="2" s="1"/>
  <c r="C749" i="2"/>
  <c r="B749" i="2"/>
  <c r="C41" i="2"/>
  <c r="D46" i="2"/>
  <c r="E46" i="2" s="1"/>
  <c r="C46" i="2"/>
  <c r="B46" i="2"/>
  <c r="B47" i="2"/>
  <c r="C57" i="2"/>
  <c r="D62" i="2"/>
  <c r="E62" i="2" s="1"/>
  <c r="C62" i="2"/>
  <c r="B62" i="2"/>
  <c r="B63" i="2"/>
  <c r="C73" i="2"/>
  <c r="D78" i="2"/>
  <c r="E78" i="2" s="1"/>
  <c r="C78" i="2"/>
  <c r="B78" i="2"/>
  <c r="B79" i="2"/>
  <c r="C89" i="2"/>
  <c r="D94" i="2"/>
  <c r="E94" i="2" s="1"/>
  <c r="C94" i="2"/>
  <c r="B94" i="2"/>
  <c r="B95" i="2"/>
  <c r="C105" i="2"/>
  <c r="D110" i="2"/>
  <c r="E110" i="2" s="1"/>
  <c r="C110" i="2"/>
  <c r="B110" i="2"/>
  <c r="B111" i="2"/>
  <c r="C121" i="2"/>
  <c r="D126" i="2"/>
  <c r="E126" i="2" s="1"/>
  <c r="C126" i="2"/>
  <c r="B126" i="2"/>
  <c r="B127" i="2"/>
  <c r="C137" i="2"/>
  <c r="D142" i="2"/>
  <c r="E142" i="2" s="1"/>
  <c r="C142" i="2"/>
  <c r="B142" i="2"/>
  <c r="B143" i="2"/>
  <c r="C153" i="2"/>
  <c r="D158" i="2"/>
  <c r="E158" i="2" s="1"/>
  <c r="C158" i="2"/>
  <c r="B158" i="2"/>
  <c r="B159" i="2"/>
  <c r="C169" i="2"/>
  <c r="D176" i="2"/>
  <c r="E176" i="2" s="1"/>
  <c r="D184" i="2"/>
  <c r="E184" i="2" s="1"/>
  <c r="D192" i="2"/>
  <c r="E192" i="2" s="1"/>
  <c r="D200" i="2"/>
  <c r="E200" i="2" s="1"/>
  <c r="D208" i="2"/>
  <c r="E208" i="2" s="1"/>
  <c r="D216" i="2"/>
  <c r="E216" i="2" s="1"/>
  <c r="D224" i="2"/>
  <c r="E224" i="2" s="1"/>
  <c r="D232" i="2"/>
  <c r="E232" i="2" s="1"/>
  <c r="D240" i="2"/>
  <c r="E240" i="2" s="1"/>
  <c r="D248" i="2"/>
  <c r="E248" i="2" s="1"/>
  <c r="D256" i="2"/>
  <c r="E256" i="2" s="1"/>
  <c r="D264" i="2"/>
  <c r="E264" i="2" s="1"/>
  <c r="D272" i="2"/>
  <c r="E272" i="2" s="1"/>
  <c r="D280" i="2"/>
  <c r="E280" i="2" s="1"/>
  <c r="D288" i="2"/>
  <c r="E288" i="2" s="1"/>
  <c r="D296" i="2"/>
  <c r="E296" i="2" s="1"/>
  <c r="D304" i="2"/>
  <c r="E304" i="2" s="1"/>
  <c r="D312" i="2"/>
  <c r="E312" i="2" s="1"/>
  <c r="D320" i="2"/>
  <c r="E320" i="2" s="1"/>
  <c r="D328" i="2"/>
  <c r="E328" i="2" s="1"/>
  <c r="D336" i="2"/>
  <c r="E336" i="2" s="1"/>
  <c r="D344" i="2"/>
  <c r="E344" i="2" s="1"/>
  <c r="D352" i="2"/>
  <c r="E352" i="2" s="1"/>
  <c r="D360" i="2"/>
  <c r="E360" i="2" s="1"/>
  <c r="D368" i="2"/>
  <c r="E368" i="2" s="1"/>
  <c r="D376" i="2"/>
  <c r="E376" i="2" s="1"/>
  <c r="D384" i="2"/>
  <c r="E384" i="2" s="1"/>
  <c r="D392" i="2"/>
  <c r="E392" i="2" s="1"/>
  <c r="D400" i="2"/>
  <c r="E400" i="2" s="1"/>
  <c r="D408" i="2"/>
  <c r="E408" i="2" s="1"/>
  <c r="C416" i="2"/>
  <c r="D442" i="2"/>
  <c r="E442" i="2" s="1"/>
  <c r="C442" i="2"/>
  <c r="D512" i="2"/>
  <c r="E512" i="2" s="1"/>
  <c r="C512" i="2"/>
  <c r="B512" i="2"/>
  <c r="D528" i="2"/>
  <c r="E528" i="2" s="1"/>
  <c r="C528" i="2"/>
  <c r="B553" i="2"/>
  <c r="D553" i="2"/>
  <c r="E553" i="2" s="1"/>
  <c r="C553" i="2"/>
  <c r="B554" i="2"/>
  <c r="D177" i="2"/>
  <c r="E177" i="2" s="1"/>
  <c r="C177" i="2"/>
  <c r="D185" i="2"/>
  <c r="E185" i="2" s="1"/>
  <c r="C185" i="2"/>
  <c r="D193" i="2"/>
  <c r="E193" i="2" s="1"/>
  <c r="C193" i="2"/>
  <c r="D201" i="2"/>
  <c r="E201" i="2" s="1"/>
  <c r="C201" i="2"/>
  <c r="D209" i="2"/>
  <c r="E209" i="2" s="1"/>
  <c r="C209" i="2"/>
  <c r="D217" i="2"/>
  <c r="E217" i="2" s="1"/>
  <c r="C217" i="2"/>
  <c r="D225" i="2"/>
  <c r="E225" i="2" s="1"/>
  <c r="C225" i="2"/>
  <c r="D233" i="2"/>
  <c r="E233" i="2" s="1"/>
  <c r="C233" i="2"/>
  <c r="D241" i="2"/>
  <c r="E241" i="2" s="1"/>
  <c r="C241" i="2"/>
  <c r="D249" i="2"/>
  <c r="E249" i="2" s="1"/>
  <c r="C249" i="2"/>
  <c r="D257" i="2"/>
  <c r="E257" i="2" s="1"/>
  <c r="C257" i="2"/>
  <c r="D265" i="2"/>
  <c r="E265" i="2" s="1"/>
  <c r="C265" i="2"/>
  <c r="D273" i="2"/>
  <c r="E273" i="2" s="1"/>
  <c r="C273" i="2"/>
  <c r="D281" i="2"/>
  <c r="E281" i="2" s="1"/>
  <c r="C281" i="2"/>
  <c r="D289" i="2"/>
  <c r="E289" i="2" s="1"/>
  <c r="C289" i="2"/>
  <c r="D297" i="2"/>
  <c r="E297" i="2" s="1"/>
  <c r="C297" i="2"/>
  <c r="D305" i="2"/>
  <c r="E305" i="2" s="1"/>
  <c r="C305" i="2"/>
  <c r="D313" i="2"/>
  <c r="E313" i="2" s="1"/>
  <c r="C313" i="2"/>
  <c r="D321" i="2"/>
  <c r="E321" i="2" s="1"/>
  <c r="C321" i="2"/>
  <c r="D329" i="2"/>
  <c r="E329" i="2" s="1"/>
  <c r="C329" i="2"/>
  <c r="D337" i="2"/>
  <c r="E337" i="2" s="1"/>
  <c r="C337" i="2"/>
  <c r="D345" i="2"/>
  <c r="E345" i="2" s="1"/>
  <c r="C345" i="2"/>
  <c r="D353" i="2"/>
  <c r="E353" i="2" s="1"/>
  <c r="C353" i="2"/>
  <c r="D361" i="2"/>
  <c r="E361" i="2" s="1"/>
  <c r="C361" i="2"/>
  <c r="D369" i="2"/>
  <c r="E369" i="2" s="1"/>
  <c r="C369" i="2"/>
  <c r="D377" i="2"/>
  <c r="E377" i="2" s="1"/>
  <c r="C377" i="2"/>
  <c r="D385" i="2"/>
  <c r="E385" i="2" s="1"/>
  <c r="C385" i="2"/>
  <c r="D393" i="2"/>
  <c r="E393" i="2" s="1"/>
  <c r="C393" i="2"/>
  <c r="D401" i="2"/>
  <c r="E401" i="2" s="1"/>
  <c r="C401" i="2"/>
  <c r="D409" i="2"/>
  <c r="E409" i="2" s="1"/>
  <c r="C409" i="2"/>
  <c r="B441" i="2"/>
  <c r="D441" i="2"/>
  <c r="E441" i="2" s="1"/>
  <c r="C441" i="2"/>
  <c r="D466" i="2"/>
  <c r="E466" i="2" s="1"/>
  <c r="C466" i="2"/>
  <c r="B466" i="2"/>
  <c r="B467" i="2"/>
  <c r="D467" i="2"/>
  <c r="E467" i="2" s="1"/>
  <c r="C467" i="2"/>
  <c r="D482" i="2"/>
  <c r="E482" i="2" s="1"/>
  <c r="C482" i="2"/>
  <c r="B482" i="2"/>
  <c r="B483" i="2"/>
  <c r="D483" i="2"/>
  <c r="E483" i="2" s="1"/>
  <c r="C483" i="2"/>
  <c r="C485" i="2"/>
  <c r="D518" i="2"/>
  <c r="E518" i="2" s="1"/>
  <c r="C518" i="2"/>
  <c r="B527" i="2"/>
  <c r="C527" i="2"/>
  <c r="B528" i="2"/>
  <c r="D570" i="2"/>
  <c r="E570" i="2" s="1"/>
  <c r="C570" i="2"/>
  <c r="D122" i="2"/>
  <c r="E122" i="2" s="1"/>
  <c r="C122" i="2"/>
  <c r="B122" i="2"/>
  <c r="D138" i="2"/>
  <c r="E138" i="2" s="1"/>
  <c r="C138" i="2"/>
  <c r="B138" i="2"/>
  <c r="D154" i="2"/>
  <c r="E154" i="2" s="1"/>
  <c r="C154" i="2"/>
  <c r="B154" i="2"/>
  <c r="B401" i="2"/>
  <c r="B409" i="2"/>
  <c r="D432" i="2"/>
  <c r="E432" i="2" s="1"/>
  <c r="C432" i="2"/>
  <c r="B457" i="2"/>
  <c r="D457" i="2"/>
  <c r="E457" i="2" s="1"/>
  <c r="C457" i="2"/>
  <c r="D485" i="2"/>
  <c r="E485" i="2" s="1"/>
  <c r="B517" i="2"/>
  <c r="D517" i="2"/>
  <c r="E517" i="2" s="1"/>
  <c r="C517" i="2"/>
  <c r="B518" i="2"/>
  <c r="D544" i="2"/>
  <c r="E544" i="2" s="1"/>
  <c r="C544" i="2"/>
  <c r="B569" i="2"/>
  <c r="D569" i="2"/>
  <c r="E569" i="2" s="1"/>
  <c r="C569" i="2"/>
  <c r="B570" i="2"/>
  <c r="B49" i="2"/>
  <c r="B65" i="2"/>
  <c r="B81" i="2"/>
  <c r="C91" i="2"/>
  <c r="B97" i="2"/>
  <c r="C107" i="2"/>
  <c r="B113" i="2"/>
  <c r="C123" i="2"/>
  <c r="B129" i="2"/>
  <c r="C139" i="2"/>
  <c r="B145" i="2"/>
  <c r="C155" i="2"/>
  <c r="B161" i="2"/>
  <c r="C172" i="2"/>
  <c r="C180" i="2"/>
  <c r="C188" i="2"/>
  <c r="C196" i="2"/>
  <c r="C204" i="2"/>
  <c r="C212" i="2"/>
  <c r="C220" i="2"/>
  <c r="C228" i="2"/>
  <c r="C236" i="2"/>
  <c r="C244" i="2"/>
  <c r="C252" i="2"/>
  <c r="C260" i="2"/>
  <c r="C268" i="2"/>
  <c r="C276" i="2"/>
  <c r="C284" i="2"/>
  <c r="C292" i="2"/>
  <c r="C300" i="2"/>
  <c r="C308" i="2"/>
  <c r="C316" i="2"/>
  <c r="C324" i="2"/>
  <c r="C332" i="2"/>
  <c r="C340" i="2"/>
  <c r="C348" i="2"/>
  <c r="C356" i="2"/>
  <c r="C364" i="2"/>
  <c r="C372" i="2"/>
  <c r="C380" i="2"/>
  <c r="C388" i="2"/>
  <c r="C396" i="2"/>
  <c r="C404" i="2"/>
  <c r="C412" i="2"/>
  <c r="B431" i="2"/>
  <c r="C431" i="2"/>
  <c r="D431" i="2"/>
  <c r="E431" i="2" s="1"/>
  <c r="B432" i="2"/>
  <c r="D444" i="2"/>
  <c r="E444" i="2" s="1"/>
  <c r="C444" i="2"/>
  <c r="B444" i="2"/>
  <c r="D470" i="2"/>
  <c r="E470" i="2" s="1"/>
  <c r="C470" i="2"/>
  <c r="B470" i="2"/>
  <c r="D486" i="2"/>
  <c r="E486" i="2" s="1"/>
  <c r="C486" i="2"/>
  <c r="D502" i="2"/>
  <c r="E502" i="2" s="1"/>
  <c r="C502" i="2"/>
  <c r="B533" i="2"/>
  <c r="D533" i="2"/>
  <c r="E533" i="2" s="1"/>
  <c r="C533" i="2"/>
  <c r="B543" i="2"/>
  <c r="C543" i="2"/>
  <c r="B544" i="2"/>
  <c r="D171" i="2"/>
  <c r="E171" i="2" s="1"/>
  <c r="B171" i="2"/>
  <c r="D172" i="2"/>
  <c r="E172" i="2" s="1"/>
  <c r="D180" i="2"/>
  <c r="E180" i="2" s="1"/>
  <c r="D188" i="2"/>
  <c r="E188" i="2" s="1"/>
  <c r="D196" i="2"/>
  <c r="E196" i="2" s="1"/>
  <c r="D204" i="2"/>
  <c r="E204" i="2" s="1"/>
  <c r="D212" i="2"/>
  <c r="E212" i="2" s="1"/>
  <c r="D220" i="2"/>
  <c r="E220" i="2" s="1"/>
  <c r="D228" i="2"/>
  <c r="E228" i="2" s="1"/>
  <c r="D236" i="2"/>
  <c r="E236" i="2" s="1"/>
  <c r="D244" i="2"/>
  <c r="E244" i="2" s="1"/>
  <c r="D252" i="2"/>
  <c r="E252" i="2" s="1"/>
  <c r="D260" i="2"/>
  <c r="E260" i="2" s="1"/>
  <c r="D268" i="2"/>
  <c r="E268" i="2" s="1"/>
  <c r="D276" i="2"/>
  <c r="E276" i="2" s="1"/>
  <c r="D284" i="2"/>
  <c r="E284" i="2" s="1"/>
  <c r="D292" i="2"/>
  <c r="E292" i="2" s="1"/>
  <c r="D300" i="2"/>
  <c r="E300" i="2" s="1"/>
  <c r="D308" i="2"/>
  <c r="E308" i="2" s="1"/>
  <c r="D316" i="2"/>
  <c r="E316" i="2" s="1"/>
  <c r="D324" i="2"/>
  <c r="E324" i="2" s="1"/>
  <c r="D332" i="2"/>
  <c r="E332" i="2" s="1"/>
  <c r="D340" i="2"/>
  <c r="E340" i="2" s="1"/>
  <c r="D348" i="2"/>
  <c r="E348" i="2" s="1"/>
  <c r="D356" i="2"/>
  <c r="E356" i="2" s="1"/>
  <c r="D364" i="2"/>
  <c r="E364" i="2" s="1"/>
  <c r="D372" i="2"/>
  <c r="E372" i="2" s="1"/>
  <c r="D380" i="2"/>
  <c r="E380" i="2" s="1"/>
  <c r="D388" i="2"/>
  <c r="E388" i="2" s="1"/>
  <c r="D396" i="2"/>
  <c r="E396" i="2" s="1"/>
  <c r="D404" i="2"/>
  <c r="E404" i="2" s="1"/>
  <c r="D412" i="2"/>
  <c r="E412" i="2" s="1"/>
  <c r="D460" i="2"/>
  <c r="E460" i="2" s="1"/>
  <c r="C460" i="2"/>
  <c r="D475" i="2"/>
  <c r="E475" i="2" s="1"/>
  <c r="B501" i="2"/>
  <c r="C501" i="2"/>
  <c r="D522" i="2"/>
  <c r="E522" i="2" s="1"/>
  <c r="C522" i="2"/>
  <c r="B522" i="2"/>
  <c r="D560" i="2"/>
  <c r="E560" i="2" s="1"/>
  <c r="C560" i="2"/>
  <c r="D636" i="2"/>
  <c r="E636" i="2" s="1"/>
  <c r="C636" i="2"/>
  <c r="B636" i="2"/>
  <c r="D733" i="2"/>
  <c r="E733" i="2" s="1"/>
  <c r="C733" i="2"/>
  <c r="B733" i="2"/>
  <c r="D692" i="2"/>
  <c r="E692" i="2" s="1"/>
  <c r="C692" i="2"/>
  <c r="B692" i="2"/>
  <c r="D702" i="2"/>
  <c r="E702" i="2" s="1"/>
  <c r="C702" i="2"/>
  <c r="B702" i="2"/>
  <c r="B845" i="2"/>
  <c r="D845" i="2"/>
  <c r="E845" i="2" s="1"/>
  <c r="C845" i="2"/>
  <c r="D717" i="2"/>
  <c r="E717" i="2" s="1"/>
  <c r="C717" i="2"/>
  <c r="B717" i="2"/>
  <c r="D735" i="2"/>
  <c r="E735" i="2" s="1"/>
  <c r="C735" i="2"/>
  <c r="B735" i="2"/>
  <c r="D743" i="2"/>
  <c r="E743" i="2" s="1"/>
  <c r="C743" i="2"/>
  <c r="B743" i="2"/>
  <c r="D751" i="2"/>
  <c r="E751" i="2" s="1"/>
  <c r="C751" i="2"/>
  <c r="B751" i="2"/>
  <c r="D765" i="2"/>
  <c r="E765" i="2" s="1"/>
  <c r="C765" i="2"/>
  <c r="B765" i="2"/>
  <c r="D771" i="2"/>
  <c r="E771" i="2" s="1"/>
  <c r="C771" i="2"/>
  <c r="B771" i="2"/>
  <c r="D797" i="2"/>
  <c r="E797" i="2" s="1"/>
  <c r="C797" i="2"/>
  <c r="B797" i="2"/>
  <c r="D803" i="2"/>
  <c r="E803" i="2" s="1"/>
  <c r="C803" i="2"/>
  <c r="B803" i="2"/>
  <c r="C844" i="2"/>
  <c r="B844" i="2"/>
  <c r="D844" i="2"/>
  <c r="E844" i="2" s="1"/>
  <c r="D418" i="2"/>
  <c r="E418" i="2" s="1"/>
  <c r="C418" i="2"/>
  <c r="B418" i="2"/>
  <c r="B419" i="2"/>
  <c r="D419" i="2"/>
  <c r="E419" i="2" s="1"/>
  <c r="C419" i="2"/>
  <c r="D428" i="2"/>
  <c r="E428" i="2" s="1"/>
  <c r="C428" i="2"/>
  <c r="D454" i="2"/>
  <c r="E454" i="2" s="1"/>
  <c r="C454" i="2"/>
  <c r="D496" i="2"/>
  <c r="E496" i="2" s="1"/>
  <c r="C496" i="2"/>
  <c r="D506" i="2"/>
  <c r="E506" i="2" s="1"/>
  <c r="C506" i="2"/>
  <c r="B511" i="2"/>
  <c r="C511" i="2"/>
  <c r="B521" i="2"/>
  <c r="D521" i="2"/>
  <c r="E521" i="2" s="1"/>
  <c r="C521" i="2"/>
  <c r="D546" i="2"/>
  <c r="E546" i="2" s="1"/>
  <c r="C546" i="2"/>
  <c r="B546" i="2"/>
  <c r="B547" i="2"/>
  <c r="D547" i="2"/>
  <c r="E547" i="2" s="1"/>
  <c r="C547" i="2"/>
  <c r="D556" i="2"/>
  <c r="E556" i="2" s="1"/>
  <c r="C556" i="2"/>
  <c r="D565" i="2"/>
  <c r="E565" i="2" s="1"/>
  <c r="D660" i="2"/>
  <c r="E660" i="2" s="1"/>
  <c r="C660" i="2"/>
  <c r="B660" i="2"/>
  <c r="D670" i="2"/>
  <c r="E670" i="2" s="1"/>
  <c r="C670" i="2"/>
  <c r="B670" i="2"/>
  <c r="D694" i="2"/>
  <c r="E694" i="2" s="1"/>
  <c r="C694" i="2"/>
  <c r="B694" i="2"/>
  <c r="D719" i="2"/>
  <c r="E719" i="2" s="1"/>
  <c r="C719" i="2"/>
  <c r="B719" i="2"/>
  <c r="D727" i="2"/>
  <c r="E727" i="2" s="1"/>
  <c r="C727" i="2"/>
  <c r="B727" i="2"/>
  <c r="D174" i="2"/>
  <c r="E174" i="2" s="1"/>
  <c r="D178" i="2"/>
  <c r="E178" i="2" s="1"/>
  <c r="D182" i="2"/>
  <c r="E182" i="2" s="1"/>
  <c r="D186" i="2"/>
  <c r="E186" i="2" s="1"/>
  <c r="D190" i="2"/>
  <c r="E190" i="2" s="1"/>
  <c r="D194" i="2"/>
  <c r="E194" i="2" s="1"/>
  <c r="D198" i="2"/>
  <c r="E198" i="2" s="1"/>
  <c r="D202" i="2"/>
  <c r="E202" i="2" s="1"/>
  <c r="D206" i="2"/>
  <c r="E206" i="2" s="1"/>
  <c r="D210" i="2"/>
  <c r="E210" i="2" s="1"/>
  <c r="D214" i="2"/>
  <c r="E214" i="2" s="1"/>
  <c r="D218" i="2"/>
  <c r="E218" i="2" s="1"/>
  <c r="D222" i="2"/>
  <c r="E222" i="2" s="1"/>
  <c r="D226" i="2"/>
  <c r="E226" i="2" s="1"/>
  <c r="D230" i="2"/>
  <c r="E230" i="2" s="1"/>
  <c r="D234" i="2"/>
  <c r="E234" i="2" s="1"/>
  <c r="D238" i="2"/>
  <c r="E238" i="2" s="1"/>
  <c r="D242" i="2"/>
  <c r="E242" i="2" s="1"/>
  <c r="D246" i="2"/>
  <c r="E246" i="2" s="1"/>
  <c r="D250" i="2"/>
  <c r="E250" i="2" s="1"/>
  <c r="D254" i="2"/>
  <c r="E254" i="2" s="1"/>
  <c r="D258" i="2"/>
  <c r="E258" i="2" s="1"/>
  <c r="D262" i="2"/>
  <c r="E262" i="2" s="1"/>
  <c r="D266" i="2"/>
  <c r="E266" i="2" s="1"/>
  <c r="D270" i="2"/>
  <c r="E270" i="2" s="1"/>
  <c r="D274" i="2"/>
  <c r="E274" i="2" s="1"/>
  <c r="D278" i="2"/>
  <c r="E278" i="2" s="1"/>
  <c r="D282" i="2"/>
  <c r="E282" i="2" s="1"/>
  <c r="D286" i="2"/>
  <c r="E286" i="2" s="1"/>
  <c r="D290" i="2"/>
  <c r="E290" i="2" s="1"/>
  <c r="D294" i="2"/>
  <c r="E294" i="2" s="1"/>
  <c r="D298" i="2"/>
  <c r="E298" i="2" s="1"/>
  <c r="D302" i="2"/>
  <c r="E302" i="2" s="1"/>
  <c r="D306" i="2"/>
  <c r="E306" i="2" s="1"/>
  <c r="D310" i="2"/>
  <c r="E310" i="2" s="1"/>
  <c r="D314" i="2"/>
  <c r="E314" i="2" s="1"/>
  <c r="D318" i="2"/>
  <c r="E318" i="2" s="1"/>
  <c r="D322" i="2"/>
  <c r="E322" i="2" s="1"/>
  <c r="D326" i="2"/>
  <c r="E326" i="2" s="1"/>
  <c r="D330" i="2"/>
  <c r="E330" i="2" s="1"/>
  <c r="D334" i="2"/>
  <c r="E334" i="2" s="1"/>
  <c r="D338" i="2"/>
  <c r="E338" i="2" s="1"/>
  <c r="D342" i="2"/>
  <c r="E342" i="2" s="1"/>
  <c r="D346" i="2"/>
  <c r="E346" i="2" s="1"/>
  <c r="D350" i="2"/>
  <c r="E350" i="2" s="1"/>
  <c r="D354" i="2"/>
  <c r="E354" i="2" s="1"/>
  <c r="D358" i="2"/>
  <c r="E358" i="2" s="1"/>
  <c r="D362" i="2"/>
  <c r="E362" i="2" s="1"/>
  <c r="D366" i="2"/>
  <c r="E366" i="2" s="1"/>
  <c r="D370" i="2"/>
  <c r="E370" i="2" s="1"/>
  <c r="D374" i="2"/>
  <c r="E374" i="2" s="1"/>
  <c r="D378" i="2"/>
  <c r="E378" i="2" s="1"/>
  <c r="D382" i="2"/>
  <c r="E382" i="2" s="1"/>
  <c r="D386" i="2"/>
  <c r="E386" i="2" s="1"/>
  <c r="D390" i="2"/>
  <c r="E390" i="2" s="1"/>
  <c r="D394" i="2"/>
  <c r="E394" i="2" s="1"/>
  <c r="D398" i="2"/>
  <c r="E398" i="2" s="1"/>
  <c r="D402" i="2"/>
  <c r="E402" i="2" s="1"/>
  <c r="D406" i="2"/>
  <c r="E406" i="2" s="1"/>
  <c r="D410" i="2"/>
  <c r="E410" i="2" s="1"/>
  <c r="D414" i="2"/>
  <c r="E414" i="2" s="1"/>
  <c r="B428" i="2"/>
  <c r="D438" i="2"/>
  <c r="E438" i="2" s="1"/>
  <c r="C438" i="2"/>
  <c r="B454" i="2"/>
  <c r="D480" i="2"/>
  <c r="E480" i="2" s="1"/>
  <c r="C480" i="2"/>
  <c r="D490" i="2"/>
  <c r="E490" i="2" s="1"/>
  <c r="C490" i="2"/>
  <c r="B495" i="2"/>
  <c r="C495" i="2"/>
  <c r="B505" i="2"/>
  <c r="D505" i="2"/>
  <c r="E505" i="2" s="1"/>
  <c r="C505" i="2"/>
  <c r="B506" i="2"/>
  <c r="D530" i="2"/>
  <c r="E530" i="2" s="1"/>
  <c r="C530" i="2"/>
  <c r="B530" i="2"/>
  <c r="B531" i="2"/>
  <c r="D531" i="2"/>
  <c r="E531" i="2" s="1"/>
  <c r="C531" i="2"/>
  <c r="D540" i="2"/>
  <c r="E540" i="2" s="1"/>
  <c r="C540" i="2"/>
  <c r="D566" i="2"/>
  <c r="E566" i="2" s="1"/>
  <c r="C566" i="2"/>
  <c r="D604" i="2"/>
  <c r="E604" i="2" s="1"/>
  <c r="C604" i="2"/>
  <c r="B604" i="2"/>
  <c r="D622" i="2"/>
  <c r="E622" i="2" s="1"/>
  <c r="C622" i="2"/>
  <c r="B622" i="2"/>
  <c r="D652" i="2"/>
  <c r="E652" i="2" s="1"/>
  <c r="C652" i="2"/>
  <c r="B652" i="2"/>
  <c r="D684" i="2"/>
  <c r="E684" i="2" s="1"/>
  <c r="C684" i="2"/>
  <c r="B684" i="2"/>
  <c r="D422" i="2"/>
  <c r="E422" i="2" s="1"/>
  <c r="C422" i="2"/>
  <c r="B438" i="2"/>
  <c r="D464" i="2"/>
  <c r="E464" i="2" s="1"/>
  <c r="C464" i="2"/>
  <c r="D474" i="2"/>
  <c r="E474" i="2" s="1"/>
  <c r="C474" i="2"/>
  <c r="B479" i="2"/>
  <c r="C479" i="2"/>
  <c r="B480" i="2"/>
  <c r="B489" i="2"/>
  <c r="D489" i="2"/>
  <c r="E489" i="2" s="1"/>
  <c r="C489" i="2"/>
  <c r="B490" i="2"/>
  <c r="D514" i="2"/>
  <c r="E514" i="2" s="1"/>
  <c r="C514" i="2"/>
  <c r="B514" i="2"/>
  <c r="B515" i="2"/>
  <c r="D515" i="2"/>
  <c r="E515" i="2" s="1"/>
  <c r="C515" i="2"/>
  <c r="D524" i="2"/>
  <c r="E524" i="2" s="1"/>
  <c r="C524" i="2"/>
  <c r="B540" i="2"/>
  <c r="D550" i="2"/>
  <c r="E550" i="2" s="1"/>
  <c r="C550" i="2"/>
  <c r="B566" i="2"/>
  <c r="C577" i="2"/>
  <c r="B577" i="2"/>
  <c r="D596" i="2"/>
  <c r="E596" i="2" s="1"/>
  <c r="C596" i="2"/>
  <c r="B596" i="2"/>
  <c r="D614" i="2"/>
  <c r="E614" i="2" s="1"/>
  <c r="C614" i="2"/>
  <c r="B614" i="2"/>
  <c r="D662" i="2"/>
  <c r="E662" i="2" s="1"/>
  <c r="C662" i="2"/>
  <c r="B662" i="2"/>
  <c r="C572" i="2"/>
  <c r="B572" i="2"/>
  <c r="B175" i="2"/>
  <c r="B179" i="2"/>
  <c r="B183" i="2"/>
  <c r="B187" i="2"/>
  <c r="B191" i="2"/>
  <c r="B195" i="2"/>
  <c r="B199" i="2"/>
  <c r="B203" i="2"/>
  <c r="B207" i="2"/>
  <c r="B211" i="2"/>
  <c r="B215" i="2"/>
  <c r="B219" i="2"/>
  <c r="B223" i="2"/>
  <c r="B227" i="2"/>
  <c r="B231" i="2"/>
  <c r="B235" i="2"/>
  <c r="B239" i="2"/>
  <c r="B243" i="2"/>
  <c r="B247" i="2"/>
  <c r="B251" i="2"/>
  <c r="B255" i="2"/>
  <c r="B259" i="2"/>
  <c r="B263" i="2"/>
  <c r="B267" i="2"/>
  <c r="B271" i="2"/>
  <c r="B275" i="2"/>
  <c r="B279" i="2"/>
  <c r="B283" i="2"/>
  <c r="B287" i="2"/>
  <c r="B291" i="2"/>
  <c r="B295" i="2"/>
  <c r="B299" i="2"/>
  <c r="B303" i="2"/>
  <c r="B307" i="2"/>
  <c r="B311" i="2"/>
  <c r="B315" i="2"/>
  <c r="B319" i="2"/>
  <c r="B323" i="2"/>
  <c r="B327" i="2"/>
  <c r="B331" i="2"/>
  <c r="B335" i="2"/>
  <c r="B339" i="2"/>
  <c r="B343" i="2"/>
  <c r="B347" i="2"/>
  <c r="B351" i="2"/>
  <c r="B355" i="2"/>
  <c r="B359" i="2"/>
  <c r="B363" i="2"/>
  <c r="B367" i="2"/>
  <c r="B371" i="2"/>
  <c r="B375" i="2"/>
  <c r="B379" i="2"/>
  <c r="B383" i="2"/>
  <c r="B387" i="2"/>
  <c r="B391" i="2"/>
  <c r="B395" i="2"/>
  <c r="B399" i="2"/>
  <c r="B403" i="2"/>
  <c r="B407" i="2"/>
  <c r="B411" i="2"/>
  <c r="B422" i="2"/>
  <c r="D448" i="2"/>
  <c r="E448" i="2" s="1"/>
  <c r="C448" i="2"/>
  <c r="D458" i="2"/>
  <c r="E458" i="2" s="1"/>
  <c r="C458" i="2"/>
  <c r="B463" i="2"/>
  <c r="C463" i="2"/>
  <c r="B464" i="2"/>
  <c r="B473" i="2"/>
  <c r="D473" i="2"/>
  <c r="E473" i="2" s="1"/>
  <c r="C473" i="2"/>
  <c r="B474" i="2"/>
  <c r="D498" i="2"/>
  <c r="E498" i="2" s="1"/>
  <c r="C498" i="2"/>
  <c r="B498" i="2"/>
  <c r="B499" i="2"/>
  <c r="D499" i="2"/>
  <c r="E499" i="2" s="1"/>
  <c r="C499" i="2"/>
  <c r="D508" i="2"/>
  <c r="E508" i="2" s="1"/>
  <c r="C508" i="2"/>
  <c r="B524" i="2"/>
  <c r="D534" i="2"/>
  <c r="E534" i="2" s="1"/>
  <c r="C534" i="2"/>
  <c r="B550" i="2"/>
  <c r="D577" i="2"/>
  <c r="E577" i="2" s="1"/>
  <c r="D588" i="2"/>
  <c r="E588" i="2" s="1"/>
  <c r="C588" i="2"/>
  <c r="B588" i="2"/>
  <c r="D606" i="2"/>
  <c r="E606" i="2" s="1"/>
  <c r="C606" i="2"/>
  <c r="B606" i="2"/>
  <c r="D644" i="2"/>
  <c r="E644" i="2" s="1"/>
  <c r="C644" i="2"/>
  <c r="B644" i="2"/>
  <c r="D654" i="2"/>
  <c r="E654" i="2" s="1"/>
  <c r="C654" i="2"/>
  <c r="B654" i="2"/>
  <c r="D424" i="2"/>
  <c r="E424" i="2" s="1"/>
  <c r="C424" i="2"/>
  <c r="D440" i="2"/>
  <c r="E440" i="2" s="1"/>
  <c r="C440" i="2"/>
  <c r="D456" i="2"/>
  <c r="E456" i="2" s="1"/>
  <c r="C456" i="2"/>
  <c r="D472" i="2"/>
  <c r="E472" i="2" s="1"/>
  <c r="C472" i="2"/>
  <c r="D488" i="2"/>
  <c r="E488" i="2" s="1"/>
  <c r="C488" i="2"/>
  <c r="D504" i="2"/>
  <c r="E504" i="2" s="1"/>
  <c r="C504" i="2"/>
  <c r="D520" i="2"/>
  <c r="E520" i="2" s="1"/>
  <c r="C520" i="2"/>
  <c r="D536" i="2"/>
  <c r="E536" i="2" s="1"/>
  <c r="C536" i="2"/>
  <c r="D552" i="2"/>
  <c r="E552" i="2" s="1"/>
  <c r="C552" i="2"/>
  <c r="D568" i="2"/>
  <c r="E568" i="2" s="1"/>
  <c r="C568" i="2"/>
  <c r="C573" i="2"/>
  <c r="D573" i="2"/>
  <c r="E573" i="2" s="1"/>
  <c r="B573" i="2"/>
  <c r="D582" i="2"/>
  <c r="E582" i="2" s="1"/>
  <c r="C582" i="2"/>
  <c r="B582" i="2"/>
  <c r="D628" i="2"/>
  <c r="E628" i="2" s="1"/>
  <c r="C628" i="2"/>
  <c r="B628" i="2"/>
  <c r="D646" i="2"/>
  <c r="E646" i="2" s="1"/>
  <c r="C646" i="2"/>
  <c r="B646" i="2"/>
  <c r="D676" i="2"/>
  <c r="E676" i="2" s="1"/>
  <c r="C676" i="2"/>
  <c r="B676" i="2"/>
  <c r="D686" i="2"/>
  <c r="E686" i="2" s="1"/>
  <c r="C686" i="2"/>
  <c r="B686" i="2"/>
  <c r="D708" i="2"/>
  <c r="E708" i="2" s="1"/>
  <c r="C708" i="2"/>
  <c r="B708" i="2"/>
  <c r="D729" i="2"/>
  <c r="E729" i="2" s="1"/>
  <c r="C729" i="2"/>
  <c r="B729" i="2"/>
  <c r="D430" i="2"/>
  <c r="E430" i="2" s="1"/>
  <c r="C430" i="2"/>
  <c r="D446" i="2"/>
  <c r="E446" i="2" s="1"/>
  <c r="C446" i="2"/>
  <c r="D462" i="2"/>
  <c r="E462" i="2" s="1"/>
  <c r="C462" i="2"/>
  <c r="D478" i="2"/>
  <c r="E478" i="2" s="1"/>
  <c r="C478" i="2"/>
  <c r="D494" i="2"/>
  <c r="E494" i="2" s="1"/>
  <c r="C494" i="2"/>
  <c r="D510" i="2"/>
  <c r="E510" i="2" s="1"/>
  <c r="C510" i="2"/>
  <c r="D526" i="2"/>
  <c r="E526" i="2" s="1"/>
  <c r="C526" i="2"/>
  <c r="D542" i="2"/>
  <c r="E542" i="2" s="1"/>
  <c r="C542" i="2"/>
  <c r="D558" i="2"/>
  <c r="E558" i="2" s="1"/>
  <c r="C558" i="2"/>
  <c r="D620" i="2"/>
  <c r="E620" i="2" s="1"/>
  <c r="C620" i="2"/>
  <c r="B620" i="2"/>
  <c r="D638" i="2"/>
  <c r="E638" i="2" s="1"/>
  <c r="C638" i="2"/>
  <c r="B638" i="2"/>
  <c r="D420" i="2"/>
  <c r="E420" i="2" s="1"/>
  <c r="C420" i="2"/>
  <c r="B430" i="2"/>
  <c r="D436" i="2"/>
  <c r="E436" i="2" s="1"/>
  <c r="C436" i="2"/>
  <c r="B446" i="2"/>
  <c r="D452" i="2"/>
  <c r="E452" i="2" s="1"/>
  <c r="C452" i="2"/>
  <c r="B462" i="2"/>
  <c r="D468" i="2"/>
  <c r="E468" i="2" s="1"/>
  <c r="C468" i="2"/>
  <c r="B478" i="2"/>
  <c r="D484" i="2"/>
  <c r="E484" i="2" s="1"/>
  <c r="C484" i="2"/>
  <c r="B494" i="2"/>
  <c r="D500" i="2"/>
  <c r="E500" i="2" s="1"/>
  <c r="C500" i="2"/>
  <c r="B510" i="2"/>
  <c r="D516" i="2"/>
  <c r="E516" i="2" s="1"/>
  <c r="C516" i="2"/>
  <c r="B526" i="2"/>
  <c r="D532" i="2"/>
  <c r="E532" i="2" s="1"/>
  <c r="C532" i="2"/>
  <c r="B542" i="2"/>
  <c r="D548" i="2"/>
  <c r="E548" i="2" s="1"/>
  <c r="C548" i="2"/>
  <c r="B558" i="2"/>
  <c r="D564" i="2"/>
  <c r="E564" i="2" s="1"/>
  <c r="C564" i="2"/>
  <c r="D576" i="2"/>
  <c r="E576" i="2" s="1"/>
  <c r="C576" i="2"/>
  <c r="B576" i="2"/>
  <c r="D612" i="2"/>
  <c r="E612" i="2" s="1"/>
  <c r="C612" i="2"/>
  <c r="B612" i="2"/>
  <c r="D630" i="2"/>
  <c r="E630" i="2" s="1"/>
  <c r="C630" i="2"/>
  <c r="B630" i="2"/>
  <c r="D668" i="2"/>
  <c r="E668" i="2" s="1"/>
  <c r="C668" i="2"/>
  <c r="B668" i="2"/>
  <c r="D678" i="2"/>
  <c r="E678" i="2" s="1"/>
  <c r="C678" i="2"/>
  <c r="B678" i="2"/>
  <c r="D700" i="2"/>
  <c r="E700" i="2" s="1"/>
  <c r="C700" i="2"/>
  <c r="B700" i="2"/>
  <c r="D710" i="2"/>
  <c r="E710" i="2" s="1"/>
  <c r="C710" i="2"/>
  <c r="B710" i="2"/>
  <c r="D578" i="2"/>
  <c r="E578" i="2" s="1"/>
  <c r="C578" i="2"/>
  <c r="B578" i="2"/>
  <c r="D584" i="2"/>
  <c r="E584" i="2" s="1"/>
  <c r="C584" i="2"/>
  <c r="B584" i="2"/>
  <c r="D592" i="2"/>
  <c r="E592" i="2" s="1"/>
  <c r="C592" i="2"/>
  <c r="B592" i="2"/>
  <c r="D600" i="2"/>
  <c r="E600" i="2" s="1"/>
  <c r="C600" i="2"/>
  <c r="B600" i="2"/>
  <c r="D608" i="2"/>
  <c r="E608" i="2" s="1"/>
  <c r="C608" i="2"/>
  <c r="B608" i="2"/>
  <c r="D616" i="2"/>
  <c r="E616" i="2" s="1"/>
  <c r="C616" i="2"/>
  <c r="B616" i="2"/>
  <c r="D624" i="2"/>
  <c r="E624" i="2" s="1"/>
  <c r="C624" i="2"/>
  <c r="B624" i="2"/>
  <c r="D632" i="2"/>
  <c r="E632" i="2" s="1"/>
  <c r="C632" i="2"/>
  <c r="B632" i="2"/>
  <c r="D640" i="2"/>
  <c r="E640" i="2" s="1"/>
  <c r="C640" i="2"/>
  <c r="B640" i="2"/>
  <c r="D648" i="2"/>
  <c r="E648" i="2" s="1"/>
  <c r="C648" i="2"/>
  <c r="B648" i="2"/>
  <c r="D656" i="2"/>
  <c r="E656" i="2" s="1"/>
  <c r="C656" i="2"/>
  <c r="B656" i="2"/>
  <c r="D664" i="2"/>
  <c r="E664" i="2" s="1"/>
  <c r="C664" i="2"/>
  <c r="B664" i="2"/>
  <c r="D672" i="2"/>
  <c r="E672" i="2" s="1"/>
  <c r="C672" i="2"/>
  <c r="B672" i="2"/>
  <c r="D680" i="2"/>
  <c r="E680" i="2" s="1"/>
  <c r="C680" i="2"/>
  <c r="B680" i="2"/>
  <c r="D688" i="2"/>
  <c r="E688" i="2" s="1"/>
  <c r="C688" i="2"/>
  <c r="B688" i="2"/>
  <c r="D696" i="2"/>
  <c r="E696" i="2" s="1"/>
  <c r="C696" i="2"/>
  <c r="B696" i="2"/>
  <c r="D704" i="2"/>
  <c r="E704" i="2" s="1"/>
  <c r="C704" i="2"/>
  <c r="B704" i="2"/>
  <c r="C712" i="2"/>
  <c r="D712" i="2"/>
  <c r="E712" i="2" s="1"/>
  <c r="B712" i="2"/>
  <c r="D745" i="2"/>
  <c r="E745" i="2" s="1"/>
  <c r="C745" i="2"/>
  <c r="B745" i="2"/>
  <c r="B843" i="2"/>
  <c r="D843" i="2"/>
  <c r="E843" i="2" s="1"/>
  <c r="C843" i="2"/>
  <c r="C579" i="2"/>
  <c r="B579" i="2"/>
  <c r="D723" i="2"/>
  <c r="E723" i="2" s="1"/>
  <c r="C723" i="2"/>
  <c r="B723" i="2"/>
  <c r="C842" i="2"/>
  <c r="D842" i="2"/>
  <c r="E842" i="2" s="1"/>
  <c r="B842" i="2"/>
  <c r="D574" i="2"/>
  <c r="E574" i="2" s="1"/>
  <c r="C574" i="2"/>
  <c r="B574" i="2"/>
  <c r="D586" i="2"/>
  <c r="E586" i="2" s="1"/>
  <c r="C586" i="2"/>
  <c r="B586" i="2"/>
  <c r="D594" i="2"/>
  <c r="E594" i="2" s="1"/>
  <c r="C594" i="2"/>
  <c r="B594" i="2"/>
  <c r="D602" i="2"/>
  <c r="E602" i="2" s="1"/>
  <c r="C602" i="2"/>
  <c r="B602" i="2"/>
  <c r="D610" i="2"/>
  <c r="E610" i="2" s="1"/>
  <c r="C610" i="2"/>
  <c r="B610" i="2"/>
  <c r="D618" i="2"/>
  <c r="E618" i="2" s="1"/>
  <c r="C618" i="2"/>
  <c r="B618" i="2"/>
  <c r="D626" i="2"/>
  <c r="E626" i="2" s="1"/>
  <c r="C626" i="2"/>
  <c r="B626" i="2"/>
  <c r="D634" i="2"/>
  <c r="E634" i="2" s="1"/>
  <c r="C634" i="2"/>
  <c r="B634" i="2"/>
  <c r="D642" i="2"/>
  <c r="E642" i="2" s="1"/>
  <c r="C642" i="2"/>
  <c r="B642" i="2"/>
  <c r="D650" i="2"/>
  <c r="E650" i="2" s="1"/>
  <c r="C650" i="2"/>
  <c r="B650" i="2"/>
  <c r="D658" i="2"/>
  <c r="E658" i="2" s="1"/>
  <c r="C658" i="2"/>
  <c r="B658" i="2"/>
  <c r="D666" i="2"/>
  <c r="E666" i="2" s="1"/>
  <c r="C666" i="2"/>
  <c r="B666" i="2"/>
  <c r="D674" i="2"/>
  <c r="E674" i="2" s="1"/>
  <c r="C674" i="2"/>
  <c r="B674" i="2"/>
  <c r="D682" i="2"/>
  <c r="E682" i="2" s="1"/>
  <c r="C682" i="2"/>
  <c r="B682" i="2"/>
  <c r="D690" i="2"/>
  <c r="E690" i="2" s="1"/>
  <c r="C690" i="2"/>
  <c r="B690" i="2"/>
  <c r="D698" i="2"/>
  <c r="E698" i="2" s="1"/>
  <c r="C698" i="2"/>
  <c r="B698" i="2"/>
  <c r="D706" i="2"/>
  <c r="E706" i="2" s="1"/>
  <c r="C706" i="2"/>
  <c r="B706" i="2"/>
  <c r="D715" i="2"/>
  <c r="E715" i="2" s="1"/>
  <c r="B715" i="2"/>
  <c r="C715" i="2"/>
  <c r="D739" i="2"/>
  <c r="E739" i="2" s="1"/>
  <c r="C739" i="2"/>
  <c r="B739" i="2"/>
  <c r="B571" i="2"/>
  <c r="C575" i="2"/>
  <c r="B575" i="2"/>
  <c r="D580" i="2"/>
  <c r="E580" i="2" s="1"/>
  <c r="C580" i="2"/>
  <c r="B580" i="2"/>
  <c r="D755" i="2"/>
  <c r="E755" i="2" s="1"/>
  <c r="C755" i="2"/>
  <c r="B755" i="2"/>
  <c r="D781" i="2"/>
  <c r="E781" i="2" s="1"/>
  <c r="C781" i="2"/>
  <c r="B781" i="2"/>
  <c r="D787" i="2"/>
  <c r="E787" i="2" s="1"/>
  <c r="C787" i="2"/>
  <c r="B787" i="2"/>
  <c r="D813" i="2"/>
  <c r="E813" i="2" s="1"/>
  <c r="C813" i="2"/>
  <c r="B813" i="2"/>
  <c r="D819" i="2"/>
  <c r="E819" i="2" s="1"/>
  <c r="C819" i="2"/>
  <c r="B819" i="2"/>
  <c r="D761" i="2"/>
  <c r="E761" i="2" s="1"/>
  <c r="C761" i="2"/>
  <c r="B761" i="2"/>
  <c r="D777" i="2"/>
  <c r="E777" i="2" s="1"/>
  <c r="C777" i="2"/>
  <c r="B777" i="2"/>
  <c r="D793" i="2"/>
  <c r="E793" i="2" s="1"/>
  <c r="C793" i="2"/>
  <c r="B793" i="2"/>
  <c r="D809" i="2"/>
  <c r="E809" i="2" s="1"/>
  <c r="C809" i="2"/>
  <c r="B809" i="2"/>
  <c r="C820" i="2"/>
  <c r="B820" i="2"/>
  <c r="C832" i="2"/>
  <c r="B832" i="2"/>
  <c r="D767" i="2"/>
  <c r="E767" i="2" s="1"/>
  <c r="C767" i="2"/>
  <c r="B767" i="2"/>
  <c r="D783" i="2"/>
  <c r="E783" i="2" s="1"/>
  <c r="C783" i="2"/>
  <c r="B783" i="2"/>
  <c r="D799" i="2"/>
  <c r="E799" i="2" s="1"/>
  <c r="C799" i="2"/>
  <c r="B799" i="2"/>
  <c r="D815" i="2"/>
  <c r="E815" i="2" s="1"/>
  <c r="C815" i="2"/>
  <c r="B815" i="2"/>
  <c r="D713" i="2"/>
  <c r="E713" i="2" s="1"/>
  <c r="B713" i="2"/>
  <c r="D725" i="2"/>
  <c r="E725" i="2" s="1"/>
  <c r="C725" i="2"/>
  <c r="B725" i="2"/>
  <c r="D741" i="2"/>
  <c r="E741" i="2" s="1"/>
  <c r="C741" i="2"/>
  <c r="B741" i="2"/>
  <c r="D757" i="2"/>
  <c r="E757" i="2" s="1"/>
  <c r="C757" i="2"/>
  <c r="B757" i="2"/>
  <c r="D773" i="2"/>
  <c r="E773" i="2" s="1"/>
  <c r="C773" i="2"/>
  <c r="B773" i="2"/>
  <c r="D789" i="2"/>
  <c r="E789" i="2" s="1"/>
  <c r="C789" i="2"/>
  <c r="B789" i="2"/>
  <c r="D805" i="2"/>
  <c r="E805" i="2" s="1"/>
  <c r="C805" i="2"/>
  <c r="B805" i="2"/>
  <c r="C824" i="2"/>
  <c r="B824" i="2"/>
  <c r="C886" i="2"/>
  <c r="B886" i="2"/>
  <c r="D886" i="2"/>
  <c r="E886" i="2" s="1"/>
  <c r="C938" i="2"/>
  <c r="B938" i="2"/>
  <c r="D938" i="2"/>
  <c r="E938" i="2" s="1"/>
  <c r="D965" i="2"/>
  <c r="E965" i="2" s="1"/>
  <c r="C965" i="2"/>
  <c r="B965" i="2"/>
  <c r="C968" i="2"/>
  <c r="B968" i="2"/>
  <c r="D968" i="2"/>
  <c r="E968" i="2" s="1"/>
  <c r="C713" i="2"/>
  <c r="D731" i="2"/>
  <c r="E731" i="2" s="1"/>
  <c r="C731" i="2"/>
  <c r="B731" i="2"/>
  <c r="D747" i="2"/>
  <c r="E747" i="2" s="1"/>
  <c r="C747" i="2"/>
  <c r="B747" i="2"/>
  <c r="D763" i="2"/>
  <c r="E763" i="2" s="1"/>
  <c r="C763" i="2"/>
  <c r="B763" i="2"/>
  <c r="D779" i="2"/>
  <c r="E779" i="2" s="1"/>
  <c r="C779" i="2"/>
  <c r="B779" i="2"/>
  <c r="D795" i="2"/>
  <c r="E795" i="2" s="1"/>
  <c r="C795" i="2"/>
  <c r="B795" i="2"/>
  <c r="D811" i="2"/>
  <c r="E811" i="2" s="1"/>
  <c r="C811" i="2"/>
  <c r="B811" i="2"/>
  <c r="C962" i="2"/>
  <c r="B962" i="2"/>
  <c r="D962" i="2"/>
  <c r="E962" i="2" s="1"/>
  <c r="B583" i="2"/>
  <c r="B585" i="2"/>
  <c r="B587" i="2"/>
  <c r="B589" i="2"/>
  <c r="B591" i="2"/>
  <c r="B593" i="2"/>
  <c r="B595" i="2"/>
  <c r="B597" i="2"/>
  <c r="B599" i="2"/>
  <c r="B601" i="2"/>
  <c r="B603" i="2"/>
  <c r="B605" i="2"/>
  <c r="B607" i="2"/>
  <c r="B609" i="2"/>
  <c r="B611" i="2"/>
  <c r="B613" i="2"/>
  <c r="B615" i="2"/>
  <c r="B617" i="2"/>
  <c r="B619" i="2"/>
  <c r="B621" i="2"/>
  <c r="B623" i="2"/>
  <c r="B625" i="2"/>
  <c r="B627" i="2"/>
  <c r="B629" i="2"/>
  <c r="B631" i="2"/>
  <c r="B633" i="2"/>
  <c r="B635" i="2"/>
  <c r="B637" i="2"/>
  <c r="B639" i="2"/>
  <c r="B641" i="2"/>
  <c r="B643" i="2"/>
  <c r="B645" i="2"/>
  <c r="B647" i="2"/>
  <c r="B649" i="2"/>
  <c r="B651" i="2"/>
  <c r="B653" i="2"/>
  <c r="B655" i="2"/>
  <c r="B657" i="2"/>
  <c r="B659" i="2"/>
  <c r="B661" i="2"/>
  <c r="B663" i="2"/>
  <c r="B665" i="2"/>
  <c r="B667" i="2"/>
  <c r="B669" i="2"/>
  <c r="B671" i="2"/>
  <c r="B673" i="2"/>
  <c r="B675" i="2"/>
  <c r="B677" i="2"/>
  <c r="B679" i="2"/>
  <c r="B681" i="2"/>
  <c r="B683" i="2"/>
  <c r="B685" i="2"/>
  <c r="B687" i="2"/>
  <c r="B689" i="2"/>
  <c r="B691" i="2"/>
  <c r="B693" i="2"/>
  <c r="B695" i="2"/>
  <c r="B697" i="2"/>
  <c r="B699" i="2"/>
  <c r="B701" i="2"/>
  <c r="B703" i="2"/>
  <c r="B705" i="2"/>
  <c r="B707" i="2"/>
  <c r="B709" i="2"/>
  <c r="B711" i="2"/>
  <c r="D721" i="2"/>
  <c r="E721" i="2" s="1"/>
  <c r="C721" i="2"/>
  <c r="B721" i="2"/>
  <c r="D737" i="2"/>
  <c r="E737" i="2" s="1"/>
  <c r="C737" i="2"/>
  <c r="B737" i="2"/>
  <c r="D753" i="2"/>
  <c r="E753" i="2" s="1"/>
  <c r="C753" i="2"/>
  <c r="B753" i="2"/>
  <c r="D769" i="2"/>
  <c r="E769" i="2" s="1"/>
  <c r="C769" i="2"/>
  <c r="B769" i="2"/>
  <c r="D785" i="2"/>
  <c r="E785" i="2" s="1"/>
  <c r="C785" i="2"/>
  <c r="B785" i="2"/>
  <c r="D801" i="2"/>
  <c r="E801" i="2" s="1"/>
  <c r="C801" i="2"/>
  <c r="B801" i="2"/>
  <c r="D817" i="2"/>
  <c r="E817" i="2" s="1"/>
  <c r="C817" i="2"/>
  <c r="B817" i="2"/>
  <c r="B714" i="2"/>
  <c r="D759" i="2"/>
  <c r="E759" i="2" s="1"/>
  <c r="C759" i="2"/>
  <c r="B759" i="2"/>
  <c r="D775" i="2"/>
  <c r="E775" i="2" s="1"/>
  <c r="C775" i="2"/>
  <c r="B775" i="2"/>
  <c r="D791" i="2"/>
  <c r="E791" i="2" s="1"/>
  <c r="C791" i="2"/>
  <c r="B791" i="2"/>
  <c r="D807" i="2"/>
  <c r="E807" i="2" s="1"/>
  <c r="C807" i="2"/>
  <c r="B807" i="2"/>
  <c r="C828" i="2"/>
  <c r="B828" i="2"/>
  <c r="B822" i="2"/>
  <c r="D834" i="2"/>
  <c r="E834" i="2" s="1"/>
  <c r="B847" i="2"/>
  <c r="D847" i="2"/>
  <c r="E847" i="2" s="1"/>
  <c r="D848" i="2"/>
  <c r="E848" i="2" s="1"/>
  <c r="C890" i="2"/>
  <c r="B890" i="2"/>
  <c r="D890" i="2"/>
  <c r="E890" i="2" s="1"/>
  <c r="C906" i="2"/>
  <c r="B906" i="2"/>
  <c r="D906" i="2"/>
  <c r="E906" i="2" s="1"/>
  <c r="C922" i="2"/>
  <c r="B922" i="2"/>
  <c r="D922" i="2"/>
  <c r="E922" i="2" s="1"/>
  <c r="D997" i="2"/>
  <c r="E997" i="2" s="1"/>
  <c r="C997" i="2"/>
  <c r="B997" i="2"/>
  <c r="C1000" i="2"/>
  <c r="B1000" i="2"/>
  <c r="D1000" i="2"/>
  <c r="E1000" i="2" s="1"/>
  <c r="B849" i="2"/>
  <c r="D849" i="2"/>
  <c r="E849" i="2" s="1"/>
  <c r="C946" i="2"/>
  <c r="B946" i="2"/>
  <c r="D946" i="2"/>
  <c r="E946" i="2" s="1"/>
  <c r="D991" i="2"/>
  <c r="E991" i="2" s="1"/>
  <c r="C991" i="2"/>
  <c r="B991" i="2"/>
  <c r="C994" i="2"/>
  <c r="B994" i="2"/>
  <c r="D994" i="2"/>
  <c r="E994" i="2" s="1"/>
  <c r="D836" i="2"/>
  <c r="E836" i="2" s="1"/>
  <c r="B838" i="2"/>
  <c r="B851" i="2"/>
  <c r="D851" i="2"/>
  <c r="E851" i="2" s="1"/>
  <c r="D852" i="2"/>
  <c r="E852" i="2" s="1"/>
  <c r="B854" i="2"/>
  <c r="B837" i="2"/>
  <c r="D837" i="2"/>
  <c r="E837" i="2" s="1"/>
  <c r="D838" i="2"/>
  <c r="E838" i="2" s="1"/>
  <c r="B853" i="2"/>
  <c r="D853" i="2"/>
  <c r="E853" i="2" s="1"/>
  <c r="D854" i="2"/>
  <c r="E854" i="2" s="1"/>
  <c r="C930" i="2"/>
  <c r="B930" i="2"/>
  <c r="D930" i="2"/>
  <c r="E930" i="2" s="1"/>
  <c r="D981" i="2"/>
  <c r="E981" i="2" s="1"/>
  <c r="C981" i="2"/>
  <c r="B981" i="2"/>
  <c r="C984" i="2"/>
  <c r="B984" i="2"/>
  <c r="D984" i="2"/>
  <c r="E984" i="2" s="1"/>
  <c r="B839" i="2"/>
  <c r="D839" i="2"/>
  <c r="E839" i="2" s="1"/>
  <c r="B855" i="2"/>
  <c r="D855" i="2"/>
  <c r="E855" i="2" s="1"/>
  <c r="D856" i="2"/>
  <c r="E856" i="2" s="1"/>
  <c r="C856" i="2"/>
  <c r="B857" i="2"/>
  <c r="D857" i="2"/>
  <c r="E857" i="2" s="1"/>
  <c r="D858" i="2"/>
  <c r="E858" i="2" s="1"/>
  <c r="C858" i="2"/>
  <c r="B859" i="2"/>
  <c r="D859" i="2"/>
  <c r="E859" i="2" s="1"/>
  <c r="D860" i="2"/>
  <c r="E860" i="2" s="1"/>
  <c r="C860" i="2"/>
  <c r="B861" i="2"/>
  <c r="D861" i="2"/>
  <c r="E861" i="2" s="1"/>
  <c r="D862" i="2"/>
  <c r="E862" i="2" s="1"/>
  <c r="C862" i="2"/>
  <c r="B863" i="2"/>
  <c r="D863" i="2"/>
  <c r="E863" i="2" s="1"/>
  <c r="D864" i="2"/>
  <c r="E864" i="2" s="1"/>
  <c r="C864" i="2"/>
  <c r="B865" i="2"/>
  <c r="D865" i="2"/>
  <c r="E865" i="2" s="1"/>
  <c r="D866" i="2"/>
  <c r="E866" i="2" s="1"/>
  <c r="C866" i="2"/>
  <c r="B867" i="2"/>
  <c r="D867" i="2"/>
  <c r="E867" i="2" s="1"/>
  <c r="D868" i="2"/>
  <c r="E868" i="2" s="1"/>
  <c r="C868" i="2"/>
  <c r="B869" i="2"/>
  <c r="D869" i="2"/>
  <c r="E869" i="2" s="1"/>
  <c r="D870" i="2"/>
  <c r="E870" i="2" s="1"/>
  <c r="C870" i="2"/>
  <c r="B871" i="2"/>
  <c r="D871" i="2"/>
  <c r="E871" i="2" s="1"/>
  <c r="D872" i="2"/>
  <c r="E872" i="2" s="1"/>
  <c r="C872" i="2"/>
  <c r="B873" i="2"/>
  <c r="D873" i="2"/>
  <c r="E873" i="2" s="1"/>
  <c r="D874" i="2"/>
  <c r="E874" i="2" s="1"/>
  <c r="C874" i="2"/>
  <c r="B875" i="2"/>
  <c r="D875" i="2"/>
  <c r="E875" i="2" s="1"/>
  <c r="D876" i="2"/>
  <c r="E876" i="2" s="1"/>
  <c r="C876" i="2"/>
  <c r="B877" i="2"/>
  <c r="D877" i="2"/>
  <c r="E877" i="2" s="1"/>
  <c r="D878" i="2"/>
  <c r="E878" i="2" s="1"/>
  <c r="C878" i="2"/>
  <c r="B879" i="2"/>
  <c r="D879" i="2"/>
  <c r="E879" i="2" s="1"/>
  <c r="D880" i="2"/>
  <c r="E880" i="2" s="1"/>
  <c r="C880" i="2"/>
  <c r="B881" i="2"/>
  <c r="D881" i="2"/>
  <c r="E881" i="2" s="1"/>
  <c r="D882" i="2"/>
  <c r="E882" i="2" s="1"/>
  <c r="C882" i="2"/>
  <c r="C898" i="2"/>
  <c r="B898" i="2"/>
  <c r="D898" i="2"/>
  <c r="E898" i="2" s="1"/>
  <c r="C914" i="2"/>
  <c r="B914" i="2"/>
  <c r="D914" i="2"/>
  <c r="E914" i="2" s="1"/>
  <c r="C954" i="2"/>
  <c r="B954" i="2"/>
  <c r="D954" i="2"/>
  <c r="E954" i="2" s="1"/>
  <c r="D975" i="2"/>
  <c r="E975" i="2" s="1"/>
  <c r="C975" i="2"/>
  <c r="B975" i="2"/>
  <c r="C978" i="2"/>
  <c r="B978" i="2"/>
  <c r="D978" i="2"/>
  <c r="E978" i="2" s="1"/>
  <c r="B841" i="2"/>
  <c r="D841" i="2"/>
  <c r="E841" i="2" s="1"/>
  <c r="C884" i="2"/>
  <c r="B884" i="2"/>
  <c r="D884" i="2"/>
  <c r="E884" i="2" s="1"/>
  <c r="C964" i="2"/>
  <c r="B964" i="2"/>
  <c r="D977" i="2"/>
  <c r="E977" i="2" s="1"/>
  <c r="C977" i="2"/>
  <c r="B977" i="2"/>
  <c r="C980" i="2"/>
  <c r="B980" i="2"/>
  <c r="D993" i="2"/>
  <c r="E993" i="2" s="1"/>
  <c r="C993" i="2"/>
  <c r="B993" i="2"/>
  <c r="C996" i="2"/>
  <c r="B996" i="2"/>
  <c r="D1009" i="2"/>
  <c r="E1009" i="2" s="1"/>
  <c r="C1009" i="2"/>
  <c r="B1009" i="2"/>
  <c r="D885" i="2"/>
  <c r="E885" i="2" s="1"/>
  <c r="C885" i="2"/>
  <c r="B885" i="2"/>
  <c r="C892" i="2"/>
  <c r="B892" i="2"/>
  <c r="C900" i="2"/>
  <c r="B900" i="2"/>
  <c r="C908" i="2"/>
  <c r="B908" i="2"/>
  <c r="C916" i="2"/>
  <c r="B916" i="2"/>
  <c r="C924" i="2"/>
  <c r="B924" i="2"/>
  <c r="C932" i="2"/>
  <c r="B932" i="2"/>
  <c r="C940" i="2"/>
  <c r="B940" i="2"/>
  <c r="C948" i="2"/>
  <c r="B948" i="2"/>
  <c r="C956" i="2"/>
  <c r="B956" i="2"/>
  <c r="D963" i="2"/>
  <c r="E963" i="2" s="1"/>
  <c r="C963" i="2"/>
  <c r="B963" i="2"/>
  <c r="D964" i="2"/>
  <c r="E964" i="2" s="1"/>
  <c r="C966" i="2"/>
  <c r="B966" i="2"/>
  <c r="D979" i="2"/>
  <c r="E979" i="2" s="1"/>
  <c r="C979" i="2"/>
  <c r="B979" i="2"/>
  <c r="D980" i="2"/>
  <c r="E980" i="2" s="1"/>
  <c r="C982" i="2"/>
  <c r="B982" i="2"/>
  <c r="D995" i="2"/>
  <c r="E995" i="2" s="1"/>
  <c r="C995" i="2"/>
  <c r="B995" i="2"/>
  <c r="D996" i="2"/>
  <c r="E996" i="2" s="1"/>
  <c r="C998" i="2"/>
  <c r="B998" i="2"/>
  <c r="C894" i="2"/>
  <c r="B894" i="2"/>
  <c r="C902" i="2"/>
  <c r="B902" i="2"/>
  <c r="C910" i="2"/>
  <c r="B910" i="2"/>
  <c r="C918" i="2"/>
  <c r="B918" i="2"/>
  <c r="C926" i="2"/>
  <c r="B926" i="2"/>
  <c r="C934" i="2"/>
  <c r="B934" i="2"/>
  <c r="C942" i="2"/>
  <c r="B942" i="2"/>
  <c r="C950" i="2"/>
  <c r="B950" i="2"/>
  <c r="C958" i="2"/>
  <c r="B958" i="2"/>
  <c r="D967" i="2"/>
  <c r="E967" i="2" s="1"/>
  <c r="C967" i="2"/>
  <c r="B967" i="2"/>
  <c r="C970" i="2"/>
  <c r="B970" i="2"/>
  <c r="D983" i="2"/>
  <c r="E983" i="2" s="1"/>
  <c r="C983" i="2"/>
  <c r="B983" i="2"/>
  <c r="C986" i="2"/>
  <c r="B986" i="2"/>
  <c r="D999" i="2"/>
  <c r="E999" i="2" s="1"/>
  <c r="C999" i="2"/>
  <c r="B999" i="2"/>
  <c r="C1002" i="2"/>
  <c r="B1002" i="2"/>
  <c r="D887" i="2"/>
  <c r="E887" i="2" s="1"/>
  <c r="C887" i="2"/>
  <c r="B887" i="2"/>
  <c r="D969" i="2"/>
  <c r="E969" i="2" s="1"/>
  <c r="C969" i="2"/>
  <c r="B969" i="2"/>
  <c r="C972" i="2"/>
  <c r="B972" i="2"/>
  <c r="D985" i="2"/>
  <c r="E985" i="2" s="1"/>
  <c r="C985" i="2"/>
  <c r="B985" i="2"/>
  <c r="C988" i="2"/>
  <c r="B988" i="2"/>
  <c r="D1001" i="2"/>
  <c r="E1001" i="2" s="1"/>
  <c r="C1001" i="2"/>
  <c r="B1001" i="2"/>
  <c r="C1004" i="2"/>
  <c r="B1004" i="2"/>
  <c r="D883" i="2"/>
  <c r="E883" i="2" s="1"/>
  <c r="C883" i="2"/>
  <c r="C888" i="2"/>
  <c r="B888" i="2"/>
  <c r="C896" i="2"/>
  <c r="B896" i="2"/>
  <c r="C904" i="2"/>
  <c r="B904" i="2"/>
  <c r="C912" i="2"/>
  <c r="B912" i="2"/>
  <c r="C920" i="2"/>
  <c r="B920" i="2"/>
  <c r="C928" i="2"/>
  <c r="B928" i="2"/>
  <c r="C936" i="2"/>
  <c r="B936" i="2"/>
  <c r="C944" i="2"/>
  <c r="B944" i="2"/>
  <c r="C952" i="2"/>
  <c r="B952" i="2"/>
  <c r="C960" i="2"/>
  <c r="B960" i="2"/>
  <c r="D971" i="2"/>
  <c r="E971" i="2" s="1"/>
  <c r="C971" i="2"/>
  <c r="B971" i="2"/>
  <c r="D972" i="2"/>
  <c r="E972" i="2" s="1"/>
  <c r="C974" i="2"/>
  <c r="B974" i="2"/>
  <c r="D987" i="2"/>
  <c r="E987" i="2" s="1"/>
  <c r="C987" i="2"/>
  <c r="B987" i="2"/>
  <c r="D988" i="2"/>
  <c r="E988" i="2" s="1"/>
  <c r="C990" i="2"/>
  <c r="B990" i="2"/>
  <c r="D1003" i="2"/>
  <c r="E1003" i="2" s="1"/>
  <c r="C1003" i="2"/>
  <c r="B1003" i="2"/>
  <c r="D1004" i="2"/>
  <c r="E1004" i="2" s="1"/>
  <c r="C1006" i="2"/>
  <c r="B1006" i="2"/>
  <c r="D928" i="2"/>
  <c r="E928" i="2" s="1"/>
  <c r="D936" i="2"/>
  <c r="E936" i="2" s="1"/>
  <c r="D944" i="2"/>
  <c r="E944" i="2" s="1"/>
  <c r="D952" i="2"/>
  <c r="E952" i="2" s="1"/>
  <c r="D960" i="2"/>
  <c r="E960" i="2" s="1"/>
  <c r="D973" i="2"/>
  <c r="E973" i="2" s="1"/>
  <c r="C973" i="2"/>
  <c r="B973" i="2"/>
  <c r="D974" i="2"/>
  <c r="E974" i="2" s="1"/>
  <c r="C976" i="2"/>
  <c r="B976" i="2"/>
  <c r="D989" i="2"/>
  <c r="E989" i="2" s="1"/>
  <c r="C989" i="2"/>
  <c r="B989" i="2"/>
  <c r="D990" i="2"/>
  <c r="E990" i="2" s="1"/>
  <c r="C992" i="2"/>
  <c r="B992" i="2"/>
  <c r="D1005" i="2"/>
  <c r="E1005" i="2" s="1"/>
  <c r="C1005" i="2"/>
  <c r="B1005" i="2"/>
  <c r="D1006" i="2"/>
  <c r="E1006" i="2" s="1"/>
  <c r="C1008" i="2"/>
  <c r="B1008" i="2"/>
  <c r="B889" i="2"/>
  <c r="B891" i="2"/>
  <c r="B893" i="2"/>
  <c r="B895" i="2"/>
  <c r="B897" i="2"/>
  <c r="B899" i="2"/>
  <c r="B901" i="2"/>
  <c r="B903" i="2"/>
  <c r="B905" i="2"/>
  <c r="B907" i="2"/>
  <c r="B909" i="2"/>
  <c r="B911" i="2"/>
  <c r="B913" i="2"/>
  <c r="B915" i="2"/>
  <c r="B917" i="2"/>
  <c r="B919" i="2"/>
  <c r="B921" i="2"/>
  <c r="B923" i="2"/>
  <c r="B925" i="2"/>
  <c r="B927" i="2"/>
  <c r="B929" i="2"/>
  <c r="B931" i="2"/>
  <c r="B933" i="2"/>
  <c r="B935" i="2"/>
  <c r="B937" i="2"/>
  <c r="B939" i="2"/>
  <c r="B941" i="2"/>
  <c r="B943" i="2"/>
  <c r="B945" i="2"/>
  <c r="B947" i="2"/>
  <c r="B949" i="2"/>
  <c r="B951" i="2"/>
  <c r="B953" i="2"/>
  <c r="B955" i="2"/>
  <c r="B957" i="2"/>
  <c r="B959" i="2"/>
  <c r="B961" i="2"/>
  <c r="C889" i="2"/>
  <c r="C891" i="2"/>
  <c r="C893" i="2"/>
  <c r="C895" i="2"/>
  <c r="C897" i="2"/>
  <c r="C899" i="2"/>
  <c r="C901" i="2"/>
  <c r="C903" i="2"/>
  <c r="C905" i="2"/>
  <c r="C907" i="2"/>
  <c r="C909" i="2"/>
  <c r="C911" i="2"/>
  <c r="C913" i="2"/>
  <c r="C915" i="2"/>
  <c r="C917" i="2"/>
  <c r="C919" i="2"/>
  <c r="C921" i="2"/>
  <c r="C923" i="2"/>
  <c r="C925" i="2"/>
  <c r="C927" i="2"/>
  <c r="C929" i="2"/>
  <c r="C931" i="2"/>
  <c r="C933" i="2"/>
  <c r="C935" i="2"/>
  <c r="C937" i="2"/>
  <c r="C939" i="2"/>
  <c r="C941" i="2"/>
  <c r="C943" i="2"/>
  <c r="C945" i="2"/>
  <c r="C947" i="2"/>
  <c r="C949" i="2"/>
  <c r="C951" i="2"/>
  <c r="C953" i="2"/>
  <c r="C955" i="2"/>
  <c r="C957" i="2"/>
  <c r="C959" i="2"/>
  <c r="C961" i="2"/>
  <c r="D8" i="2"/>
  <c r="E8" i="2" s="1"/>
  <c r="B8" i="2"/>
  <c r="L8" i="2"/>
  <c r="K8" i="2"/>
  <c r="J8" i="2"/>
  <c r="I8" i="2"/>
  <c r="H8" i="2"/>
  <c r="G8" i="2"/>
  <c r="F8" i="2"/>
  <c r="A8" i="2" s="1"/>
  <c r="C8" i="2" s="1"/>
  <c r="E3" i="2"/>
  <c r="O8" i="2" l="1"/>
  <c r="M8" i="2"/>
  <c r="M16" i="2"/>
  <c r="M24" i="2"/>
  <c r="M32" i="2"/>
  <c r="M40" i="2"/>
  <c r="M34" i="2"/>
  <c r="M15" i="2"/>
  <c r="M23" i="2"/>
  <c r="M31" i="2"/>
  <c r="M39" i="2"/>
  <c r="M18" i="2"/>
  <c r="M14" i="2"/>
  <c r="M22" i="2"/>
  <c r="M30" i="2"/>
  <c r="M38" i="2"/>
  <c r="M26" i="2"/>
  <c r="M17" i="2"/>
  <c r="M13" i="2"/>
  <c r="M21" i="2"/>
  <c r="M29" i="2"/>
  <c r="M37" i="2"/>
  <c r="M9" i="2"/>
  <c r="M25" i="2"/>
  <c r="M12" i="2"/>
  <c r="M20" i="2"/>
  <c r="M28" i="2"/>
  <c r="M36" i="2"/>
  <c r="M10" i="2"/>
  <c r="M33" i="2"/>
  <c r="M11" i="2"/>
  <c r="M19" i="2"/>
  <c r="M27" i="2"/>
  <c r="M35" i="2"/>
  <c r="M82" i="2"/>
  <c r="M90" i="2"/>
  <c r="M178" i="2"/>
  <c r="M186" i="2"/>
  <c r="M194" i="2"/>
  <c r="M202" i="2"/>
  <c r="M210" i="2"/>
  <c r="M250" i="2"/>
  <c r="M298" i="2"/>
  <c r="M322" i="2"/>
  <c r="M330" i="2"/>
  <c r="M338" i="2"/>
  <c r="M498" i="2"/>
  <c r="M562" i="2"/>
  <c r="M618" i="2"/>
  <c r="M626" i="2"/>
  <c r="M634" i="2"/>
  <c r="M642" i="2"/>
  <c r="M650" i="2"/>
  <c r="M666" i="2"/>
  <c r="M674" i="2"/>
  <c r="M682" i="2"/>
  <c r="M690" i="2"/>
  <c r="M698" i="2"/>
  <c r="M706" i="2"/>
  <c r="M714" i="2"/>
  <c r="M722" i="2"/>
  <c r="M730" i="2"/>
  <c r="M738" i="2"/>
  <c r="M746" i="2"/>
  <c r="M754" i="2"/>
  <c r="M762" i="2"/>
  <c r="M770" i="2"/>
  <c r="M778" i="2"/>
  <c r="M786" i="2"/>
  <c r="M794" i="2"/>
  <c r="M802" i="2"/>
  <c r="M810" i="2"/>
  <c r="M818" i="2"/>
  <c r="M826" i="2"/>
  <c r="M834" i="2"/>
  <c r="M842" i="2"/>
  <c r="M850" i="2"/>
  <c r="M858" i="2"/>
  <c r="M866" i="2"/>
  <c r="M874" i="2"/>
  <c r="M882" i="2"/>
  <c r="M890" i="2"/>
  <c r="M898" i="2"/>
  <c r="M906" i="2"/>
  <c r="M914" i="2"/>
  <c r="M922" i="2"/>
  <c r="M930" i="2"/>
  <c r="M938" i="2"/>
  <c r="M946" i="2"/>
  <c r="M954" i="2"/>
  <c r="M962" i="2"/>
  <c r="M970" i="2"/>
  <c r="M978" i="2"/>
  <c r="M986" i="2"/>
  <c r="M994" i="2"/>
  <c r="M1002" i="2"/>
  <c r="M122" i="2"/>
  <c r="M130" i="2"/>
  <c r="M234" i="2"/>
  <c r="M274" i="2"/>
  <c r="M282" i="2"/>
  <c r="M378" i="2"/>
  <c r="M458" i="2"/>
  <c r="M466" i="2"/>
  <c r="M474" i="2"/>
  <c r="M482" i="2"/>
  <c r="M514" i="2"/>
  <c r="M522" i="2"/>
  <c r="M578" i="2"/>
  <c r="M97" i="2"/>
  <c r="M113" i="2"/>
  <c r="M121" i="2"/>
  <c r="M129" i="2"/>
  <c r="M153" i="2"/>
  <c r="M169" i="2"/>
  <c r="M193" i="2"/>
  <c r="M241" i="2"/>
  <c r="M377" i="2"/>
  <c r="M417" i="2"/>
  <c r="M425" i="2"/>
  <c r="M449" i="2"/>
  <c r="M505" i="2"/>
  <c r="M665" i="2"/>
  <c r="M673" i="2"/>
  <c r="M697" i="2"/>
  <c r="M761" i="2"/>
  <c r="M793" i="2"/>
  <c r="M817" i="2"/>
  <c r="M921" i="2"/>
  <c r="M937" i="2"/>
  <c r="M969" i="2"/>
  <c r="M993" i="2"/>
  <c r="M48" i="2"/>
  <c r="M56" i="2"/>
  <c r="M64" i="2"/>
  <c r="M72" i="2"/>
  <c r="M80" i="2"/>
  <c r="M88" i="2"/>
  <c r="M96" i="2"/>
  <c r="M104" i="2"/>
  <c r="M112" i="2"/>
  <c r="M120" i="2"/>
  <c r="M128" i="2"/>
  <c r="M136" i="2"/>
  <c r="M144" i="2"/>
  <c r="M152" i="2"/>
  <c r="M160" i="2"/>
  <c r="M168" i="2"/>
  <c r="M176" i="2"/>
  <c r="M184" i="2"/>
  <c r="M192" i="2"/>
  <c r="M200" i="2"/>
  <c r="M208" i="2"/>
  <c r="M216" i="2"/>
  <c r="M224" i="2"/>
  <c r="M232" i="2"/>
  <c r="M240" i="2"/>
  <c r="M248" i="2"/>
  <c r="M256" i="2"/>
  <c r="M264" i="2"/>
  <c r="M272" i="2"/>
  <c r="M280" i="2"/>
  <c r="M288" i="2"/>
  <c r="M296" i="2"/>
  <c r="M304" i="2"/>
  <c r="M312" i="2"/>
  <c r="M320" i="2"/>
  <c r="M328" i="2"/>
  <c r="M336" i="2"/>
  <c r="M344" i="2"/>
  <c r="M352" i="2"/>
  <c r="M360" i="2"/>
  <c r="M368" i="2"/>
  <c r="M376" i="2"/>
  <c r="M384" i="2"/>
  <c r="M392" i="2"/>
  <c r="M400" i="2"/>
  <c r="M408" i="2"/>
  <c r="M416" i="2"/>
  <c r="M424" i="2"/>
  <c r="M432" i="2"/>
  <c r="M440" i="2"/>
  <c r="M448" i="2"/>
  <c r="M456" i="2"/>
  <c r="M464" i="2"/>
  <c r="M472" i="2"/>
  <c r="M480" i="2"/>
  <c r="M488" i="2"/>
  <c r="M496" i="2"/>
  <c r="M504" i="2"/>
  <c r="M512" i="2"/>
  <c r="M520" i="2"/>
  <c r="M528" i="2"/>
  <c r="M536" i="2"/>
  <c r="M544" i="2"/>
  <c r="M552" i="2"/>
  <c r="M560" i="2"/>
  <c r="M568" i="2"/>
  <c r="M576" i="2"/>
  <c r="M584" i="2"/>
  <c r="M592" i="2"/>
  <c r="M600" i="2"/>
  <c r="M608" i="2"/>
  <c r="M616" i="2"/>
  <c r="M624" i="2"/>
  <c r="M632" i="2"/>
  <c r="M640" i="2"/>
  <c r="M648" i="2"/>
  <c r="M656" i="2"/>
  <c r="M664" i="2"/>
  <c r="M672" i="2"/>
  <c r="M680" i="2"/>
  <c r="M688" i="2"/>
  <c r="M696" i="2"/>
  <c r="M704" i="2"/>
  <c r="M712" i="2"/>
  <c r="M720" i="2"/>
  <c r="M728" i="2"/>
  <c r="M736" i="2"/>
  <c r="M744" i="2"/>
  <c r="M752" i="2"/>
  <c r="M760" i="2"/>
  <c r="M768" i="2"/>
  <c r="M776" i="2"/>
  <c r="M784" i="2"/>
  <c r="M792" i="2"/>
  <c r="M800" i="2"/>
  <c r="M808" i="2"/>
  <c r="M816" i="2"/>
  <c r="M824" i="2"/>
  <c r="M832" i="2"/>
  <c r="M840" i="2"/>
  <c r="M848" i="2"/>
  <c r="M856" i="2"/>
  <c r="M864" i="2"/>
  <c r="M872" i="2"/>
  <c r="M880" i="2"/>
  <c r="M888" i="2"/>
  <c r="M896" i="2"/>
  <c r="M904" i="2"/>
  <c r="M912" i="2"/>
  <c r="M920" i="2"/>
  <c r="M928" i="2"/>
  <c r="M936" i="2"/>
  <c r="M944" i="2"/>
  <c r="M952" i="2"/>
  <c r="M960" i="2"/>
  <c r="M968" i="2"/>
  <c r="M976" i="2"/>
  <c r="M984" i="2"/>
  <c r="M992" i="2"/>
  <c r="M1000" i="2"/>
  <c r="M1008" i="2"/>
  <c r="M98" i="2"/>
  <c r="M242" i="2"/>
  <c r="M258" i="2"/>
  <c r="M266" i="2"/>
  <c r="M290" i="2"/>
  <c r="M306" i="2"/>
  <c r="M314" i="2"/>
  <c r="M370" i="2"/>
  <c r="M434" i="2"/>
  <c r="M442" i="2"/>
  <c r="M530" i="2"/>
  <c r="M570" i="2"/>
  <c r="M602" i="2"/>
  <c r="M65" i="2"/>
  <c r="M73" i="2"/>
  <c r="M209" i="2"/>
  <c r="M233" i="2"/>
  <c r="M289" i="2"/>
  <c r="M353" i="2"/>
  <c r="M457" i="2"/>
  <c r="M521" i="2"/>
  <c r="M593" i="2"/>
  <c r="M601" i="2"/>
  <c r="M689" i="2"/>
  <c r="M745" i="2"/>
  <c r="M833" i="2"/>
  <c r="M897" i="2"/>
  <c r="M953" i="2"/>
  <c r="M985" i="2"/>
  <c r="M47" i="2"/>
  <c r="M55" i="2"/>
  <c r="M63" i="2"/>
  <c r="M71" i="2"/>
  <c r="M79" i="2"/>
  <c r="M87" i="2"/>
  <c r="M95" i="2"/>
  <c r="M103" i="2"/>
  <c r="M111" i="2"/>
  <c r="M119" i="2"/>
  <c r="M127" i="2"/>
  <c r="M135" i="2"/>
  <c r="M143" i="2"/>
  <c r="M151" i="2"/>
  <c r="M159" i="2"/>
  <c r="M167" i="2"/>
  <c r="M175" i="2"/>
  <c r="M183" i="2"/>
  <c r="M191" i="2"/>
  <c r="M199" i="2"/>
  <c r="M207" i="2"/>
  <c r="M215" i="2"/>
  <c r="M223" i="2"/>
  <c r="M231" i="2"/>
  <c r="M239" i="2"/>
  <c r="M247" i="2"/>
  <c r="M255" i="2"/>
  <c r="M263" i="2"/>
  <c r="M271" i="2"/>
  <c r="M279" i="2"/>
  <c r="M287" i="2"/>
  <c r="M295" i="2"/>
  <c r="M303" i="2"/>
  <c r="M311" i="2"/>
  <c r="M319" i="2"/>
  <c r="M327" i="2"/>
  <c r="M335" i="2"/>
  <c r="M343" i="2"/>
  <c r="M351" i="2"/>
  <c r="M359" i="2"/>
  <c r="M367" i="2"/>
  <c r="M375" i="2"/>
  <c r="M383" i="2"/>
  <c r="M391" i="2"/>
  <c r="M399" i="2"/>
  <c r="M407" i="2"/>
  <c r="M415" i="2"/>
  <c r="M423" i="2"/>
  <c r="M431" i="2"/>
  <c r="M439" i="2"/>
  <c r="M447" i="2"/>
  <c r="M455" i="2"/>
  <c r="M463" i="2"/>
  <c r="M471" i="2"/>
  <c r="M479" i="2"/>
  <c r="M487" i="2"/>
  <c r="M495" i="2"/>
  <c r="M503" i="2"/>
  <c r="M511" i="2"/>
  <c r="M519" i="2"/>
  <c r="M527" i="2"/>
  <c r="M535" i="2"/>
  <c r="M543" i="2"/>
  <c r="M551" i="2"/>
  <c r="M559" i="2"/>
  <c r="M567" i="2"/>
  <c r="M575" i="2"/>
  <c r="M583" i="2"/>
  <c r="M591" i="2"/>
  <c r="M599" i="2"/>
  <c r="M607" i="2"/>
  <c r="M615" i="2"/>
  <c r="M623" i="2"/>
  <c r="M631" i="2"/>
  <c r="M639" i="2"/>
  <c r="M647" i="2"/>
  <c r="M655" i="2"/>
  <c r="M663" i="2"/>
  <c r="M671" i="2"/>
  <c r="M679" i="2"/>
  <c r="M687" i="2"/>
  <c r="M695" i="2"/>
  <c r="M703" i="2"/>
  <c r="M711" i="2"/>
  <c r="M719" i="2"/>
  <c r="M727" i="2"/>
  <c r="M735" i="2"/>
  <c r="M743" i="2"/>
  <c r="M751" i="2"/>
  <c r="M759" i="2"/>
  <c r="M767" i="2"/>
  <c r="M775" i="2"/>
  <c r="M783" i="2"/>
  <c r="M791" i="2"/>
  <c r="M799" i="2"/>
  <c r="M807" i="2"/>
  <c r="M815" i="2"/>
  <c r="M823" i="2"/>
  <c r="M831" i="2"/>
  <c r="M839" i="2"/>
  <c r="M847" i="2"/>
  <c r="M855" i="2"/>
  <c r="M863" i="2"/>
  <c r="M871" i="2"/>
  <c r="M879" i="2"/>
  <c r="M887" i="2"/>
  <c r="M895" i="2"/>
  <c r="M903" i="2"/>
  <c r="M911" i="2"/>
  <c r="M919" i="2"/>
  <c r="M927" i="2"/>
  <c r="M935" i="2"/>
  <c r="M943" i="2"/>
  <c r="M951" i="2"/>
  <c r="M959" i="2"/>
  <c r="M967" i="2"/>
  <c r="M975" i="2"/>
  <c r="M983" i="2"/>
  <c r="M991" i="2"/>
  <c r="M999" i="2"/>
  <c r="M42" i="2"/>
  <c r="M50" i="2"/>
  <c r="M114" i="2"/>
  <c r="M346" i="2"/>
  <c r="M354" i="2"/>
  <c r="M418" i="2"/>
  <c r="M426" i="2"/>
  <c r="M450" i="2"/>
  <c r="M490" i="2"/>
  <c r="M546" i="2"/>
  <c r="M594" i="2"/>
  <c r="M610" i="2"/>
  <c r="M41" i="2"/>
  <c r="M137" i="2"/>
  <c r="M177" i="2"/>
  <c r="M257" i="2"/>
  <c r="M265" i="2"/>
  <c r="M273" i="2"/>
  <c r="M337" i="2"/>
  <c r="M345" i="2"/>
  <c r="M393" i="2"/>
  <c r="M433" i="2"/>
  <c r="M585" i="2"/>
  <c r="M609" i="2"/>
  <c r="M633" i="2"/>
  <c r="M705" i="2"/>
  <c r="M737" i="2"/>
  <c r="M849" i="2"/>
  <c r="M881" i="2"/>
  <c r="M945" i="2"/>
  <c r="M977" i="2"/>
  <c r="M1001" i="2"/>
  <c r="M46" i="2"/>
  <c r="M54" i="2"/>
  <c r="M62" i="2"/>
  <c r="M70" i="2"/>
  <c r="M78" i="2"/>
  <c r="M86" i="2"/>
  <c r="M94" i="2"/>
  <c r="M102" i="2"/>
  <c r="M110" i="2"/>
  <c r="M118" i="2"/>
  <c r="M126" i="2"/>
  <c r="M134" i="2"/>
  <c r="M142" i="2"/>
  <c r="M150" i="2"/>
  <c r="M158" i="2"/>
  <c r="M166" i="2"/>
  <c r="M174" i="2"/>
  <c r="M182" i="2"/>
  <c r="M190" i="2"/>
  <c r="M198" i="2"/>
  <c r="M206" i="2"/>
  <c r="M214" i="2"/>
  <c r="M222" i="2"/>
  <c r="M230" i="2"/>
  <c r="M238" i="2"/>
  <c r="M246" i="2"/>
  <c r="M254" i="2"/>
  <c r="M262" i="2"/>
  <c r="M270" i="2"/>
  <c r="M278" i="2"/>
  <c r="M286" i="2"/>
  <c r="M294" i="2"/>
  <c r="M302" i="2"/>
  <c r="M310" i="2"/>
  <c r="M318" i="2"/>
  <c r="M326" i="2"/>
  <c r="M334" i="2"/>
  <c r="M342" i="2"/>
  <c r="M350" i="2"/>
  <c r="M358" i="2"/>
  <c r="M366" i="2"/>
  <c r="M374" i="2"/>
  <c r="M382" i="2"/>
  <c r="M390" i="2"/>
  <c r="M398" i="2"/>
  <c r="M406" i="2"/>
  <c r="M414" i="2"/>
  <c r="M422" i="2"/>
  <c r="M430" i="2"/>
  <c r="M438" i="2"/>
  <c r="M446" i="2"/>
  <c r="M454" i="2"/>
  <c r="M462" i="2"/>
  <c r="M470" i="2"/>
  <c r="M478" i="2"/>
  <c r="M486" i="2"/>
  <c r="M494" i="2"/>
  <c r="M502" i="2"/>
  <c r="M510" i="2"/>
  <c r="M518" i="2"/>
  <c r="M526" i="2"/>
  <c r="M534" i="2"/>
  <c r="M542" i="2"/>
  <c r="M550" i="2"/>
  <c r="M558" i="2"/>
  <c r="M566" i="2"/>
  <c r="M574" i="2"/>
  <c r="M582" i="2"/>
  <c r="M590" i="2"/>
  <c r="M598" i="2"/>
  <c r="M606" i="2"/>
  <c r="M614" i="2"/>
  <c r="M622" i="2"/>
  <c r="M630" i="2"/>
  <c r="M638" i="2"/>
  <c r="M646" i="2"/>
  <c r="M654" i="2"/>
  <c r="M662" i="2"/>
  <c r="M670" i="2"/>
  <c r="M678" i="2"/>
  <c r="M686" i="2"/>
  <c r="M694" i="2"/>
  <c r="M702" i="2"/>
  <c r="M710" i="2"/>
  <c r="M718" i="2"/>
  <c r="M726" i="2"/>
  <c r="M734" i="2"/>
  <c r="M742" i="2"/>
  <c r="M750" i="2"/>
  <c r="M758" i="2"/>
  <c r="M766" i="2"/>
  <c r="M774" i="2"/>
  <c r="M782" i="2"/>
  <c r="M790" i="2"/>
  <c r="M798" i="2"/>
  <c r="M806" i="2"/>
  <c r="M814" i="2"/>
  <c r="M822" i="2"/>
  <c r="M830" i="2"/>
  <c r="M838" i="2"/>
  <c r="M846" i="2"/>
  <c r="M854" i="2"/>
  <c r="M862" i="2"/>
  <c r="M870" i="2"/>
  <c r="M878" i="2"/>
  <c r="M886" i="2"/>
  <c r="M894" i="2"/>
  <c r="M902" i="2"/>
  <c r="M910" i="2"/>
  <c r="M918" i="2"/>
  <c r="M926" i="2"/>
  <c r="M934" i="2"/>
  <c r="M942" i="2"/>
  <c r="M950" i="2"/>
  <c r="M958" i="2"/>
  <c r="M966" i="2"/>
  <c r="M974" i="2"/>
  <c r="M982" i="2"/>
  <c r="M990" i="2"/>
  <c r="M998" i="2"/>
  <c r="M1006" i="2"/>
  <c r="M66" i="2"/>
  <c r="M74" i="2"/>
  <c r="M106" i="2"/>
  <c r="M226" i="2"/>
  <c r="M394" i="2"/>
  <c r="M586" i="2"/>
  <c r="M658" i="2"/>
  <c r="M81" i="2"/>
  <c r="M89" i="2"/>
  <c r="M185" i="2"/>
  <c r="M225" i="2"/>
  <c r="M249" i="2"/>
  <c r="M297" i="2"/>
  <c r="M305" i="2"/>
  <c r="M321" i="2"/>
  <c r="M329" i="2"/>
  <c r="M369" i="2"/>
  <c r="M401" i="2"/>
  <c r="M441" i="2"/>
  <c r="M481" i="2"/>
  <c r="M529" i="2"/>
  <c r="M553" i="2"/>
  <c r="M577" i="2"/>
  <c r="M625" i="2"/>
  <c r="M721" i="2"/>
  <c r="M769" i="2"/>
  <c r="M785" i="2"/>
  <c r="M825" i="2"/>
  <c r="M841" i="2"/>
  <c r="M865" i="2"/>
  <c r="M889" i="2"/>
  <c r="M905" i="2"/>
  <c r="M961" i="2"/>
  <c r="M45" i="2"/>
  <c r="M53" i="2"/>
  <c r="M61" i="2"/>
  <c r="M69" i="2"/>
  <c r="M77" i="2"/>
  <c r="M85" i="2"/>
  <c r="M93" i="2"/>
  <c r="M101" i="2"/>
  <c r="M109" i="2"/>
  <c r="M117" i="2"/>
  <c r="M125" i="2"/>
  <c r="M133" i="2"/>
  <c r="M141" i="2"/>
  <c r="M149" i="2"/>
  <c r="M157" i="2"/>
  <c r="M165" i="2"/>
  <c r="M173" i="2"/>
  <c r="M181" i="2"/>
  <c r="M189" i="2"/>
  <c r="M197" i="2"/>
  <c r="M205" i="2"/>
  <c r="M213" i="2"/>
  <c r="M221" i="2"/>
  <c r="M229" i="2"/>
  <c r="M237" i="2"/>
  <c r="M245" i="2"/>
  <c r="M253" i="2"/>
  <c r="M261" i="2"/>
  <c r="M269" i="2"/>
  <c r="M277" i="2"/>
  <c r="M285" i="2"/>
  <c r="M293" i="2"/>
  <c r="M301" i="2"/>
  <c r="M309" i="2"/>
  <c r="M317" i="2"/>
  <c r="M325" i="2"/>
  <c r="M333" i="2"/>
  <c r="M341" i="2"/>
  <c r="M349" i="2"/>
  <c r="M357" i="2"/>
  <c r="M365" i="2"/>
  <c r="M373" i="2"/>
  <c r="M381" i="2"/>
  <c r="M389" i="2"/>
  <c r="M397" i="2"/>
  <c r="M405" i="2"/>
  <c r="M413" i="2"/>
  <c r="M421" i="2"/>
  <c r="M429" i="2"/>
  <c r="M437" i="2"/>
  <c r="M445" i="2"/>
  <c r="M453" i="2"/>
  <c r="M461" i="2"/>
  <c r="M469" i="2"/>
  <c r="M477" i="2"/>
  <c r="M485" i="2"/>
  <c r="M493" i="2"/>
  <c r="M501" i="2"/>
  <c r="M509" i="2"/>
  <c r="M517" i="2"/>
  <c r="M525" i="2"/>
  <c r="M533" i="2"/>
  <c r="M541" i="2"/>
  <c r="M549" i="2"/>
  <c r="M557" i="2"/>
  <c r="M565" i="2"/>
  <c r="M573" i="2"/>
  <c r="M581" i="2"/>
  <c r="M589" i="2"/>
  <c r="M597" i="2"/>
  <c r="M605" i="2"/>
  <c r="M613" i="2"/>
  <c r="M621" i="2"/>
  <c r="M629" i="2"/>
  <c r="M637" i="2"/>
  <c r="M645" i="2"/>
  <c r="M653" i="2"/>
  <c r="M661" i="2"/>
  <c r="M669" i="2"/>
  <c r="M677" i="2"/>
  <c r="M685" i="2"/>
  <c r="M693" i="2"/>
  <c r="M701" i="2"/>
  <c r="M709" i="2"/>
  <c r="M717" i="2"/>
  <c r="M725" i="2"/>
  <c r="M733" i="2"/>
  <c r="M741" i="2"/>
  <c r="M749" i="2"/>
  <c r="M757" i="2"/>
  <c r="M765" i="2"/>
  <c r="M773" i="2"/>
  <c r="M781" i="2"/>
  <c r="M789" i="2"/>
  <c r="M797" i="2"/>
  <c r="M805" i="2"/>
  <c r="M813" i="2"/>
  <c r="M821" i="2"/>
  <c r="M829" i="2"/>
  <c r="M837" i="2"/>
  <c r="M845" i="2"/>
  <c r="M853" i="2"/>
  <c r="M861" i="2"/>
  <c r="M869" i="2"/>
  <c r="M877" i="2"/>
  <c r="M885" i="2"/>
  <c r="M893" i="2"/>
  <c r="M901" i="2"/>
  <c r="M909" i="2"/>
  <c r="M917" i="2"/>
  <c r="M925" i="2"/>
  <c r="M933" i="2"/>
  <c r="M941" i="2"/>
  <c r="M949" i="2"/>
  <c r="M957" i="2"/>
  <c r="M965" i="2"/>
  <c r="M973" i="2"/>
  <c r="M981" i="2"/>
  <c r="M989" i="2"/>
  <c r="M997" i="2"/>
  <c r="M1005" i="2"/>
  <c r="M58" i="2"/>
  <c r="M146" i="2"/>
  <c r="M170" i="2"/>
  <c r="M506" i="2"/>
  <c r="M57" i="2"/>
  <c r="M161" i="2"/>
  <c r="M217" i="2"/>
  <c r="M465" i="2"/>
  <c r="M489" i="2"/>
  <c r="M537" i="2"/>
  <c r="M569" i="2"/>
  <c r="M649" i="2"/>
  <c r="M729" i="2"/>
  <c r="M801" i="2"/>
  <c r="M913" i="2"/>
  <c r="M44" i="2"/>
  <c r="M52" i="2"/>
  <c r="M60" i="2"/>
  <c r="M68" i="2"/>
  <c r="M76" i="2"/>
  <c r="M84" i="2"/>
  <c r="M92" i="2"/>
  <c r="M100" i="2"/>
  <c r="M108" i="2"/>
  <c r="M116" i="2"/>
  <c r="M124" i="2"/>
  <c r="M132" i="2"/>
  <c r="M140" i="2"/>
  <c r="M148" i="2"/>
  <c r="M156" i="2"/>
  <c r="M164" i="2"/>
  <c r="M172" i="2"/>
  <c r="M180" i="2"/>
  <c r="M188" i="2"/>
  <c r="M196" i="2"/>
  <c r="M204" i="2"/>
  <c r="M212" i="2"/>
  <c r="M220" i="2"/>
  <c r="M228" i="2"/>
  <c r="M236" i="2"/>
  <c r="M244" i="2"/>
  <c r="M252" i="2"/>
  <c r="M260" i="2"/>
  <c r="M268" i="2"/>
  <c r="M276" i="2"/>
  <c r="M284" i="2"/>
  <c r="M292" i="2"/>
  <c r="M300" i="2"/>
  <c r="M308" i="2"/>
  <c r="M316" i="2"/>
  <c r="M324" i="2"/>
  <c r="M332" i="2"/>
  <c r="M340" i="2"/>
  <c r="M348" i="2"/>
  <c r="M356" i="2"/>
  <c r="M364" i="2"/>
  <c r="M372" i="2"/>
  <c r="M380" i="2"/>
  <c r="M388" i="2"/>
  <c r="M396" i="2"/>
  <c r="M404" i="2"/>
  <c r="M412" i="2"/>
  <c r="M420" i="2"/>
  <c r="M428" i="2"/>
  <c r="M436" i="2"/>
  <c r="M444" i="2"/>
  <c r="M452" i="2"/>
  <c r="M460" i="2"/>
  <c r="M468" i="2"/>
  <c r="M476" i="2"/>
  <c r="M484" i="2"/>
  <c r="M492" i="2"/>
  <c r="M500" i="2"/>
  <c r="M508" i="2"/>
  <c r="M516" i="2"/>
  <c r="M524" i="2"/>
  <c r="M532" i="2"/>
  <c r="M540" i="2"/>
  <c r="M548" i="2"/>
  <c r="M556" i="2"/>
  <c r="M564" i="2"/>
  <c r="M572" i="2"/>
  <c r="M580" i="2"/>
  <c r="M588" i="2"/>
  <c r="M596" i="2"/>
  <c r="M604" i="2"/>
  <c r="M612" i="2"/>
  <c r="M620" i="2"/>
  <c r="M628" i="2"/>
  <c r="M636" i="2"/>
  <c r="M644" i="2"/>
  <c r="M652" i="2"/>
  <c r="M660" i="2"/>
  <c r="M668" i="2"/>
  <c r="M676" i="2"/>
  <c r="M684" i="2"/>
  <c r="M692" i="2"/>
  <c r="M700" i="2"/>
  <c r="M708" i="2"/>
  <c r="M716" i="2"/>
  <c r="M724" i="2"/>
  <c r="M732" i="2"/>
  <c r="M740" i="2"/>
  <c r="M748" i="2"/>
  <c r="M756" i="2"/>
  <c r="M764" i="2"/>
  <c r="M772" i="2"/>
  <c r="M780" i="2"/>
  <c r="M788" i="2"/>
  <c r="M796" i="2"/>
  <c r="M804" i="2"/>
  <c r="M812" i="2"/>
  <c r="M820" i="2"/>
  <c r="M828" i="2"/>
  <c r="M836" i="2"/>
  <c r="M844" i="2"/>
  <c r="M852" i="2"/>
  <c r="M860" i="2"/>
  <c r="M868" i="2"/>
  <c r="M876" i="2"/>
  <c r="M884" i="2"/>
  <c r="M892" i="2"/>
  <c r="M900" i="2"/>
  <c r="M908" i="2"/>
  <c r="M916" i="2"/>
  <c r="M924" i="2"/>
  <c r="M932" i="2"/>
  <c r="M940" i="2"/>
  <c r="M948" i="2"/>
  <c r="M956" i="2"/>
  <c r="M964" i="2"/>
  <c r="M972" i="2"/>
  <c r="M980" i="2"/>
  <c r="M988" i="2"/>
  <c r="M996" i="2"/>
  <c r="M1004" i="2"/>
  <c r="M138" i="2"/>
  <c r="M154" i="2"/>
  <c r="M162" i="2"/>
  <c r="M218" i="2"/>
  <c r="M362" i="2"/>
  <c r="M386" i="2"/>
  <c r="M402" i="2"/>
  <c r="M410" i="2"/>
  <c r="M538" i="2"/>
  <c r="M554" i="2"/>
  <c r="M49" i="2"/>
  <c r="M105" i="2"/>
  <c r="M145" i="2"/>
  <c r="M201" i="2"/>
  <c r="M281" i="2"/>
  <c r="M313" i="2"/>
  <c r="M361" i="2"/>
  <c r="M385" i="2"/>
  <c r="M409" i="2"/>
  <c r="M473" i="2"/>
  <c r="M497" i="2"/>
  <c r="M513" i="2"/>
  <c r="M545" i="2"/>
  <c r="M561" i="2"/>
  <c r="M617" i="2"/>
  <c r="M641" i="2"/>
  <c r="M657" i="2"/>
  <c r="M681" i="2"/>
  <c r="M713" i="2"/>
  <c r="M753" i="2"/>
  <c r="M777" i="2"/>
  <c r="M809" i="2"/>
  <c r="M857" i="2"/>
  <c r="M873" i="2"/>
  <c r="M929" i="2"/>
  <c r="M1009" i="2"/>
  <c r="M43" i="2"/>
  <c r="M51" i="2"/>
  <c r="M59" i="2"/>
  <c r="M67" i="2"/>
  <c r="M75" i="2"/>
  <c r="M83" i="2"/>
  <c r="M91" i="2"/>
  <c r="M99" i="2"/>
  <c r="M107" i="2"/>
  <c r="M115" i="2"/>
  <c r="M123" i="2"/>
  <c r="M131" i="2"/>
  <c r="M139" i="2"/>
  <c r="M147" i="2"/>
  <c r="M155" i="2"/>
  <c r="M163" i="2"/>
  <c r="M171" i="2"/>
  <c r="M179" i="2"/>
  <c r="M187" i="2"/>
  <c r="M195" i="2"/>
  <c r="M203" i="2"/>
  <c r="M211" i="2"/>
  <c r="M219" i="2"/>
  <c r="M227" i="2"/>
  <c r="M235" i="2"/>
  <c r="M243" i="2"/>
  <c r="M251" i="2"/>
  <c r="M259" i="2"/>
  <c r="M267" i="2"/>
  <c r="M275" i="2"/>
  <c r="M283" i="2"/>
  <c r="M291" i="2"/>
  <c r="M299" i="2"/>
  <c r="M307" i="2"/>
  <c r="M315" i="2"/>
  <c r="M323" i="2"/>
  <c r="M331" i="2"/>
  <c r="M339" i="2"/>
  <c r="M347" i="2"/>
  <c r="M355" i="2"/>
  <c r="M363" i="2"/>
  <c r="M371" i="2"/>
  <c r="M379" i="2"/>
  <c r="M387" i="2"/>
  <c r="M395" i="2"/>
  <c r="M403" i="2"/>
  <c r="M411" i="2"/>
  <c r="M419" i="2"/>
  <c r="M427" i="2"/>
  <c r="M435" i="2"/>
  <c r="M443" i="2"/>
  <c r="M451" i="2"/>
  <c r="M459" i="2"/>
  <c r="M467" i="2"/>
  <c r="M475" i="2"/>
  <c r="M483" i="2"/>
  <c r="M491" i="2"/>
  <c r="M499" i="2"/>
  <c r="M507" i="2"/>
  <c r="M515" i="2"/>
  <c r="M523" i="2"/>
  <c r="M531" i="2"/>
  <c r="M539" i="2"/>
  <c r="M547" i="2"/>
  <c r="M555" i="2"/>
  <c r="M563" i="2"/>
  <c r="M571" i="2"/>
  <c r="M579" i="2"/>
  <c r="M587" i="2"/>
  <c r="M595" i="2"/>
  <c r="M603" i="2"/>
  <c r="M611" i="2"/>
  <c r="M619" i="2"/>
  <c r="M627" i="2"/>
  <c r="M635" i="2"/>
  <c r="M643" i="2"/>
  <c r="M651" i="2"/>
  <c r="M659" i="2"/>
  <c r="M667" i="2"/>
  <c r="M675" i="2"/>
  <c r="M683" i="2"/>
  <c r="M691" i="2"/>
  <c r="M699" i="2"/>
  <c r="M707" i="2"/>
  <c r="M715" i="2"/>
  <c r="M723" i="2"/>
  <c r="M731" i="2"/>
  <c r="M739" i="2"/>
  <c r="M747" i="2"/>
  <c r="M755" i="2"/>
  <c r="M763" i="2"/>
  <c r="M771" i="2"/>
  <c r="M779" i="2"/>
  <c r="M787" i="2"/>
  <c r="M795" i="2"/>
  <c r="M803" i="2"/>
  <c r="M811" i="2"/>
  <c r="M819" i="2"/>
  <c r="M827" i="2"/>
  <c r="M835" i="2"/>
  <c r="M843" i="2"/>
  <c r="M851" i="2"/>
  <c r="M859" i="2"/>
  <c r="M867" i="2"/>
  <c r="M875" i="2"/>
  <c r="M883" i="2"/>
  <c r="M891" i="2"/>
  <c r="M899" i="2"/>
  <c r="M907" i="2"/>
  <c r="M915" i="2"/>
  <c r="M923" i="2"/>
  <c r="M931" i="2"/>
  <c r="M939" i="2"/>
  <c r="M947" i="2"/>
  <c r="M955" i="2"/>
  <c r="M963" i="2"/>
  <c r="M971" i="2"/>
  <c r="M979" i="2"/>
  <c r="M987" i="2"/>
  <c r="M995" i="2"/>
  <c r="M1003" i="2"/>
  <c r="M1007" i="2" l="1"/>
</calcChain>
</file>

<file path=xl/sharedStrings.xml><?xml version="1.0" encoding="utf-8"?>
<sst xmlns="http://schemas.openxmlformats.org/spreadsheetml/2006/main" count="66" uniqueCount="64">
  <si>
    <t>Description</t>
  </si>
  <si>
    <t>Amount</t>
  </si>
  <si>
    <t>Notes</t>
  </si>
  <si>
    <t>AccountType</t>
  </si>
  <si>
    <t>Reference</t>
  </si>
  <si>
    <t>Resident</t>
  </si>
  <si>
    <t>Accommodation</t>
  </si>
  <si>
    <t>Trans Type</t>
  </si>
  <si>
    <t>Account Type</t>
  </si>
  <si>
    <t>Database</t>
  </si>
  <si>
    <t>Workfile Code</t>
  </si>
  <si>
    <t>Effect Date</t>
  </si>
  <si>
    <t>Person Name</t>
  </si>
  <si>
    <t>Person Accomodation Code</t>
  </si>
  <si>
    <t>TransType</t>
  </si>
  <si>
    <t>&lt;?xml version="1.0" encoding="utf-16"?&gt;_x000D_
&lt;QueryCommandItem Service="" Product="CareSys" Table="ResTransType" Qmode="Reference" debug="false" resolve="true"&gt;_x000D_
  &lt;Filters top="0" topPerc="false" distinct="false" xmlns="Query"&gt;_x000D_
    &lt;FilterItem code="dB" op="Equal" name="" type="None" xmlns="Query.Filter"&gt;_x000D_
      &lt;Filter val="=Database" /&gt;_x000D_
      &lt;attr logic="None" bro="0" brc="0" ignorCase="false" calc="" descr="" behav="None" having="None" /&gt;_x000D_
    &lt;/FilterItem&gt;_x000D_
    &lt;FilterItem code="/Code" op="Equal" name="" type="None" xmlns="Query.Filter"&gt;_x000D_
      &lt;Filter val="=TransType" /&gt;_x000D_
      &lt;attr logic="None" bro="0" brc="0" ignorCase="false" calc="" descr="" behav="None" having="None" /&gt;_x000D_
    &lt;/FilterItem&gt;_x000D_
  &lt;/Filters&gt;_x000D_
  &lt;Outputs xmlns="Query"&gt;_x000D_
    &lt;OutputItem code="/Description" dataType="None" func="None" showTotal="Auto" hidden="false" sort="0" name="" xmlns="Query.Output"&gt;_x000D_
      &lt;attr cap="" hdr="" scale="0" nulls="false" filterLink="" calc="" format="" other="" /&gt;_x000D_
    &lt;/OutputItem&gt;_x000D_
  &lt;/Outputs&gt;_x000D_
&lt;/QueryCommandItem&gt;</t>
  </si>
  <si>
    <t>&lt;?xml version="1.0" encoding="utf-16"?&gt;_x000D_
&lt;QueryCommandItem Service="" Product="CareSys" Table="ResAccommodation" Qmode="Reference" debug="false" resolve="true"&gt;_x000D_
  &lt;Filters top="0" topPerc="false" distinct="false" xmlns="Query"&gt;_x000D_
    &lt;FilterItem code="dB" op="Equal" name="" type="None" xmlns="Query.Filter"&gt;_x000D_
      &lt;Filter val="=Database" /&gt;_x000D_
      &lt;attr logic="None" bro="0" brc="0" ignorCase="false" calc="" descr="" behav="None" having="None" /&gt;_x000D_
    &lt;/FilterItem&gt;_x000D_
    &lt;FilterItem code="/Code" op="Equal" name="" type="None" xmlns="Query.Filter"&gt;_x000D_
      &lt;Filter val="=AccommodationCode" /&gt;_x000D_
      &lt;attr logic="None" bro="0" brc="0" ignorCase="false" calc="" descr="" behav="Single" having="None" /&gt;_x000D_
    &lt;/FilterItem&gt;_x000D_
  &lt;/Filters&gt;_x000D_
  &lt;Outputs xmlns="Query"&gt;_x000D_
    &lt;OutputItem code="/Description" dataType="None" func="None" showTotal="Auto" hidden="false" sort="0" name="" xmlns="Query.Output"&gt;_x000D_
      &lt;attr cap="" hdr="" scale="0" nulls="false" filterLink="" calc="" format="" other="" /&gt;_x000D_
    &lt;/OutputItem&gt;_x000D_
  &lt;/Outputs&gt;_x000D_
&lt;/QueryCommandItem&gt;</t>
  </si>
  <si>
    <t>&lt;?xml version="1.0" encoding="utf-16"?&gt;_x000D_
&lt;QueryCommandItem Service="" Product="CareSys" Table="ResAccommodation" Qmode="Reference" debug="false" resolve="true"&gt;_x000D_
  &lt;Filters top="0" topPerc="false" distinct="false" xmlns="Query"&gt;_x000D_
    &lt;FilterItem code="dB" op="Equal" name="" type="None" xmlns="Query.Filter"&gt;_x000D_
      &lt;Filter val="=Database" /&gt;_x000D_
      &lt;attr logic="None" bro="0" brc="0" ignorCase="false" calc="" descr="" behav="None" having="None" /&gt;_x000D_
    &lt;/FilterItem&gt;_x000D_
    &lt;FilterItem code="/Code" op="All" name="" type="None" xmlns="Query.Filter"&gt;_x000D_
      &lt;Filter val="=D8" /&gt;_x000D_
      &lt;attr logic="None" bro="0" brc="0" ignorCase="false" calc="" descr="" behav="Single" having="None" /&gt;_x000D_
    &lt;/FilterItem&gt;_x000D_
  &lt;/Filters&gt;_x000D_
  &lt;Outputs xmlns="Query"&gt;_x000D_
    &lt;OutputItem code="TypeOut" dataType="String" func="Expression" showTotal="Auto" hidden="false" sort="0" name="" xmlns="Query.Output"&gt;_x000D_
      &lt;attr cap="TypeOut" hdr="" scale="0" nulls="false" filterLink="" calc="" format="" other="" /&gt;_x000D_
      &lt;expression&gt;_x000D_
        &lt;buffer xmlns="Query.EvalExpress"&gt;IIF( "{=AccommodationCode}" = "", "Change", "Normal")&lt;/buffer&gt;_x000D_
      &lt;/expression&gt;_x000D_
    &lt;/OutputItem&gt;_x000D_
    &lt;OutputItem code="/Code" dataType="None" func="None" showTotal="Auto" hidden="true" sort="0" name="" xmlns="Query.Output"&gt;_x000D_
      &lt;attr cap="" hdr="" scale="0" nulls="false" filterLink="" calc="" format="" other="" /&gt;_x000D_
    &lt;/OutputItem&gt;_x000D_
    &lt;OutputItem code="/Description" dataType="None" func="None" showTotal="Auto" hidden="true" sort="0" name="" xmlns="Query.Output"&gt;_x000D_
      &lt;attr cap="" hdr="" scale="0" nulls="false" filterLink="" calc="" format="" other="" /&gt;_x000D_
    &lt;/OutputItem&gt;_x000D_
  &lt;/Outputs&gt;_x000D_
&lt;/QueryCommandItem&gt;</t>
  </si>
  <si>
    <t>&lt;?xml version="1.0" encoding="utf-16"?&gt;_x000D_
&lt;QueryCommandItem Service="" Product="CareSys" Table="ResResident" Qmode="Reference" debug="false" resolve="true"&gt;_x000D_
  &lt;Filters top="0" topPerc="false" distinct="false" xmlns="Query"&gt;_x000D_
    &lt;FilterItem code="dB" op="Equal" name="" type="None" xmlns="Query.Filter"&gt;_x000D_
      &lt;Filter val="=Database" /&gt;_x000D_
      &lt;attr logic="None" bro="0" brc="0" ignorCase="false" calc="" descr="" options="" behav="None" having="None" /&gt;_x000D_
    &lt;/FilterItem&gt;_x000D_
    &lt;FilterItem code="/PerIdR" op="All" name="" type="None" xmlns="Query.Filter"&gt;_x000D_
      &lt;Filter val="&amp;lt;ALL&amp;gt;" /&gt;_x000D_
      &lt;attr logic="And" bro="0" brc="0" ignorCase="false" calc="" descr="" options="" behav="Single" having="None" /&gt;_x000D_
    &lt;/FilterItem&gt;_x000D_
    &lt;FilterItem code="/PerIdR" op="Equal" name="" type="None" xmlns="Query.Filter"&gt;_x000D_
      &lt;Filter val="=A8" /&gt;_x000D_
      &lt;attr logic="And" bro="0" brc="0" ignorCase="false" calc="" descr="" options="" behav="Single" having="None" /&gt;_x000D_
    &lt;/FilterItem&gt;_x000D_
  &lt;/Filters&gt;_x000D_
  &lt;Outputs xmlns="Query"&gt;_x000D_
    &lt;OutputItem code="/Person/FirstNameSurname" dataType="None" func="None" showTotal="Auto" hidden="false" sort="0" name="" xmlns="Query.Output"&gt;_x000D_
      &lt;attr cap="" hdr="" scale="0" nulls="false" filterLink="" calc="" format="" other="" group="" /&gt;_x000D_
    &lt;/OutputItem&gt;_x000D_
  &lt;/Outputs&gt;_x000D_
&lt;/QueryCommandItem&gt;</t>
  </si>
  <si>
    <t>+isAAB+LCAAAAAAABADtvQdgHEmWJSYvbcp7f0r1StfgdKEIgGATJNiQQBDswYjN5pLsHWlHIymrKoHKZVZlXWYWQMztnbz33nvvvffee++997o7nU4n99//P1xmZAFs9s5K2smeIYCqyB8/fnwfPyIe/xq/x6/x7tdY/Brlr5H+Gpe/Rv5r1L9G82sUv0b1ayx/jc9+jY9+jd1fY/xr7NDPlL5Z/hpT+nxG3y5/jQv+dv1rtL/G+a+xTa0+pb9+j1/j6Nf4jX+N5Nd4/Gt8l6AU9F3+a0x+jYzeeqvfpPTf41/jhKCU9O6C4DxhaAZm47WTtg7SE4U0/Hb4rrwfjujo19ijz+72Pu2/d07f5dTPjPub0e9H9N5LfQ9vndGngBVr2Yc3CTB9Ra3OGZZQNfaOvDfj8Qu+R/RORj019Bd6Dr+Lv9/v6ScZxpr7/Cw6os3v9Md29z1Hhze+/rz+v40njgkDyMWC/sOnGWEmMEyr/+9zye3G+CO+eR++eUNvZfRGQ79d/xqr/1/wSXxMP+KL9+GLU/oco50SRk9Z0v7/wBlDo/oRb7wPbxyz/l3TO+3/D3iiO5of8cL78IKM9v/7XND//ke88L688IJ+By7N/w/4IRzLj/jgffjA+OmiU///41cOj+tH/PE+/PFd+r0mHPBtSZ/50dv/tzlk08h+xCMfwiNPfw3o4injuLJx////OGZ4nD/inw/hn1f09xW3EO39/3XO2fl/OU/gzeF2fob98a/xpcfp3XYpwfHbviRsKsa0of/8N3/2s/ZC86/HkVdE+Yr+D0pnhMmX9O4zagdIrXLnKf2F0dX/n+dOZODWCu3/vTwqb3/9d+X9b55LZvx5bnHCvMx+ja8ITvFr/CKm2+9F/79m/l9Sy+v/z/PLswDejzjmQzjmC/37RzzxPqP6/x9PfPlrYF18xf++ob9Pfo3XRLP/t3LFj7jih8MVwgXwPKAvXhBWC6Xl/3d1Regjund+NNsy20/524KwEOz+v+5f/mi+b6vzX9DcP/v/+Gz/SOd/KFcIF/xI5//8mO3n9P8L+k/6POFW5Y9m277x9WYMb94u92RyVDOCOKUWjtYn1B8we82xu4PYb+lgvabvVjwiyK/Mnq/vPiPZzujdjCiRWXrf9JaD/4bfLPlTUK/pZU5/f5q3PeLLPfrmCUP33/ExRX+X9BYoZMbiZi6kPbAF7Y9+jf8HuaXA7forAAA=</t>
  </si>
  <si>
    <t>Check these details:</t>
  </si>
  <si>
    <t>WorkfileWB</t>
  </si>
  <si>
    <t>Instructions</t>
  </si>
  <si>
    <t>URN</t>
  </si>
  <si>
    <t>NB: The items will not appear on the clients' accounts until the workfiles have been posted in ClientCare.</t>
  </si>
  <si>
    <t>COST CENTRE</t>
  </si>
  <si>
    <t>TRANSACTION TYPE</t>
  </si>
  <si>
    <t>RECORD DATE</t>
  </si>
  <si>
    <t>AMOUNT</t>
  </si>
  <si>
    <t>INVOICE NUMBER</t>
  </si>
  <si>
    <t>NOTES (Procura Service Type Description)</t>
  </si>
  <si>
    <t>Work File Description</t>
  </si>
  <si>
    <t>Validation</t>
  </si>
  <si>
    <t>&lt;?xml version="1.0" encoding="utf-16"?&gt;_x000D_
&lt;QueryCommandItem Service="" Product="CareSys" Table="ResResident" Qmode="Aggregation" debug="false" resolve="true"&gt;_x000D_
  &lt;Filters top="0" topPerc="false" distinct="false" xmlns="Query"&gt;_x000D_
    &lt;FilterItem code="dB" op="Equal" name="" type="None" xmlns="Query.Filter"&gt;_x000D_
      &lt;Filter val="=Database" /&gt;_x000D_
      &lt;attr logic="None" bro="0" brc="0" ignorCase="false" calc="" descr="" options="" behav="None" having="None" /&gt;_x000D_
    &lt;/FilterItem&gt;_x000D_
    &lt;FilterItem code="/PerIdR" op="All" name="PerId" type="None" xmlns="Query.Filter"&gt;_x000D_
      &lt;Filter val="&amp;lt;ALL&amp;gt;" /&gt;_x000D_
      &lt;attr logic="None" bro="0" brc="0" ignorCase="false" calc="" descr="" options="" behav="None" having="None" /&gt;_x000D_
    &lt;/FilterItem&gt;_x000D_
    &lt;FilterItem code="/AdmNum" op="Between" name="Adm" type="None" xmlns="Query.Filter"&gt;_x000D_
      &lt;Filter val="=D8" /&gt;_x000D_
      &lt;Filter val="=D8" /&gt;_x000D_
      &lt;attr logic="None" bro="0" brc="0" ignorCase="false" calc="" descr="" options="" behav="None" having="None" /&gt;_x000D_
    &lt;/FilterItem&gt;_x000D_
  &lt;/Filters&gt;_x000D_
  &lt;Outputs xmlns="Query"&gt;_x000D_
    &lt;OutputItem code="/PerIdR" dataType="None" func="Minimum" showTotal="Auto" hidden="false" sort="0" name="PerId" xmlns="Query.Output"&gt;_x000D_
      &lt;attr cap="" hdr="" scale="0" nulls="false" filterLink="" calc="" format="" other="" group="" /&gt;_x000D_
    &lt;/OutputItem&gt;_x000D_
  &lt;/Outputs&gt;_x000D_
&lt;/QueryCommandItem&gt;</t>
  </si>
  <si>
    <t>&lt;?xml version="1.0" encoding="utf-16"?&gt;_x000D_
&lt;QueryCommandItem Service="" Product="CareSys" Table="ResResident" Qmode="Reference" debug="false" resolve="true"&gt;_x000D_
  &lt;Filters top="0" topPerc="false" distinct="false" xmlns="Query"&gt;_x000D_
    &lt;FilterItem code="dB" op="Equal" name="" type="None" xmlns="Query.Filter"&gt;_x000D_
      &lt;Filter val="=Database" /&gt;_x000D_
      &lt;attr logic="None" bro="0" brc="0" ignorCase="false" calc="" descr="" options="" behav="None" having="None" /&gt;_x000D_
    &lt;/FilterItem&gt;_x000D_
    &lt;FilterItem code="/PerIdR" op="All" name="" type="None" xmlns="Query.Filter"&gt;_x000D_
      &lt;Filter val="&amp;lt;ALL&amp;gt;" /&gt;_x000D_
      &lt;attr logic="And" bro="0" brc="0" ignorCase="false" calc="" descr="" options="" behav="Single" having="None" /&gt;_x000D_
    &lt;/FilterItem&gt;_x000D_
    &lt;FilterItem code="/PerIdR" op="Equal" name="" type="None" xmlns="Query.Filter"&gt;_x000D_
      &lt;Filter val="=A8" /&gt;_x000D_
      &lt;attr logic="And" bro="0" brc="0" ignorCase="false" calc="" descr="" options="" behav="Single" having="None" /&gt;_x000D_
    &lt;/FilterItem&gt;_x000D_
  &lt;/Filters&gt;_x000D_
  &lt;Outputs xmlns="Query"&gt;_x000D_
    &lt;OutputItem code="/ResResidentAccomHist*MostRecent/ResAccommodation/Code" dataType="None" func="None" showTotal="Auto" hidden="false" sort="0" name="" xmlns="Query.Output"&gt;_x000D_
      &lt;attr cap="" hdr="" scale="0" nulls="false" filterLink="" calc="" format="" other="" group="" /&gt;_x000D_
    &lt;/OutputItem&gt;_x000D_
  &lt;/Outputs&gt;_x000D_
&lt;/QueryCommandItem&gt;</t>
  </si>
  <si>
    <t>ClientCare Accommodation</t>
  </si>
  <si>
    <t>Procura Accommodation</t>
  </si>
  <si>
    <t>Fistname</t>
  </si>
  <si>
    <t>Lastname</t>
  </si>
  <si>
    <t>ClientCare</t>
  </si>
  <si>
    <t>Procura</t>
  </si>
  <si>
    <t>Automatic, do not change</t>
  </si>
  <si>
    <t>Enter Work File Code</t>
  </si>
  <si>
    <t>Manually change</t>
  </si>
  <si>
    <t>Resident First Name</t>
  </si>
  <si>
    <t>&lt;?xml version="1.0" encoding="utf-16"?&gt;_x000D_
&lt;QueryCommandItem Service="" Product="CareSys" Table="ResResident" Qmode="Reference" debug="false" resolve="true"&gt;_x000D_
  &lt;Filters top="0" topPerc="false" distinct="false" xmlns="Query"&gt;_x000D_
    &lt;FilterItem code="dB" op="Equal" name="" type="None" xmlns="Query.Filter"&gt;_x000D_
      &lt;Filter val="=Database" /&gt;_x000D_
      &lt;attr logic="None" bro="0" brc="0" ignorCase="false" calc="" descr="" options="" behav="None" having="None" /&gt;_x000D_
    &lt;/FilterItem&gt;_x000D_
    &lt;FilterItem code="/PerIdR" op="Between" name="PerId" type="None" xmlns="Query.Filter"&gt;_x000D_
      &lt;Filter val="=$A$8" /&gt;_x000D_
      &lt;Filter val="=$A$8" /&gt;_x000D_
      &lt;attr logic="None" bro="0" brc="0" ignorCase="false" calc="" descr="" options="" behav="None" having="None" /&gt;_x000D_
    &lt;/FilterItem&gt;_x000D_
  &lt;/Filters&gt;_x000D_
  &lt;Outputs xmlns="Query"&gt;_x000D_
    &lt;OutputItem code="/Person/FirNam" dataType="None" func="None" showTotal="Auto" hidden="false" sort="0" name="PerFirNam" xmlns="Query.Output"&gt;_x000D_
      &lt;attr cap="First Name" hdr="" scale="0" nulls="false" filterLink="" calc="" format="" other="" group="" /&gt;_x000D_
    &lt;/OutputItem&gt;_x000D_
  &lt;/Outputs&gt;_x000D_
&lt;/QueryCommandItem&gt;</t>
  </si>
  <si>
    <t>Resident Last Name</t>
  </si>
  <si>
    <t>&lt;?xml version="1.0" encoding="utf-16"?&gt;_x000D_
&lt;QueryCommandItem Service="" Product="CareSys" Table="ResResident" Qmode="Reference" debug="false" resolve="true"&gt;_x000D_
  &lt;Filters top="0" topPerc="false" distinct="false" xmlns="Query"&gt;_x000D_
    &lt;FilterItem code="dB" op="Equal" name="" type="None" xmlns="Query.Filter"&gt;_x000D_
      &lt;Filter val="=Database" /&gt;_x000D_
      &lt;attr logic="None" bro="0" brc="0" ignorCase="false" calc="" descr="" options="" behav="None" having="None" /&gt;_x000D_
    &lt;/FilterItem&gt;_x000D_
    &lt;FilterItem code="/PerIdR" op="Between" name="PerId" type="None" xmlns="Query.Filter"&gt;_x000D_
      &lt;Filter val="=$A$8" /&gt;_x000D_
      &lt;Filter val="=$A$8" /&gt;_x000D_
      &lt;attr logic="None" bro="0" brc="0" ignorCase="false" calc="" descr="" options="" behav="None" having="None" /&gt;_x000D_
    &lt;/FilterItem&gt;_x000D_
  &lt;/Filters&gt;_x000D_
  &lt;Outputs xmlns="Query"&gt;_x000D_
    &lt;OutputItem code="/Person/Surname" dataType="None" func="None" showTotal="Auto" hidden="false" sort="0" name="PerSur" xmlns="Query.Output"&gt;_x000D_
      &lt;attr cap="Last Name" hdr="" scale="0" nulls="false" filterLink="" calc="" format="" other="" group="" /&gt;_x000D_
    &lt;/OutputItem&gt;_x000D_
  &lt;/Outputs&gt;_x000D_
&lt;/QueryCommandItem&gt;</t>
  </si>
  <si>
    <t>4a</t>
  </si>
  <si>
    <t>4b</t>
  </si>
  <si>
    <t>4c</t>
  </si>
  <si>
    <t>4d</t>
  </si>
  <si>
    <r>
      <t xml:space="preserve">Check the </t>
    </r>
    <r>
      <rPr>
        <b/>
        <sz val="11"/>
        <color theme="1"/>
        <rFont val="Calibri"/>
        <family val="2"/>
        <scheme val="minor"/>
      </rPr>
      <t>Database</t>
    </r>
    <r>
      <rPr>
        <sz val="11"/>
        <color theme="1"/>
        <rFont val="Calibri"/>
        <family val="2"/>
        <scheme val="minor"/>
      </rPr>
      <t xml:space="preserve"> on the </t>
    </r>
    <r>
      <rPr>
        <b/>
        <sz val="11"/>
        <color theme="1"/>
        <rFont val="Calibri"/>
        <family val="2"/>
        <scheme val="minor"/>
      </rPr>
      <t>Writeback</t>
    </r>
    <r>
      <rPr>
        <sz val="11"/>
        <color theme="1"/>
        <rFont val="Calibri"/>
        <family val="2"/>
        <scheme val="minor"/>
      </rPr>
      <t xml:space="preserve"> sheet and make sure it is correct</t>
    </r>
  </si>
  <si>
    <r>
      <t xml:space="preserve">Delete all data on the </t>
    </r>
    <r>
      <rPr>
        <b/>
        <sz val="11"/>
        <color theme="1"/>
        <rFont val="Calibri"/>
        <family val="2"/>
        <scheme val="minor"/>
      </rPr>
      <t>Paste Here</t>
    </r>
    <r>
      <rPr>
        <sz val="11"/>
        <color theme="1"/>
        <rFont val="Calibri"/>
        <family val="2"/>
        <scheme val="minor"/>
      </rPr>
      <t xml:space="preserve"> sheet. (Select Row 2 and down and press Delete)</t>
    </r>
  </si>
  <si>
    <r>
      <t xml:space="preserve">Paste the contents of the ProCura data into the cell </t>
    </r>
    <r>
      <rPr>
        <b/>
        <sz val="11"/>
        <color theme="1"/>
        <rFont val="Calibri"/>
        <family val="2"/>
        <scheme val="minor"/>
      </rPr>
      <t>A1</t>
    </r>
    <r>
      <rPr>
        <sz val="11"/>
        <color theme="1"/>
        <rFont val="Calibri"/>
        <family val="2"/>
        <scheme val="minor"/>
      </rPr>
      <t xml:space="preserve"> on the </t>
    </r>
    <r>
      <rPr>
        <b/>
        <sz val="11"/>
        <color theme="1"/>
        <rFont val="Calibri"/>
        <family val="2"/>
        <scheme val="minor"/>
      </rPr>
      <t>Paste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Here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</si>
  <si>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Check all the details on the </t>
    </r>
    <r>
      <rPr>
        <b/>
        <sz val="11"/>
        <color theme="1"/>
        <rFont val="Calibri"/>
        <family val="2"/>
        <scheme val="minor"/>
      </rPr>
      <t>Writeback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</si>
  <si>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- The </t>
    </r>
    <r>
      <rPr>
        <b/>
        <i/>
        <sz val="11"/>
        <color theme="1"/>
        <rFont val="Calibri"/>
        <family val="2"/>
        <scheme val="minor"/>
      </rPr>
      <t>Workfile</t>
    </r>
    <r>
      <rPr>
        <i/>
        <sz val="11"/>
        <color theme="1"/>
        <rFont val="Calibri"/>
        <family val="2"/>
        <scheme val="minor"/>
      </rPr>
      <t xml:space="preserve"> </t>
    </r>
    <r>
      <rPr>
        <b/>
        <i/>
        <sz val="11"/>
        <color theme="1"/>
        <rFont val="Calibri"/>
        <family val="2"/>
        <scheme val="minor"/>
      </rPr>
      <t>Code</t>
    </r>
    <r>
      <rPr>
        <i/>
        <sz val="11"/>
        <color theme="1"/>
        <rFont val="Calibri"/>
        <family val="2"/>
        <scheme val="minor"/>
      </rPr>
      <t xml:space="preserve"> and </t>
    </r>
    <r>
      <rPr>
        <b/>
        <i/>
        <sz val="11"/>
        <color theme="1"/>
        <rFont val="Calibri"/>
        <family val="2"/>
        <scheme val="minor"/>
      </rPr>
      <t>Description</t>
    </r>
    <r>
      <rPr>
        <i/>
        <sz val="11"/>
        <color theme="1"/>
        <rFont val="Calibri"/>
        <family val="2"/>
        <scheme val="minor"/>
      </rPr>
      <t xml:space="preserve"> are correct</t>
    </r>
  </si>
  <si>
    <r>
      <t xml:space="preserve">- The </t>
    </r>
    <r>
      <rPr>
        <b/>
        <i/>
        <sz val="11"/>
        <color theme="1"/>
        <rFont val="Calibri"/>
        <family val="2"/>
        <scheme val="minor"/>
      </rPr>
      <t>Resident</t>
    </r>
    <r>
      <rPr>
        <i/>
        <sz val="11"/>
        <color theme="1"/>
        <rFont val="Calibri"/>
        <family val="2"/>
        <scheme val="minor"/>
      </rPr>
      <t xml:space="preserve"> column on the left hand side is populated</t>
    </r>
  </si>
  <si>
    <r>
      <t xml:space="preserve">- If the </t>
    </r>
    <r>
      <rPr>
        <b/>
        <i/>
        <sz val="11"/>
        <color theme="1"/>
        <rFont val="Calibri"/>
        <family val="2"/>
        <scheme val="minor"/>
      </rPr>
      <t>Resident</t>
    </r>
    <r>
      <rPr>
        <i/>
        <sz val="11"/>
        <color theme="1"/>
        <rFont val="Calibri"/>
        <family val="2"/>
        <scheme val="minor"/>
      </rPr>
      <t xml:space="preserve"> column in not filled in then the </t>
    </r>
    <r>
      <rPr>
        <b/>
        <i/>
        <sz val="11"/>
        <color theme="1"/>
        <rFont val="Calibri"/>
        <family val="2"/>
        <scheme val="minor"/>
      </rPr>
      <t>Admission</t>
    </r>
    <r>
      <rPr>
        <i/>
        <sz val="11"/>
        <color theme="1"/>
        <rFont val="Calibri"/>
        <family val="2"/>
        <scheme val="minor"/>
      </rPr>
      <t xml:space="preserve"> </t>
    </r>
    <r>
      <rPr>
        <b/>
        <i/>
        <sz val="11"/>
        <color theme="1"/>
        <rFont val="Calibri"/>
        <family val="2"/>
        <scheme val="minor"/>
      </rPr>
      <t>number</t>
    </r>
    <r>
      <rPr>
        <i/>
        <sz val="11"/>
        <color theme="1"/>
        <rFont val="Calibri"/>
        <family val="2"/>
        <scheme val="minor"/>
      </rPr>
      <t xml:space="preserve"> field must be completed in the </t>
    </r>
    <r>
      <rPr>
        <b/>
        <i/>
        <sz val="11"/>
        <color theme="1"/>
        <rFont val="Calibri"/>
        <family val="2"/>
        <scheme val="minor"/>
      </rPr>
      <t>ClientCare</t>
    </r>
    <r>
      <rPr>
        <i/>
        <sz val="11"/>
        <color theme="1"/>
        <rFont val="Calibri"/>
        <family val="2"/>
        <scheme val="minor"/>
      </rPr>
      <t xml:space="preserve"> </t>
    </r>
    <r>
      <rPr>
        <b/>
        <i/>
        <sz val="11"/>
        <color theme="1"/>
        <rFont val="Calibri"/>
        <family val="2"/>
        <scheme val="minor"/>
      </rPr>
      <t>Maintenance</t>
    </r>
    <r>
      <rPr>
        <i/>
        <sz val="11"/>
        <color theme="1"/>
        <rFont val="Calibri"/>
        <family val="2"/>
        <scheme val="minor"/>
      </rPr>
      <t xml:space="preserve"> </t>
    </r>
    <r>
      <rPr>
        <b/>
        <i/>
        <sz val="11"/>
        <color theme="1"/>
        <rFont val="Calibri"/>
        <family val="2"/>
        <scheme val="minor"/>
      </rPr>
      <t>Screen</t>
    </r>
  </si>
  <si>
    <r>
      <t>Run the writeback by pressing the '</t>
    </r>
    <r>
      <rPr>
        <b/>
        <sz val="11"/>
        <color theme="1"/>
        <rFont val="Calibri"/>
        <family val="2"/>
        <scheme val="minor"/>
      </rPr>
      <t>Save to db</t>
    </r>
    <r>
      <rPr>
        <sz val="11"/>
        <color theme="1"/>
        <rFont val="Calibri"/>
        <family val="2"/>
        <scheme val="minor"/>
      </rPr>
      <t>' button</t>
    </r>
  </si>
  <si>
    <t>- If there are missing accommodations, create the accommodation record against the resident in ClientCare</t>
  </si>
  <si>
    <r>
      <t xml:space="preserve">Filter the </t>
    </r>
    <r>
      <rPr>
        <b/>
        <sz val="11"/>
        <color theme="1"/>
        <rFont val="Calibri"/>
        <family val="2"/>
        <scheme val="minor"/>
      </rPr>
      <t>Validation</t>
    </r>
    <r>
      <rPr>
        <sz val="11"/>
        <color theme="1"/>
        <rFont val="Calibri"/>
        <family val="2"/>
        <scheme val="minor"/>
      </rPr>
      <t xml:space="preserve"> column to '</t>
    </r>
    <r>
      <rPr>
        <b/>
        <sz val="11"/>
        <color theme="1"/>
        <rFont val="Calibri"/>
        <family val="2"/>
        <scheme val="minor"/>
      </rPr>
      <t>Missing Accommodation</t>
    </r>
    <r>
      <rPr>
        <sz val="11"/>
        <color theme="1"/>
        <rFont val="Calibri"/>
        <family val="2"/>
        <scheme val="minor"/>
      </rPr>
      <t>'</t>
    </r>
  </si>
  <si>
    <t>Automatic, can be changed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</si>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</sst>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&quot;£&quot;* #,##0.00_-;\-&quot;£&quot;* #,##0.00_-;_-&quot;£&quot;* &quot;-&quot;??_-;_-@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6" fillId="0" borderId="6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7" applyNumberFormat="0" applyAlignment="0" applyProtection="0"/>
    <xf numFmtId="0" fontId="11" fillId="7" borderId="8" applyNumberFormat="0" applyAlignment="0" applyProtection="0"/>
    <xf numFmtId="0" fontId="12" fillId="7" borderId="7" applyNumberFormat="0" applyAlignment="0" applyProtection="0"/>
    <xf numFmtId="0" fontId="13" fillId="0" borderId="9" applyNumberFormat="0" applyFill="0" applyAlignment="0" applyProtection="0"/>
    <xf numFmtId="0" fontId="14" fillId="8" borderId="10" applyNumberFormat="0" applyAlignment="0" applyProtection="0"/>
    <xf numFmtId="0" fontId="15" fillId="0" borderId="0" applyNumberFormat="0" applyFill="0" applyBorder="0" applyAlignment="0" applyProtection="0"/>
    <xf numFmtId="0" fontId="1" fillId="9" borderId="11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12" applyNumberFormat="0" applyFill="0" applyAlignment="0" applyProtection="0"/>
    <xf numFmtId="0" fontId="18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33" borderId="0" applyNumberFormat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Fill="1" applyBorder="1"/>
    <xf numFmtId="49" fontId="0" fillId="0" borderId="0" xfId="0" applyNumberFormat="1" applyAlignment="1">
      <alignment wrapText="1"/>
    </xf>
    <xf numFmtId="49" fontId="0" fillId="0" borderId="0" xfId="0" applyNumberFormat="1"/>
    <xf numFmtId="0" fontId="0" fillId="0" borderId="0" xfId="0" applyNumberFormat="1"/>
    <xf numFmtId="0" fontId="0" fillId="0" borderId="0" xfId="0"/>
    <xf numFmtId="0" fontId="17" fillId="34" borderId="2" xfId="0" applyFont="1" applyFill="1" applyBorder="1"/>
    <xf numFmtId="14" fontId="17" fillId="34" borderId="2" xfId="0" applyNumberFormat="1" applyFont="1" applyFill="1" applyBorder="1"/>
    <xf numFmtId="2" fontId="17" fillId="34" borderId="2" xfId="0" applyNumberFormat="1" applyFont="1" applyFill="1" applyBorder="1"/>
    <xf numFmtId="0" fontId="17" fillId="34" borderId="2" xfId="0" applyNumberFormat="1" applyFont="1" applyFill="1" applyBorder="1"/>
    <xf numFmtId="0" fontId="0" fillId="0" borderId="0" xfId="0"/>
    <xf numFmtId="0" fontId="0" fillId="0" borderId="0" xfId="0" quotePrefix="1"/>
    <xf numFmtId="14" fontId="0" fillId="0" borderId="0" xfId="0" applyNumberFormat="1"/>
    <xf numFmtId="0" fontId="20" fillId="0" borderId="0" xfId="0" applyFont="1"/>
    <xf numFmtId="0" fontId="21" fillId="2" borderId="1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3" xfId="0" applyNumberFormat="1" applyFill="1" applyBorder="1"/>
    <xf numFmtId="0" fontId="0" fillId="0" borderId="0" xfId="0" applyFill="1"/>
    <xf numFmtId="0" fontId="0" fillId="0" borderId="3" xfId="0" applyFill="1" applyBorder="1"/>
    <xf numFmtId="0" fontId="0" fillId="0" borderId="0" xfId="0" applyBorder="1"/>
    <xf numFmtId="0" fontId="17" fillId="36" borderId="2" xfId="0" applyFont="1" applyFill="1" applyBorder="1"/>
    <xf numFmtId="0" fontId="14" fillId="35" borderId="2" xfId="0" applyFont="1" applyFill="1" applyBorder="1"/>
    <xf numFmtId="0" fontId="17" fillId="0" borderId="18" xfId="0" applyFont="1" applyFill="1" applyBorder="1"/>
    <xf numFmtId="0" fontId="0" fillId="0" borderId="20" xfId="0" applyFill="1" applyBorder="1"/>
    <xf numFmtId="0" fontId="14" fillId="37" borderId="2" xfId="0" applyNumberFormat="1" applyFont="1" applyFill="1" applyBorder="1" applyAlignment="1">
      <alignment horizontal="center" vertical="center"/>
    </xf>
    <xf numFmtId="14" fontId="0" fillId="0" borderId="3" xfId="0" applyNumberFormat="1" applyFill="1" applyBorder="1"/>
    <xf numFmtId="0" fontId="17" fillId="2" borderId="2" xfId="0" applyFont="1" applyFill="1" applyBorder="1" applyAlignment="1">
      <alignment vertical="center"/>
    </xf>
    <xf numFmtId="43" fontId="0" fillId="0" borderId="3" xfId="56" applyFont="1" applyFill="1" applyBorder="1"/>
    <xf numFmtId="0" fontId="20" fillId="0" borderId="3" xfId="0" applyNumberFormat="1" applyFont="1" applyFill="1" applyBorder="1"/>
    <xf numFmtId="0" fontId="0" fillId="38" borderId="0" xfId="0" applyFill="1"/>
    <xf numFmtId="0" fontId="0" fillId="38" borderId="0" xfId="0" quotePrefix="1" applyFill="1"/>
    <xf numFmtId="0" fontId="17" fillId="38" borderId="2" xfId="0" applyFont="1" applyFill="1" applyBorder="1" applyAlignment="1">
      <alignment horizontal="left"/>
    </xf>
    <xf numFmtId="0" fontId="23" fillId="38" borderId="0" xfId="0" quotePrefix="1" applyFont="1" applyFill="1" applyBorder="1" applyAlignment="1"/>
    <xf numFmtId="0" fontId="0" fillId="38" borderId="16" xfId="0" applyFill="1" applyBorder="1" applyAlignment="1">
      <alignment horizontal="left"/>
    </xf>
    <xf numFmtId="0" fontId="0" fillId="38" borderId="0" xfId="0" applyFill="1" applyBorder="1" applyAlignment="1">
      <alignment horizontal="left"/>
    </xf>
    <xf numFmtId="0" fontId="0" fillId="38" borderId="23" xfId="0" applyFill="1" applyBorder="1" applyAlignment="1">
      <alignment horizontal="left"/>
    </xf>
    <xf numFmtId="0" fontId="0" fillId="38" borderId="14" xfId="0" applyFill="1" applyBorder="1" applyAlignment="1">
      <alignment horizontal="left"/>
    </xf>
    <xf numFmtId="0" fontId="0" fillId="38" borderId="13" xfId="0" applyFill="1" applyBorder="1" applyAlignment="1">
      <alignment horizontal="left"/>
    </xf>
    <xf numFmtId="0" fontId="0" fillId="38" borderId="15" xfId="0" applyFill="1" applyBorder="1" applyAlignment="1">
      <alignment horizontal="left"/>
    </xf>
    <xf numFmtId="0" fontId="23" fillId="38" borderId="16" xfId="0" quotePrefix="1" applyFont="1" applyFill="1" applyBorder="1" applyAlignment="1">
      <alignment horizontal="left" indent="10"/>
    </xf>
    <xf numFmtId="0" fontId="23" fillId="38" borderId="0" xfId="0" quotePrefix="1" applyFont="1" applyFill="1" applyBorder="1" applyAlignment="1">
      <alignment horizontal="left" indent="10"/>
    </xf>
    <xf numFmtId="0" fontId="23" fillId="38" borderId="23" xfId="0" quotePrefix="1" applyFont="1" applyFill="1" applyBorder="1" applyAlignment="1">
      <alignment horizontal="left" indent="10"/>
    </xf>
    <xf numFmtId="0" fontId="0" fillId="38" borderId="21" xfId="0" applyFill="1" applyBorder="1" applyAlignment="1">
      <alignment horizontal="left"/>
    </xf>
    <xf numFmtId="0" fontId="0" fillId="38" borderId="22" xfId="0" applyFill="1" applyBorder="1" applyAlignment="1">
      <alignment horizontal="left"/>
    </xf>
    <xf numFmtId="0" fontId="0" fillId="38" borderId="17" xfId="0" applyFill="1" applyBorder="1" applyAlignment="1">
      <alignment horizontal="left"/>
    </xf>
    <xf numFmtId="0" fontId="22" fillId="35" borderId="0" xfId="0" applyFont="1" applyFill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0" fillId="38" borderId="16" xfId="0" quotePrefix="1" applyFont="1" applyFill="1" applyBorder="1" applyAlignment="1">
      <alignment horizontal="left"/>
    </xf>
    <xf numFmtId="0" fontId="0" fillId="38" borderId="0" xfId="0" quotePrefix="1" applyFont="1" applyFill="1" applyBorder="1" applyAlignment="1">
      <alignment horizontal="left"/>
    </xf>
    <xf numFmtId="0" fontId="0" fillId="38" borderId="23" xfId="0" quotePrefix="1" applyFont="1" applyFill="1" applyBorder="1" applyAlignment="1">
      <alignment horizontal="left"/>
    </xf>
    <xf numFmtId="0" fontId="23" fillId="38" borderId="16" xfId="0" quotePrefix="1" applyFont="1" applyFill="1" applyBorder="1" applyAlignment="1">
      <alignment horizontal="left" indent="5"/>
    </xf>
    <xf numFmtId="0" fontId="23" fillId="38" borderId="0" xfId="0" quotePrefix="1" applyFont="1" applyFill="1" applyBorder="1" applyAlignment="1">
      <alignment horizontal="left" indent="5"/>
    </xf>
    <xf numFmtId="0" fontId="23" fillId="38" borderId="23" xfId="0" quotePrefix="1" applyFont="1" applyFill="1" applyBorder="1" applyAlignment="1">
      <alignment horizontal="left" indent="5"/>
    </xf>
    <xf numFmtId="0" fontId="17" fillId="38" borderId="16" xfId="0" applyFont="1" applyFill="1" applyBorder="1" applyAlignment="1">
      <alignment horizontal="left" indent="2"/>
    </xf>
    <xf numFmtId="0" fontId="17" fillId="38" borderId="0" xfId="0" applyFont="1" applyFill="1" applyBorder="1" applyAlignment="1">
      <alignment horizontal="left" indent="2"/>
    </xf>
    <xf numFmtId="0" fontId="17" fillId="38" borderId="23" xfId="0" applyFont="1" applyFill="1" applyBorder="1" applyAlignment="1">
      <alignment horizontal="left" indent="2"/>
    </xf>
    <xf numFmtId="0" fontId="14" fillId="37" borderId="2" xfId="0" applyFont="1" applyFill="1" applyBorder="1" applyAlignment="1">
      <alignment horizontal="center"/>
    </xf>
    <xf numFmtId="0" fontId="14" fillId="37" borderId="19" xfId="0" applyFont="1" applyFill="1" applyBorder="1" applyAlignment="1">
      <alignment horizontal="center"/>
    </xf>
    <xf numFmtId="0" fontId="21" fillId="36" borderId="2" xfId="0" applyFont="1" applyFill="1" applyBorder="1" applyAlignment="1">
      <alignment horizontal="center"/>
    </xf>
    <xf numFmtId="0" fontId="21" fillId="2" borderId="2" xfId="0" applyNumberFormat="1" applyFont="1" applyFill="1" applyBorder="1" applyAlignment="1">
      <alignment horizontal="center"/>
    </xf>
    <xf numFmtId="0" fontId="14" fillId="35" borderId="2" xfId="0" applyNumberFormat="1" applyFont="1" applyFill="1" applyBorder="1" applyAlignment="1">
      <alignment horizontal="center"/>
    </xf>
    <xf numFmtId="0" fontId="17" fillId="0" borderId="2" xfId="0" applyFont="1" applyFill="1" applyBorder="1" applyAlignment="1">
      <alignment horizontal="left"/>
    </xf>
  </cellXfs>
  <cellStyles count="57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7" builtinId="27" customBuiltin="1"/>
    <cellStyle name="Calculation" xfId="21" builtinId="22" customBuiltin="1"/>
    <cellStyle name="Check Cell" xfId="23" builtinId="23" customBuiltin="1"/>
    <cellStyle name="Comma" xfId="56" builtinId="3"/>
    <cellStyle name="Comma 13" xfId="1"/>
    <cellStyle name="Comma 13 2" xfId="52"/>
    <cellStyle name="Comma 14" xfId="2"/>
    <cellStyle name="Comma 14 2" xfId="53"/>
    <cellStyle name="Comma 2" xfId="3"/>
    <cellStyle name="Comma 2 2" xfId="54"/>
    <cellStyle name="Currency 14" xfId="4"/>
    <cellStyle name="Currency 2" xfId="5"/>
    <cellStyle name="Currency 2 2" xfId="55"/>
    <cellStyle name="Explanatory Text" xfId="26" builtinId="53" customBuiltin="1"/>
    <cellStyle name="Good" xfId="16" builtinId="26" customBuiltin="1"/>
    <cellStyle name="Heading 1" xfId="12" builtinId="16" customBuiltin="1"/>
    <cellStyle name="Heading 2" xfId="13" builtinId="17" customBuiltin="1"/>
    <cellStyle name="Heading 3" xfId="14" builtinId="18" customBuiltin="1"/>
    <cellStyle name="Heading 4" xfId="15" builtinId="19" customBuiltin="1"/>
    <cellStyle name="Input" xfId="19" builtinId="20" customBuiltin="1"/>
    <cellStyle name="Linked Cell" xfId="22" builtinId="24" customBuiltin="1"/>
    <cellStyle name="Neutral" xfId="18" builtinId="28" customBuiltin="1"/>
    <cellStyle name="Normal" xfId="0" builtinId="0"/>
    <cellStyle name="Normal 11" xfId="6"/>
    <cellStyle name="Normal 12" xfId="7"/>
    <cellStyle name="Normal 14" xfId="8"/>
    <cellStyle name="Normal 3" xfId="9"/>
    <cellStyle name="Normal 30" xfId="10"/>
    <cellStyle name="Note" xfId="25" builtinId="10" customBuiltin="1"/>
    <cellStyle name="Output" xfId="20" builtinId="21" customBuiltin="1"/>
    <cellStyle name="Title" xfId="11" builtinId="15" customBuiltin="1"/>
    <cellStyle name="Total" xfId="27" builtinId="25" customBuiltin="1"/>
    <cellStyle name="Warning Text" xfId="24" builtinId="11" customBuiltin="1"/>
  </cellStyles>
  <dxfs count="0"/>
  <tableStyles count="0" defaultTableStyle="TableStyleMedium2" defaultPivotStyle="PivotStyleLight16"/>
  <colors>
    <mruColors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1</xdr:row>
          <xdr:rowOff>57150</xdr:rowOff>
        </xdr:from>
        <xdr:to>
          <xdr:col>6</xdr:col>
          <xdr:colOff>1514475</xdr:colOff>
          <xdr:row>3</xdr:row>
          <xdr:rowOff>57150</xdr:rowOff>
        </xdr:to>
        <xdr:sp macro="" textlink="">
          <xdr:nvSpPr>
            <xdr:cNvPr id="3073" name="WorkfileWB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Save to db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"/>
  <sheetViews>
    <sheetView workbookViewId="0"/>
  </sheetViews>
  <sheetFormatPr defaultRowHeight="15" x14ac:dyDescent="0.25"/>
  <sheetData>
    <row r="1" spans="1:4" ht="409.5" x14ac:dyDescent="0.25">
      <c r="A1" t="s">
        <v>3</v>
      </c>
      <c r="B1">
        <v>1</v>
      </c>
      <c r="C1" t="b">
        <v>0</v>
      </c>
      <c r="D1" s="2" t="s">
        <v>17</v>
      </c>
    </row>
    <row r="2" spans="1:4" ht="409.5" x14ac:dyDescent="0.25">
      <c r="A2" t="s">
        <v>12</v>
      </c>
      <c r="B2">
        <v>1</v>
      </c>
      <c r="C2" t="b">
        <v>0</v>
      </c>
      <c r="D2" s="2" t="s">
        <v>18</v>
      </c>
    </row>
    <row r="3" spans="1:4" ht="409.5" x14ac:dyDescent="0.25">
      <c r="A3" t="s">
        <v>13</v>
      </c>
      <c r="B3">
        <v>1</v>
      </c>
      <c r="C3" t="b">
        <v>0</v>
      </c>
      <c r="D3" s="2" t="s">
        <v>34</v>
      </c>
    </row>
    <row r="4" spans="1:4" ht="409.5" x14ac:dyDescent="0.25">
      <c r="A4" t="s">
        <v>6</v>
      </c>
      <c r="B4">
        <v>1</v>
      </c>
      <c r="C4" t="b">
        <v>0</v>
      </c>
      <c r="D4" s="2" t="s">
        <v>16</v>
      </c>
    </row>
    <row r="5" spans="1:4" ht="409.5" x14ac:dyDescent="0.25">
      <c r="A5" t="s">
        <v>14</v>
      </c>
      <c r="B5">
        <v>1</v>
      </c>
      <c r="C5" t="b">
        <v>0</v>
      </c>
      <c r="D5" s="2" t="s">
        <v>15</v>
      </c>
    </row>
    <row r="6" spans="1:4" x14ac:dyDescent="0.25">
      <c r="A6" t="s">
        <v>21</v>
      </c>
      <c r="B6" s="4">
        <v>128</v>
      </c>
      <c r="C6" t="b">
        <v>0</v>
      </c>
      <c r="D6" s="11" t="s">
        <v>19</v>
      </c>
    </row>
    <row r="7" spans="1:4" ht="409.5" x14ac:dyDescent="0.25">
      <c r="A7" t="s">
        <v>5</v>
      </c>
      <c r="B7">
        <v>1</v>
      </c>
      <c r="C7" t="b">
        <v>0</v>
      </c>
      <c r="D7" s="2" t="s">
        <v>33</v>
      </c>
    </row>
    <row r="8" spans="1:4" ht="409.5" x14ac:dyDescent="0.25">
      <c r="A8" t="s">
        <v>44</v>
      </c>
      <c r="B8">
        <v>1</v>
      </c>
      <c r="C8" t="b">
        <v>0</v>
      </c>
      <c r="D8" s="2" t="s">
        <v>45</v>
      </c>
    </row>
    <row r="9" spans="1:4" ht="409.5" x14ac:dyDescent="0.25">
      <c r="A9" t="s">
        <v>46</v>
      </c>
      <c r="B9">
        <v>1</v>
      </c>
      <c r="C9" t="b">
        <v>0</v>
      </c>
      <c r="D9" s="2" t="s">
        <v>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Q33"/>
  <sheetViews>
    <sheetView zoomScaleNormal="100" workbookViewId="0">
      <selection activeCell="C14" sqref="C14:P14"/>
    </sheetView>
  </sheetViews>
  <sheetFormatPr defaultRowHeight="15" x14ac:dyDescent="0.25"/>
  <cols>
    <col min="1" max="15" width="9.140625" style="29"/>
    <col min="16" max="16" width="9.85546875" style="29" customWidth="1"/>
    <col min="17" max="16384" width="9.140625" style="29"/>
  </cols>
  <sheetData>
    <row r="2" spans="2:17" ht="15" customHeight="1" x14ac:dyDescent="0.25">
      <c r="B2" s="45" t="s">
        <v>22</v>
      </c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</row>
    <row r="3" spans="2:17" ht="15" customHeight="1" x14ac:dyDescent="0.25"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</row>
    <row r="4" spans="2:17" ht="15" customHeight="1" x14ac:dyDescent="0.25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</row>
    <row r="5" spans="2:17" x14ac:dyDescent="0.25">
      <c r="B5" s="31">
        <v>1</v>
      </c>
      <c r="C5" s="42" t="s">
        <v>52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4"/>
    </row>
    <row r="6" spans="2:17" x14ac:dyDescent="0.25">
      <c r="B6" s="31">
        <v>2</v>
      </c>
      <c r="C6" s="33" t="s">
        <v>53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5"/>
    </row>
    <row r="7" spans="2:17" x14ac:dyDescent="0.25">
      <c r="B7" s="31">
        <v>3</v>
      </c>
      <c r="C7" s="33" t="s">
        <v>54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5"/>
    </row>
    <row r="8" spans="2:17" x14ac:dyDescent="0.25">
      <c r="B8" s="31">
        <v>4</v>
      </c>
      <c r="C8" s="33" t="s">
        <v>55</v>
      </c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5"/>
    </row>
    <row r="9" spans="2:17" x14ac:dyDescent="0.25">
      <c r="B9" s="31" t="s">
        <v>48</v>
      </c>
      <c r="C9" s="53" t="s">
        <v>20</v>
      </c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5"/>
    </row>
    <row r="10" spans="2:17" x14ac:dyDescent="0.25">
      <c r="B10" s="31" t="s">
        <v>49</v>
      </c>
      <c r="C10" s="50" t="s">
        <v>56</v>
      </c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2"/>
    </row>
    <row r="11" spans="2:17" x14ac:dyDescent="0.25">
      <c r="B11" s="31" t="s">
        <v>50</v>
      </c>
      <c r="C11" s="50" t="s">
        <v>57</v>
      </c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2"/>
    </row>
    <row r="12" spans="2:17" x14ac:dyDescent="0.25">
      <c r="B12" s="31" t="s">
        <v>51</v>
      </c>
      <c r="C12" s="39" t="s">
        <v>58</v>
      </c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1"/>
      <c r="Q12" s="32"/>
    </row>
    <row r="13" spans="2:17" x14ac:dyDescent="0.25">
      <c r="B13" s="31">
        <v>5</v>
      </c>
      <c r="C13" s="47" t="s">
        <v>61</v>
      </c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9"/>
      <c r="Q13" s="32"/>
    </row>
    <row r="14" spans="2:17" x14ac:dyDescent="0.25">
      <c r="B14" s="31">
        <v>6</v>
      </c>
      <c r="C14" s="50" t="s">
        <v>60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2"/>
      <c r="Q14" s="32"/>
    </row>
    <row r="15" spans="2:17" x14ac:dyDescent="0.25">
      <c r="B15" s="31">
        <v>7</v>
      </c>
      <c r="C15" s="33" t="s">
        <v>59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5"/>
    </row>
    <row r="16" spans="2:17" x14ac:dyDescent="0.25">
      <c r="B16" s="31"/>
      <c r="C16" s="36" t="s">
        <v>24</v>
      </c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8"/>
    </row>
    <row r="30" spans="3:4" x14ac:dyDescent="0.25">
      <c r="C30" s="30"/>
    </row>
    <row r="31" spans="3:4" x14ac:dyDescent="0.25">
      <c r="C31" s="30"/>
    </row>
    <row r="32" spans="3:4" x14ac:dyDescent="0.25">
      <c r="D32" s="30"/>
    </row>
    <row r="33" spans="4:4" x14ac:dyDescent="0.25">
      <c r="D33" s="30"/>
    </row>
  </sheetData>
  <mergeCells count="13">
    <mergeCell ref="B2:P4"/>
    <mergeCell ref="C13:P13"/>
    <mergeCell ref="C14:P14"/>
    <mergeCell ref="C8:P8"/>
    <mergeCell ref="C9:P9"/>
    <mergeCell ref="C10:P10"/>
    <mergeCell ref="C11:P11"/>
    <mergeCell ref="C15:P15"/>
    <mergeCell ref="C16:P16"/>
    <mergeCell ref="C12:P12"/>
    <mergeCell ref="C7:P7"/>
    <mergeCell ref="C5:P5"/>
    <mergeCell ref="C6:P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5106"/>
  <sheetViews>
    <sheetView tabSelected="1" workbookViewId="0">
      <pane ySplit="1" topLeftCell="A2" activePane="bottomLeft" state="frozen"/>
      <selection pane="bottomLeft" activeCell="D18" sqref="D18"/>
    </sheetView>
  </sheetViews>
  <sheetFormatPr defaultRowHeight="15" x14ac:dyDescent="0.25"/>
  <cols>
    <col min="1" max="1" width="13.42578125" style="4" customWidth="1"/>
    <col min="2" max="2" width="17.5703125" customWidth="1"/>
    <col min="3" max="3" width="23.85546875" customWidth="1"/>
    <col min="4" max="4" width="21.42578125" customWidth="1"/>
    <col min="5" max="5" width="17.28515625" customWidth="1"/>
    <col min="6" max="6" width="18.7109375" customWidth="1"/>
    <col min="7" max="7" width="41.140625" customWidth="1"/>
    <col min="10" max="10" width="14" customWidth="1"/>
    <col min="14" max="14" width="13.28515625" customWidth="1"/>
    <col min="17" max="17" width="14.85546875" customWidth="1"/>
    <col min="18" max="18" width="17.140625" customWidth="1"/>
  </cols>
  <sheetData>
    <row r="1" spans="1:23" x14ac:dyDescent="0.25">
      <c r="A1" s="9" t="s">
        <v>23</v>
      </c>
      <c r="B1" s="6" t="s">
        <v>25</v>
      </c>
      <c r="C1" s="6" t="s">
        <v>26</v>
      </c>
      <c r="D1" s="7" t="s">
        <v>27</v>
      </c>
      <c r="E1" s="8" t="s">
        <v>28</v>
      </c>
      <c r="F1" s="9" t="s">
        <v>29</v>
      </c>
      <c r="G1" s="6" t="s">
        <v>30</v>
      </c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s="10" customFormat="1" x14ac:dyDescent="0.25">
      <c r="D2" s="12"/>
    </row>
    <row r="3" spans="1:23" s="10" customFormat="1" x14ac:dyDescent="0.25">
      <c r="D3" s="12"/>
    </row>
    <row r="4" spans="1:23" s="10" customFormat="1" x14ac:dyDescent="0.25">
      <c r="D4" s="12"/>
    </row>
    <row r="5" spans="1:23" s="10" customFormat="1" x14ac:dyDescent="0.25">
      <c r="D5" s="12"/>
    </row>
    <row r="6" spans="1:23" s="10" customFormat="1" x14ac:dyDescent="0.25">
      <c r="D6" s="12"/>
    </row>
    <row r="7" spans="1:23" s="10" customFormat="1" x14ac:dyDescent="0.25">
      <c r="D7" s="12"/>
    </row>
    <row r="8" spans="1:23" s="10" customFormat="1" x14ac:dyDescent="0.25">
      <c r="D8" s="12"/>
    </row>
    <row r="9" spans="1:23" s="10" customFormat="1" x14ac:dyDescent="0.25">
      <c r="D9" s="12"/>
    </row>
    <row r="10" spans="1:23" s="10" customFormat="1" x14ac:dyDescent="0.25">
      <c r="D10" s="12"/>
    </row>
    <row r="11" spans="1:23" s="10" customFormat="1" x14ac:dyDescent="0.25">
      <c r="D11" s="12"/>
    </row>
    <row r="12" spans="1:23" s="10" customFormat="1" x14ac:dyDescent="0.25">
      <c r="D12" s="12"/>
    </row>
    <row r="13" spans="1:23" s="10" customFormat="1" x14ac:dyDescent="0.25">
      <c r="D13" s="12"/>
    </row>
    <row r="14" spans="1:23" s="10" customFormat="1" x14ac:dyDescent="0.25">
      <c r="D14" s="12"/>
    </row>
    <row r="15" spans="1:23" s="10" customFormat="1" x14ac:dyDescent="0.25">
      <c r="D15" s="12"/>
    </row>
    <row r="16" spans="1:23" s="10" customFormat="1" x14ac:dyDescent="0.25">
      <c r="D16" s="12"/>
    </row>
    <row r="17" spans="4:4" s="10" customFormat="1" x14ac:dyDescent="0.25">
      <c r="D17" s="12"/>
    </row>
    <row r="18" spans="4:4" s="10" customFormat="1" x14ac:dyDescent="0.25">
      <c r="D18" s="12"/>
    </row>
    <row r="19" spans="4:4" s="10" customFormat="1" x14ac:dyDescent="0.25">
      <c r="D19" s="12"/>
    </row>
    <row r="20" spans="4:4" s="10" customFormat="1" x14ac:dyDescent="0.25">
      <c r="D20" s="12"/>
    </row>
    <row r="21" spans="4:4" s="10" customFormat="1" x14ac:dyDescent="0.25">
      <c r="D21" s="12"/>
    </row>
    <row r="22" spans="4:4" s="10" customFormat="1" x14ac:dyDescent="0.25">
      <c r="D22" s="12"/>
    </row>
    <row r="23" spans="4:4" s="10" customFormat="1" x14ac:dyDescent="0.25">
      <c r="D23" s="12"/>
    </row>
    <row r="24" spans="4:4" s="10" customFormat="1" x14ac:dyDescent="0.25">
      <c r="D24" s="12"/>
    </row>
    <row r="25" spans="4:4" s="10" customFormat="1" x14ac:dyDescent="0.25">
      <c r="D25" s="12"/>
    </row>
    <row r="26" spans="4:4" s="10" customFormat="1" x14ac:dyDescent="0.25">
      <c r="D26" s="12"/>
    </row>
    <row r="27" spans="4:4" s="10" customFormat="1" x14ac:dyDescent="0.25">
      <c r="D27" s="12"/>
    </row>
    <row r="28" spans="4:4" s="10" customFormat="1" x14ac:dyDescent="0.25">
      <c r="D28" s="12"/>
    </row>
    <row r="29" spans="4:4" s="10" customFormat="1" x14ac:dyDescent="0.25">
      <c r="D29" s="12"/>
    </row>
    <row r="30" spans="4:4" s="10" customFormat="1" x14ac:dyDescent="0.25">
      <c r="D30" s="12"/>
    </row>
    <row r="31" spans="4:4" s="10" customFormat="1" x14ac:dyDescent="0.25">
      <c r="D31" s="12"/>
    </row>
    <row r="32" spans="4:4" s="10" customFormat="1" x14ac:dyDescent="0.25">
      <c r="D32" s="12"/>
    </row>
    <row r="33" spans="1:23" s="10" customFormat="1" x14ac:dyDescent="0.25">
      <c r="D33" s="12"/>
    </row>
    <row r="34" spans="1:23" s="10" customFormat="1" x14ac:dyDescent="0.25">
      <c r="D34" s="12"/>
    </row>
    <row r="35" spans="1:23" x14ac:dyDescent="0.25">
      <c r="A35" s="10"/>
      <c r="B35" s="10"/>
      <c r="C35" s="10"/>
      <c r="D35" s="12"/>
      <c r="E35" s="10"/>
      <c r="F35" s="10"/>
      <c r="G35" s="10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25">
      <c r="A36" s="10"/>
      <c r="B36" s="10"/>
      <c r="C36" s="10"/>
      <c r="D36" s="12"/>
      <c r="E36" s="10"/>
      <c r="F36" s="10"/>
      <c r="G36" s="10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25">
      <c r="A37" s="10"/>
      <c r="B37" s="10"/>
      <c r="C37" s="10"/>
      <c r="D37" s="12"/>
      <c r="E37" s="10"/>
      <c r="F37" s="10"/>
      <c r="G37" s="10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25">
      <c r="A38" s="10"/>
      <c r="B38" s="10"/>
      <c r="C38" s="10"/>
      <c r="D38" s="12"/>
      <c r="E38" s="10"/>
      <c r="F38" s="10"/>
      <c r="G38" s="10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25">
      <c r="A39" s="10"/>
      <c r="B39" s="10"/>
      <c r="C39" s="10"/>
      <c r="D39" s="12"/>
      <c r="E39" s="10"/>
      <c r="F39" s="10"/>
      <c r="G39" s="10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25">
      <c r="A40" s="10"/>
      <c r="B40" s="10"/>
      <c r="C40" s="10"/>
      <c r="D40" s="12"/>
      <c r="E40" s="10"/>
      <c r="F40" s="10"/>
      <c r="G40" s="10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25">
      <c r="A41" s="10"/>
      <c r="B41" s="10"/>
      <c r="C41" s="10"/>
      <c r="D41" s="12"/>
      <c r="E41" s="10"/>
      <c r="F41" s="10"/>
      <c r="G41" s="10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25">
      <c r="A42" s="10"/>
      <c r="B42" s="10"/>
      <c r="C42" s="10"/>
      <c r="D42" s="12"/>
      <c r="E42" s="10"/>
      <c r="F42" s="10"/>
      <c r="G42" s="10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x14ac:dyDescent="0.25">
      <c r="A43" s="10"/>
      <c r="B43" s="10"/>
      <c r="C43" s="10"/>
      <c r="D43" s="12"/>
      <c r="E43" s="10"/>
      <c r="F43" s="10"/>
      <c r="G43" s="10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x14ac:dyDescent="0.25">
      <c r="A44" s="10"/>
      <c r="B44" s="10"/>
      <c r="C44" s="10"/>
      <c r="D44" s="12"/>
      <c r="E44" s="10"/>
      <c r="F44" s="10"/>
      <c r="G44" s="10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x14ac:dyDescent="0.25">
      <c r="A45" s="10"/>
      <c r="B45" s="10"/>
      <c r="C45" s="10"/>
      <c r="D45" s="12"/>
      <c r="E45" s="10"/>
      <c r="F45" s="10"/>
      <c r="G45" s="10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x14ac:dyDescent="0.25">
      <c r="A46" s="10"/>
      <c r="B46" s="10"/>
      <c r="C46" s="10"/>
      <c r="D46" s="12"/>
      <c r="E46" s="10"/>
      <c r="F46" s="10"/>
      <c r="G46" s="10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x14ac:dyDescent="0.25">
      <c r="A47" s="10"/>
      <c r="B47" s="10"/>
      <c r="C47" s="10"/>
      <c r="D47" s="12"/>
      <c r="E47" s="10"/>
      <c r="F47" s="10"/>
      <c r="G47" s="10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x14ac:dyDescent="0.25">
      <c r="A48" s="10"/>
      <c r="B48" s="10"/>
      <c r="C48" s="10"/>
      <c r="D48" s="12"/>
      <c r="E48" s="10"/>
      <c r="F48" s="10"/>
      <c r="G48" s="10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x14ac:dyDescent="0.25">
      <c r="A49" s="10"/>
      <c r="B49" s="10"/>
      <c r="C49" s="10"/>
      <c r="D49" s="12"/>
      <c r="E49" s="10"/>
      <c r="F49" s="10"/>
      <c r="G49" s="10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x14ac:dyDescent="0.25">
      <c r="A50" s="10"/>
      <c r="B50" s="10"/>
      <c r="C50" s="10"/>
      <c r="D50" s="12"/>
      <c r="E50" s="10"/>
      <c r="F50" s="10"/>
      <c r="G50" s="10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x14ac:dyDescent="0.25">
      <c r="A51" s="10"/>
      <c r="B51" s="10"/>
      <c r="C51" s="10"/>
      <c r="D51" s="12"/>
      <c r="E51" s="10"/>
      <c r="F51" s="10"/>
      <c r="G51" s="10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x14ac:dyDescent="0.25">
      <c r="A52" s="10"/>
      <c r="B52" s="10"/>
      <c r="C52" s="10"/>
      <c r="D52" s="12"/>
      <c r="E52" s="10"/>
      <c r="F52" s="10"/>
      <c r="G52" s="10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x14ac:dyDescent="0.25">
      <c r="A53" s="10"/>
      <c r="B53" s="10"/>
      <c r="C53" s="10"/>
      <c r="D53" s="12"/>
      <c r="E53" s="10"/>
      <c r="F53" s="10"/>
      <c r="G53" s="10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x14ac:dyDescent="0.25">
      <c r="A54" s="10"/>
      <c r="B54" s="10"/>
      <c r="C54" s="10"/>
      <c r="D54" s="12"/>
      <c r="E54" s="10"/>
      <c r="F54" s="10"/>
      <c r="G54" s="10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x14ac:dyDescent="0.25">
      <c r="A55" s="10"/>
      <c r="B55" s="10"/>
      <c r="C55" s="10"/>
      <c r="D55" s="12"/>
      <c r="E55" s="10"/>
      <c r="F55" s="10"/>
      <c r="G55" s="10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x14ac:dyDescent="0.25">
      <c r="A56" s="10"/>
      <c r="B56" s="10"/>
      <c r="C56" s="10"/>
      <c r="D56" s="12"/>
      <c r="E56" s="10"/>
      <c r="F56" s="10"/>
      <c r="G56" s="10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x14ac:dyDescent="0.25">
      <c r="A57" s="10"/>
      <c r="B57" s="10"/>
      <c r="C57" s="10"/>
      <c r="D57" s="12"/>
      <c r="E57" s="10"/>
      <c r="F57" s="10"/>
      <c r="G57" s="10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x14ac:dyDescent="0.25">
      <c r="A58" s="10"/>
      <c r="B58" s="10"/>
      <c r="C58" s="10"/>
      <c r="D58" s="12"/>
      <c r="E58" s="10"/>
      <c r="F58" s="10"/>
      <c r="G58" s="10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x14ac:dyDescent="0.25">
      <c r="A59" s="10"/>
      <c r="B59" s="10"/>
      <c r="C59" s="10"/>
      <c r="D59" s="12"/>
      <c r="E59" s="10"/>
      <c r="F59" s="10"/>
      <c r="G59" s="10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x14ac:dyDescent="0.25">
      <c r="A60" s="10"/>
      <c r="B60" s="10"/>
      <c r="C60" s="10"/>
      <c r="D60" s="12"/>
      <c r="E60" s="10"/>
      <c r="F60" s="10"/>
      <c r="G60" s="10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x14ac:dyDescent="0.25">
      <c r="A61" s="10"/>
      <c r="B61" s="10"/>
      <c r="C61" s="10"/>
      <c r="D61" s="12"/>
      <c r="E61" s="10"/>
      <c r="F61" s="10"/>
      <c r="G61" s="10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x14ac:dyDescent="0.25">
      <c r="A62" s="10"/>
      <c r="B62" s="10"/>
      <c r="C62" s="10"/>
      <c r="D62" s="12"/>
      <c r="E62" s="10"/>
      <c r="F62" s="10"/>
      <c r="G62" s="10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x14ac:dyDescent="0.25">
      <c r="A63" s="10"/>
      <c r="B63" s="10"/>
      <c r="C63" s="10"/>
      <c r="D63" s="12"/>
      <c r="E63" s="10"/>
      <c r="F63" s="10"/>
      <c r="G63" s="10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x14ac:dyDescent="0.25">
      <c r="A64" s="10"/>
      <c r="B64" s="10"/>
      <c r="C64" s="10"/>
      <c r="D64" s="12"/>
      <c r="E64" s="10"/>
      <c r="F64" s="10"/>
      <c r="G64" s="10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x14ac:dyDescent="0.25">
      <c r="A65" s="10"/>
      <c r="B65" s="10"/>
      <c r="C65" s="10"/>
      <c r="D65" s="12"/>
      <c r="E65" s="10"/>
      <c r="F65" s="10"/>
      <c r="G65" s="10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x14ac:dyDescent="0.25">
      <c r="A66" s="10"/>
      <c r="B66" s="10"/>
      <c r="C66" s="10"/>
      <c r="D66" s="12"/>
      <c r="E66" s="10"/>
      <c r="F66" s="10"/>
      <c r="G66" s="10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x14ac:dyDescent="0.25">
      <c r="A67" s="10"/>
      <c r="B67" s="10"/>
      <c r="C67" s="10"/>
      <c r="D67" s="12"/>
      <c r="E67" s="10"/>
      <c r="F67" s="10"/>
      <c r="G67" s="10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x14ac:dyDescent="0.25">
      <c r="A68" s="10"/>
      <c r="B68" s="10"/>
      <c r="C68" s="10"/>
      <c r="D68" s="12"/>
      <c r="E68" s="10"/>
      <c r="F68" s="10"/>
      <c r="G68" s="10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x14ac:dyDescent="0.25">
      <c r="A69" s="10"/>
      <c r="B69" s="10"/>
      <c r="C69" s="10"/>
      <c r="D69" s="12"/>
      <c r="E69" s="10"/>
      <c r="F69" s="10"/>
      <c r="G69" s="10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x14ac:dyDescent="0.25">
      <c r="A70" s="10"/>
      <c r="B70" s="10"/>
      <c r="C70" s="10"/>
      <c r="D70" s="12"/>
      <c r="E70" s="10"/>
      <c r="F70" s="10"/>
      <c r="G70" s="10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x14ac:dyDescent="0.25">
      <c r="A71" s="10"/>
      <c r="B71" s="10"/>
      <c r="C71" s="10"/>
      <c r="D71" s="12"/>
      <c r="E71" s="10"/>
      <c r="F71" s="10"/>
      <c r="G71" s="10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x14ac:dyDescent="0.25">
      <c r="A72" s="10"/>
      <c r="B72" s="10"/>
      <c r="C72" s="10"/>
      <c r="D72" s="12"/>
      <c r="E72" s="10"/>
      <c r="F72" s="10"/>
      <c r="G72" s="10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x14ac:dyDescent="0.25">
      <c r="A73" s="10"/>
      <c r="B73" s="10"/>
      <c r="C73" s="10"/>
      <c r="D73" s="12"/>
      <c r="E73" s="10"/>
      <c r="F73" s="10"/>
      <c r="G73" s="10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x14ac:dyDescent="0.25">
      <c r="A74" s="10"/>
      <c r="B74" s="10"/>
      <c r="C74" s="10"/>
      <c r="D74" s="12"/>
      <c r="E74" s="10"/>
      <c r="F74" s="10"/>
      <c r="G74" s="10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x14ac:dyDescent="0.25">
      <c r="A75" s="10"/>
      <c r="B75" s="10"/>
      <c r="C75" s="10"/>
      <c r="D75" s="12"/>
      <c r="E75" s="10"/>
      <c r="F75" s="10"/>
      <c r="G75" s="10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x14ac:dyDescent="0.25">
      <c r="A76" s="10"/>
      <c r="B76" s="10"/>
      <c r="C76" s="10"/>
      <c r="D76" s="12"/>
      <c r="E76" s="10"/>
      <c r="F76" s="10"/>
      <c r="G76" s="10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x14ac:dyDescent="0.25">
      <c r="A77" s="10"/>
      <c r="B77" s="10"/>
      <c r="C77" s="10"/>
      <c r="D77" s="12"/>
      <c r="E77" s="10"/>
      <c r="F77" s="10"/>
      <c r="G77" s="10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x14ac:dyDescent="0.25">
      <c r="A78" s="10"/>
      <c r="B78" s="10"/>
      <c r="C78" s="10"/>
      <c r="D78" s="12"/>
      <c r="E78" s="10"/>
      <c r="F78" s="10"/>
      <c r="G78" s="10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x14ac:dyDescent="0.25">
      <c r="A79" s="10"/>
      <c r="B79" s="10"/>
      <c r="C79" s="10"/>
      <c r="D79" s="12"/>
      <c r="E79" s="10"/>
      <c r="F79" s="10"/>
      <c r="G79" s="10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x14ac:dyDescent="0.25">
      <c r="A80" s="10"/>
      <c r="B80" s="10"/>
      <c r="C80" s="10"/>
      <c r="D80" s="12"/>
      <c r="E80" s="10"/>
      <c r="F80" s="10"/>
      <c r="G80" s="10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x14ac:dyDescent="0.25">
      <c r="A81" s="10"/>
      <c r="B81" s="10"/>
      <c r="C81" s="10"/>
      <c r="D81" s="12"/>
      <c r="E81" s="10"/>
      <c r="F81" s="10"/>
      <c r="G81" s="10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x14ac:dyDescent="0.25">
      <c r="A82" s="10"/>
      <c r="B82" s="10"/>
      <c r="C82" s="10"/>
      <c r="D82" s="12"/>
      <c r="E82" s="10"/>
      <c r="F82" s="10"/>
      <c r="G82" s="10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x14ac:dyDescent="0.25">
      <c r="A83" s="10"/>
      <c r="B83" s="10"/>
      <c r="C83" s="10"/>
      <c r="D83" s="12"/>
      <c r="E83" s="10"/>
      <c r="F83" s="10"/>
      <c r="G83" s="10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x14ac:dyDescent="0.25">
      <c r="A84" s="10"/>
      <c r="B84" s="10"/>
      <c r="C84" s="10"/>
      <c r="D84" s="12"/>
      <c r="E84" s="10"/>
      <c r="F84" s="10"/>
      <c r="G84" s="10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x14ac:dyDescent="0.25">
      <c r="A85" s="10"/>
      <c r="B85" s="10"/>
      <c r="C85" s="10"/>
      <c r="D85" s="12"/>
      <c r="E85" s="10"/>
      <c r="F85" s="10"/>
      <c r="G85" s="10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x14ac:dyDescent="0.25">
      <c r="A86" s="10"/>
      <c r="B86" s="10"/>
      <c r="C86" s="10"/>
      <c r="D86" s="12"/>
      <c r="E86" s="10"/>
      <c r="F86" s="10"/>
      <c r="G86" s="10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x14ac:dyDescent="0.25">
      <c r="A87" s="10"/>
      <c r="B87" s="10"/>
      <c r="C87" s="10"/>
      <c r="D87" s="12"/>
      <c r="E87" s="10"/>
      <c r="F87" s="10"/>
      <c r="G87" s="10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x14ac:dyDescent="0.25">
      <c r="A88" s="10"/>
      <c r="B88" s="10"/>
      <c r="C88" s="10"/>
      <c r="D88" s="12"/>
      <c r="E88" s="10"/>
      <c r="F88" s="10"/>
      <c r="G88" s="10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x14ac:dyDescent="0.25">
      <c r="A89" s="10"/>
      <c r="B89" s="10"/>
      <c r="C89" s="10"/>
      <c r="D89" s="12"/>
      <c r="E89" s="10"/>
      <c r="F89" s="10"/>
      <c r="G89" s="10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x14ac:dyDescent="0.25">
      <c r="A90" s="10"/>
      <c r="B90" s="10"/>
      <c r="C90" s="10"/>
      <c r="D90" s="12"/>
      <c r="E90" s="10"/>
      <c r="F90" s="10"/>
      <c r="G90" s="10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x14ac:dyDescent="0.25">
      <c r="A91" s="10"/>
      <c r="B91" s="10"/>
      <c r="C91" s="10"/>
      <c r="D91" s="12"/>
      <c r="E91" s="10"/>
      <c r="F91" s="10"/>
      <c r="G91" s="10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x14ac:dyDescent="0.25">
      <c r="A92" s="10"/>
      <c r="B92" s="10"/>
      <c r="C92" s="10"/>
      <c r="D92" s="12"/>
      <c r="E92" s="10"/>
      <c r="F92" s="10"/>
      <c r="G92" s="10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x14ac:dyDescent="0.25">
      <c r="A93" s="10"/>
      <c r="B93" s="10"/>
      <c r="C93" s="10"/>
      <c r="D93" s="12"/>
      <c r="E93" s="10"/>
      <c r="F93" s="10"/>
      <c r="G93" s="10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x14ac:dyDescent="0.25">
      <c r="A94" s="10"/>
      <c r="B94" s="10"/>
      <c r="C94" s="10"/>
      <c r="D94" s="12"/>
      <c r="E94" s="10"/>
      <c r="F94" s="10"/>
      <c r="G94" s="10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x14ac:dyDescent="0.25">
      <c r="A95" s="10"/>
      <c r="B95" s="10"/>
      <c r="C95" s="10"/>
      <c r="D95" s="12"/>
      <c r="E95" s="10"/>
      <c r="F95" s="10"/>
      <c r="G95" s="10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x14ac:dyDescent="0.25">
      <c r="A96" s="10"/>
      <c r="B96" s="10"/>
      <c r="C96" s="10"/>
      <c r="D96" s="12"/>
      <c r="E96" s="10"/>
      <c r="F96" s="10"/>
      <c r="G96" s="10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x14ac:dyDescent="0.25">
      <c r="A97" s="10"/>
      <c r="B97" s="10"/>
      <c r="C97" s="10"/>
      <c r="D97" s="12"/>
      <c r="E97" s="10"/>
      <c r="F97" s="10"/>
      <c r="G97" s="10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x14ac:dyDescent="0.25">
      <c r="A98" s="10"/>
      <c r="B98" s="10"/>
      <c r="C98" s="10"/>
      <c r="D98" s="12"/>
      <c r="E98" s="10"/>
      <c r="F98" s="10"/>
      <c r="G98" s="10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x14ac:dyDescent="0.25">
      <c r="A99" s="10"/>
      <c r="B99" s="10"/>
      <c r="C99" s="10"/>
      <c r="D99" s="12"/>
      <c r="E99" s="10"/>
      <c r="F99" s="10"/>
      <c r="G99" s="10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x14ac:dyDescent="0.25">
      <c r="A100" s="10"/>
      <c r="B100" s="10"/>
      <c r="C100" s="10"/>
      <c r="D100" s="12"/>
      <c r="E100" s="10"/>
      <c r="F100" s="10"/>
      <c r="G100" s="10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x14ac:dyDescent="0.25">
      <c r="A101" s="10"/>
      <c r="B101" s="10"/>
      <c r="C101" s="10"/>
      <c r="D101" s="12"/>
      <c r="E101" s="10"/>
      <c r="F101" s="10"/>
      <c r="G101" s="10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x14ac:dyDescent="0.25">
      <c r="A102" s="10"/>
      <c r="B102" s="10"/>
      <c r="C102" s="10"/>
      <c r="D102" s="12"/>
      <c r="E102" s="10"/>
      <c r="F102" s="10"/>
      <c r="G102" s="10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x14ac:dyDescent="0.25">
      <c r="A103" s="10"/>
      <c r="B103" s="10"/>
      <c r="C103" s="10"/>
      <c r="D103" s="12"/>
      <c r="E103" s="10"/>
      <c r="F103" s="10"/>
      <c r="G103" s="10"/>
      <c r="H103" s="5"/>
      <c r="I103" s="5"/>
      <c r="J103" s="5"/>
      <c r="K103" s="5"/>
      <c r="L103" s="5"/>
      <c r="M103" s="5"/>
      <c r="N103" s="5"/>
      <c r="O103" s="5"/>
      <c r="P103" s="5"/>
    </row>
    <row r="104" spans="1:23" x14ac:dyDescent="0.25">
      <c r="A104" s="10"/>
      <c r="B104" s="10"/>
      <c r="C104" s="10"/>
      <c r="D104" s="12"/>
      <c r="E104" s="10"/>
      <c r="F104" s="10"/>
      <c r="G104" s="10"/>
      <c r="H104" s="5"/>
      <c r="I104" s="5"/>
      <c r="J104" s="5"/>
      <c r="K104" s="5"/>
      <c r="L104" s="5"/>
      <c r="M104" s="5"/>
      <c r="N104" s="5"/>
      <c r="O104" s="5"/>
      <c r="P104" s="5"/>
    </row>
    <row r="105" spans="1:23" x14ac:dyDescent="0.25">
      <c r="A105" s="10"/>
      <c r="B105" s="10"/>
      <c r="C105" s="10"/>
      <c r="D105" s="12"/>
      <c r="E105" s="10"/>
      <c r="F105" s="10"/>
      <c r="G105" s="10"/>
      <c r="H105" s="5"/>
      <c r="I105" s="5"/>
      <c r="J105" s="5"/>
      <c r="K105" s="5"/>
      <c r="L105" s="5"/>
      <c r="M105" s="5"/>
      <c r="N105" s="5"/>
      <c r="O105" s="5"/>
      <c r="P105" s="5"/>
    </row>
    <row r="106" spans="1:23" x14ac:dyDescent="0.25">
      <c r="A106" s="10"/>
      <c r="B106" s="10"/>
      <c r="C106" s="10"/>
      <c r="D106" s="12"/>
      <c r="E106" s="10"/>
      <c r="F106" s="10"/>
      <c r="G106" s="10"/>
      <c r="H106" s="5"/>
      <c r="I106" s="5"/>
      <c r="J106" s="5"/>
      <c r="K106" s="5"/>
      <c r="L106" s="5"/>
      <c r="M106" s="5"/>
      <c r="N106" s="5"/>
      <c r="O106" s="5"/>
      <c r="P106" s="5"/>
    </row>
    <row r="107" spans="1:23" x14ac:dyDescent="0.25">
      <c r="A107" s="10"/>
      <c r="B107" s="10"/>
      <c r="C107" s="10"/>
      <c r="D107" s="12"/>
      <c r="E107" s="10"/>
      <c r="F107" s="10"/>
      <c r="G107" s="10"/>
      <c r="H107" s="5"/>
      <c r="I107" s="5"/>
      <c r="J107" s="5"/>
      <c r="K107" s="5"/>
      <c r="L107" s="5"/>
      <c r="M107" s="5"/>
      <c r="N107" s="5"/>
      <c r="O107" s="5"/>
      <c r="P107" s="5"/>
    </row>
    <row r="108" spans="1:23" x14ac:dyDescent="0.25">
      <c r="A108" s="10"/>
      <c r="B108" s="10"/>
      <c r="C108" s="10"/>
      <c r="D108" s="12"/>
      <c r="E108" s="10"/>
      <c r="F108" s="10"/>
      <c r="G108" s="10"/>
      <c r="H108" s="5"/>
      <c r="I108" s="5"/>
      <c r="J108" s="5"/>
      <c r="K108" s="5"/>
      <c r="L108" s="5"/>
      <c r="M108" s="5"/>
      <c r="N108" s="5"/>
      <c r="O108" s="5"/>
      <c r="P108" s="5"/>
    </row>
    <row r="109" spans="1:23" x14ac:dyDescent="0.25">
      <c r="A109" s="10"/>
      <c r="B109" s="10"/>
      <c r="C109" s="10"/>
      <c r="D109" s="12"/>
      <c r="E109" s="10"/>
      <c r="F109" s="10"/>
      <c r="G109" s="10"/>
      <c r="H109" s="5"/>
      <c r="I109" s="5"/>
      <c r="J109" s="5"/>
      <c r="K109" s="5"/>
      <c r="L109" s="5"/>
      <c r="M109" s="5"/>
      <c r="N109" s="5"/>
      <c r="O109" s="5"/>
      <c r="P109" s="5"/>
    </row>
    <row r="110" spans="1:23" x14ac:dyDescent="0.25">
      <c r="A110" s="10"/>
      <c r="B110" s="10"/>
      <c r="C110" s="10"/>
      <c r="D110" s="12"/>
      <c r="E110" s="10"/>
      <c r="F110" s="10"/>
      <c r="G110" s="10"/>
      <c r="H110" s="5"/>
      <c r="I110" s="5"/>
      <c r="J110" s="5"/>
      <c r="K110" s="5"/>
      <c r="L110" s="5"/>
      <c r="M110" s="5"/>
      <c r="N110" s="5"/>
      <c r="O110" s="5"/>
      <c r="P110" s="5"/>
    </row>
    <row r="111" spans="1:23" x14ac:dyDescent="0.25">
      <c r="A111" s="10"/>
      <c r="B111" s="10"/>
      <c r="C111" s="10"/>
      <c r="D111" s="12"/>
      <c r="E111" s="10"/>
      <c r="F111" s="10"/>
      <c r="G111" s="10"/>
      <c r="H111" s="5"/>
      <c r="I111" s="5"/>
      <c r="J111" s="5"/>
      <c r="K111" s="5"/>
      <c r="L111" s="5"/>
      <c r="M111" s="5"/>
      <c r="N111" s="5"/>
      <c r="O111" s="5"/>
      <c r="P111" s="5"/>
    </row>
    <row r="112" spans="1:23" x14ac:dyDescent="0.25">
      <c r="A112" s="10"/>
      <c r="B112" s="10"/>
      <c r="C112" s="10"/>
      <c r="D112" s="12"/>
      <c r="E112" s="10"/>
      <c r="F112" s="10"/>
      <c r="G112" s="10"/>
      <c r="H112" s="5"/>
      <c r="I112" s="5"/>
      <c r="J112" s="5"/>
      <c r="K112" s="5"/>
      <c r="L112" s="5"/>
      <c r="M112" s="5"/>
      <c r="N112" s="5"/>
      <c r="O112" s="5"/>
      <c r="P112" s="5"/>
    </row>
    <row r="113" spans="1:16" x14ac:dyDescent="0.25">
      <c r="A113" s="10"/>
      <c r="B113" s="10"/>
      <c r="C113" s="10"/>
      <c r="D113" s="12"/>
      <c r="E113" s="10"/>
      <c r="F113" s="10"/>
      <c r="G113" s="10"/>
      <c r="H113" s="5"/>
      <c r="I113" s="5"/>
      <c r="J113" s="5"/>
      <c r="K113" s="5"/>
      <c r="L113" s="5"/>
      <c r="M113" s="5"/>
      <c r="N113" s="5"/>
      <c r="O113" s="5"/>
      <c r="P113" s="5"/>
    </row>
    <row r="114" spans="1:16" x14ac:dyDescent="0.25">
      <c r="A114" s="10"/>
      <c r="B114" s="10"/>
      <c r="C114" s="10"/>
      <c r="D114" s="12"/>
      <c r="E114" s="10"/>
      <c r="F114" s="10"/>
      <c r="G114" s="10"/>
      <c r="H114" s="5"/>
      <c r="I114" s="5"/>
      <c r="J114" s="5"/>
      <c r="K114" s="5"/>
      <c r="L114" s="5"/>
      <c r="M114" s="5"/>
      <c r="N114" s="5"/>
      <c r="O114" s="5"/>
      <c r="P114" s="5"/>
    </row>
    <row r="115" spans="1:16" x14ac:dyDescent="0.25">
      <c r="A115" s="10"/>
      <c r="B115" s="10"/>
      <c r="C115" s="10"/>
      <c r="D115" s="12"/>
      <c r="E115" s="10"/>
      <c r="F115" s="10"/>
      <c r="G115" s="10"/>
      <c r="H115" s="5"/>
      <c r="I115" s="5"/>
      <c r="J115" s="5"/>
      <c r="K115" s="5"/>
      <c r="L115" s="5"/>
      <c r="M115" s="5"/>
      <c r="N115" s="5"/>
      <c r="O115" s="5"/>
      <c r="P115" s="5"/>
    </row>
    <row r="116" spans="1:16" x14ac:dyDescent="0.25">
      <c r="A116" s="10"/>
      <c r="B116" s="10"/>
      <c r="C116" s="10"/>
      <c r="D116" s="12"/>
      <c r="E116" s="10"/>
      <c r="F116" s="10"/>
      <c r="G116" s="10"/>
      <c r="H116" s="5"/>
      <c r="I116" s="5"/>
      <c r="J116" s="5"/>
      <c r="K116" s="5"/>
      <c r="L116" s="5"/>
      <c r="M116" s="5"/>
      <c r="N116" s="5"/>
      <c r="O116" s="5"/>
      <c r="P116" s="5"/>
    </row>
    <row r="117" spans="1:16" x14ac:dyDescent="0.25">
      <c r="A117" s="10"/>
      <c r="B117" s="10"/>
      <c r="C117" s="10"/>
      <c r="D117" s="12"/>
      <c r="E117" s="10"/>
      <c r="F117" s="10"/>
      <c r="G117" s="10"/>
      <c r="H117" s="5"/>
      <c r="I117" s="5"/>
      <c r="J117" s="5"/>
      <c r="K117" s="5"/>
      <c r="L117" s="5"/>
      <c r="M117" s="5"/>
      <c r="N117" s="5"/>
      <c r="O117" s="5"/>
      <c r="P117" s="5"/>
    </row>
    <row r="118" spans="1:16" x14ac:dyDescent="0.25">
      <c r="A118" s="10"/>
      <c r="B118" s="10"/>
      <c r="C118" s="10"/>
      <c r="D118" s="12"/>
      <c r="E118" s="10"/>
      <c r="F118" s="10"/>
      <c r="G118" s="10"/>
      <c r="H118" s="5"/>
      <c r="I118" s="5"/>
      <c r="J118" s="5"/>
      <c r="K118" s="5"/>
      <c r="L118" s="5"/>
      <c r="M118" s="5"/>
      <c r="N118" s="5"/>
      <c r="O118" s="5"/>
      <c r="P118" s="5"/>
    </row>
    <row r="119" spans="1:16" x14ac:dyDescent="0.25">
      <c r="A119" s="10"/>
      <c r="B119" s="10"/>
      <c r="C119" s="10"/>
      <c r="D119" s="12"/>
      <c r="E119" s="10"/>
      <c r="F119" s="10"/>
      <c r="G119" s="10"/>
      <c r="H119" s="5"/>
      <c r="I119" s="5"/>
      <c r="J119" s="5"/>
      <c r="K119" s="5"/>
      <c r="L119" s="5"/>
      <c r="M119" s="5"/>
      <c r="N119" s="5"/>
      <c r="O119" s="5"/>
      <c r="P119" s="5"/>
    </row>
    <row r="120" spans="1:16" x14ac:dyDescent="0.25">
      <c r="A120" s="10"/>
      <c r="B120" s="10"/>
      <c r="C120" s="10"/>
      <c r="D120" s="12"/>
      <c r="E120" s="10"/>
      <c r="F120" s="10"/>
      <c r="G120" s="10"/>
      <c r="H120" s="5"/>
      <c r="I120" s="5"/>
      <c r="J120" s="5"/>
      <c r="K120" s="5"/>
      <c r="L120" s="5"/>
      <c r="M120" s="5"/>
      <c r="N120" s="5"/>
      <c r="O120" s="5"/>
      <c r="P120" s="5"/>
    </row>
    <row r="121" spans="1:16" x14ac:dyDescent="0.25">
      <c r="A121" s="10"/>
      <c r="B121" s="10"/>
      <c r="C121" s="10"/>
      <c r="D121" s="12"/>
      <c r="E121" s="10"/>
      <c r="F121" s="10"/>
      <c r="G121" s="10"/>
      <c r="H121" s="5"/>
      <c r="I121" s="5"/>
      <c r="J121" s="5"/>
      <c r="K121" s="5"/>
      <c r="L121" s="5"/>
      <c r="M121" s="5"/>
      <c r="N121" s="5"/>
      <c r="O121" s="5"/>
      <c r="P121" s="5"/>
    </row>
    <row r="122" spans="1:16" x14ac:dyDescent="0.25">
      <c r="A122" s="10"/>
      <c r="B122" s="10"/>
      <c r="C122" s="10"/>
      <c r="D122" s="12"/>
      <c r="E122" s="10"/>
      <c r="F122" s="10"/>
      <c r="G122" s="10"/>
      <c r="H122" s="5"/>
      <c r="I122" s="5"/>
      <c r="J122" s="5"/>
      <c r="K122" s="5"/>
      <c r="L122" s="5"/>
      <c r="M122" s="5"/>
      <c r="N122" s="5"/>
      <c r="O122" s="5"/>
      <c r="P122" s="5"/>
    </row>
    <row r="123" spans="1:16" x14ac:dyDescent="0.25">
      <c r="A123" s="10"/>
      <c r="B123" s="10"/>
      <c r="C123" s="10"/>
      <c r="D123" s="12"/>
      <c r="E123" s="10"/>
      <c r="F123" s="10"/>
      <c r="G123" s="10"/>
      <c r="H123" s="5"/>
      <c r="I123" s="5"/>
      <c r="J123" s="5"/>
      <c r="K123" s="5"/>
      <c r="L123" s="5"/>
      <c r="M123" s="5"/>
      <c r="N123" s="5"/>
      <c r="O123" s="5"/>
      <c r="P123" s="5"/>
    </row>
    <row r="124" spans="1:16" x14ac:dyDescent="0.25">
      <c r="A124" s="10"/>
      <c r="B124" s="10"/>
      <c r="C124" s="10"/>
      <c r="D124" s="12"/>
      <c r="E124" s="10"/>
      <c r="F124" s="10"/>
      <c r="G124" s="10"/>
      <c r="H124" s="5"/>
      <c r="I124" s="5"/>
      <c r="J124" s="5"/>
      <c r="K124" s="5"/>
      <c r="L124" s="5"/>
      <c r="M124" s="5"/>
      <c r="N124" s="5"/>
      <c r="O124" s="5"/>
      <c r="P124" s="5"/>
    </row>
    <row r="125" spans="1:16" x14ac:dyDescent="0.25">
      <c r="A125" s="10"/>
      <c r="B125" s="10"/>
      <c r="C125" s="10"/>
      <c r="D125" s="12"/>
      <c r="E125" s="10"/>
      <c r="F125" s="10"/>
      <c r="G125" s="10"/>
      <c r="H125" s="5"/>
      <c r="I125" s="5"/>
      <c r="J125" s="5"/>
      <c r="K125" s="5"/>
      <c r="L125" s="5"/>
      <c r="M125" s="5"/>
      <c r="N125" s="5"/>
      <c r="O125" s="5"/>
      <c r="P125" s="5"/>
    </row>
    <row r="126" spans="1:16" x14ac:dyDescent="0.25">
      <c r="A126" s="10"/>
      <c r="B126" s="10"/>
      <c r="C126" s="10"/>
      <c r="D126" s="12"/>
      <c r="E126" s="10"/>
      <c r="F126" s="10"/>
      <c r="G126" s="10"/>
      <c r="H126" s="5"/>
      <c r="I126" s="5"/>
      <c r="J126" s="5"/>
      <c r="K126" s="5"/>
      <c r="L126" s="5"/>
      <c r="M126" s="5"/>
      <c r="N126" s="5"/>
      <c r="O126" s="5"/>
      <c r="P126" s="5"/>
    </row>
    <row r="127" spans="1:16" x14ac:dyDescent="0.25">
      <c r="A127" s="10"/>
      <c r="B127" s="10"/>
      <c r="C127" s="10"/>
      <c r="D127" s="12"/>
      <c r="E127" s="10"/>
      <c r="F127" s="10"/>
      <c r="G127" s="10"/>
      <c r="H127" s="5"/>
      <c r="I127" s="5"/>
      <c r="J127" s="5"/>
      <c r="K127" s="5"/>
      <c r="L127" s="5"/>
      <c r="M127" s="5"/>
      <c r="N127" s="5"/>
      <c r="O127" s="5"/>
      <c r="P127" s="5"/>
    </row>
    <row r="128" spans="1:16" x14ac:dyDescent="0.25">
      <c r="A128" s="10"/>
      <c r="B128" s="10"/>
      <c r="C128" s="10"/>
      <c r="D128" s="12"/>
      <c r="E128" s="10"/>
      <c r="F128" s="10"/>
      <c r="G128" s="10"/>
      <c r="H128" s="5"/>
      <c r="I128" s="5"/>
      <c r="J128" s="5"/>
      <c r="K128" s="5"/>
      <c r="L128" s="5"/>
      <c r="M128" s="5"/>
      <c r="N128" s="5"/>
      <c r="O128" s="5"/>
      <c r="P128" s="5"/>
    </row>
    <row r="129" spans="1:16" x14ac:dyDescent="0.25">
      <c r="A129" s="10"/>
      <c r="B129" s="10"/>
      <c r="C129" s="10"/>
      <c r="D129" s="12"/>
      <c r="E129" s="10"/>
      <c r="F129" s="10"/>
      <c r="G129" s="10"/>
      <c r="H129" s="5"/>
      <c r="I129" s="5"/>
      <c r="J129" s="5"/>
      <c r="K129" s="5"/>
      <c r="L129" s="5"/>
      <c r="M129" s="5"/>
      <c r="N129" s="5"/>
      <c r="O129" s="5"/>
      <c r="P129" s="5"/>
    </row>
    <row r="130" spans="1:16" x14ac:dyDescent="0.25">
      <c r="A130" s="10"/>
      <c r="B130" s="10"/>
      <c r="C130" s="10"/>
      <c r="D130" s="12"/>
      <c r="E130" s="10"/>
      <c r="F130" s="10"/>
      <c r="G130" s="10"/>
      <c r="H130" s="5"/>
      <c r="I130" s="5"/>
      <c r="J130" s="5"/>
      <c r="K130" s="5"/>
      <c r="L130" s="5"/>
      <c r="M130" s="5"/>
      <c r="N130" s="5"/>
      <c r="O130" s="5"/>
      <c r="P130" s="5"/>
    </row>
    <row r="131" spans="1:16" x14ac:dyDescent="0.25">
      <c r="A131" s="10"/>
      <c r="B131" s="10"/>
      <c r="C131" s="10"/>
      <c r="D131" s="12"/>
      <c r="E131" s="10"/>
      <c r="F131" s="10"/>
      <c r="G131" s="10"/>
      <c r="H131" s="5"/>
      <c r="I131" s="5"/>
      <c r="J131" s="5"/>
      <c r="K131" s="5"/>
      <c r="L131" s="5"/>
      <c r="M131" s="5"/>
      <c r="N131" s="5"/>
      <c r="O131" s="5"/>
      <c r="P131" s="5"/>
    </row>
    <row r="132" spans="1:16" x14ac:dyDescent="0.25">
      <c r="A132" s="10"/>
      <c r="B132" s="10"/>
      <c r="C132" s="10"/>
      <c r="D132" s="12"/>
      <c r="E132" s="10"/>
      <c r="F132" s="10"/>
      <c r="G132" s="10"/>
      <c r="H132" s="5"/>
      <c r="I132" s="5"/>
      <c r="J132" s="5"/>
      <c r="K132" s="5"/>
      <c r="L132" s="5"/>
      <c r="M132" s="5"/>
      <c r="N132" s="5"/>
      <c r="O132" s="5"/>
      <c r="P132" s="5"/>
    </row>
    <row r="133" spans="1:16" x14ac:dyDescent="0.25">
      <c r="A133" s="10"/>
      <c r="B133" s="10"/>
      <c r="C133" s="10"/>
      <c r="D133" s="12"/>
      <c r="E133" s="10"/>
      <c r="F133" s="10"/>
      <c r="G133" s="10"/>
      <c r="H133" s="5"/>
      <c r="I133" s="5"/>
      <c r="J133" s="5"/>
      <c r="K133" s="5"/>
      <c r="L133" s="5"/>
      <c r="M133" s="5"/>
      <c r="N133" s="5"/>
      <c r="O133" s="5"/>
      <c r="P133" s="5"/>
    </row>
    <row r="134" spans="1:16" x14ac:dyDescent="0.25">
      <c r="A134" s="10"/>
      <c r="B134" s="10"/>
      <c r="C134" s="10"/>
      <c r="D134" s="12"/>
      <c r="E134" s="10"/>
      <c r="F134" s="10"/>
      <c r="G134" s="10"/>
      <c r="H134" s="5"/>
      <c r="I134" s="5"/>
      <c r="J134" s="5"/>
      <c r="K134" s="5"/>
      <c r="L134" s="5"/>
      <c r="M134" s="5"/>
      <c r="N134" s="5"/>
      <c r="O134" s="5"/>
      <c r="P134" s="5"/>
    </row>
    <row r="135" spans="1:16" x14ac:dyDescent="0.25">
      <c r="A135" s="10"/>
      <c r="B135" s="10"/>
      <c r="C135" s="10"/>
      <c r="D135" s="12"/>
      <c r="E135" s="10"/>
      <c r="F135" s="10"/>
      <c r="G135" s="10"/>
      <c r="H135" s="5"/>
      <c r="I135" s="5"/>
      <c r="J135" s="5"/>
      <c r="K135" s="5"/>
      <c r="L135" s="5"/>
      <c r="M135" s="5"/>
      <c r="N135" s="5"/>
      <c r="O135" s="5"/>
      <c r="P135" s="5"/>
    </row>
    <row r="136" spans="1:16" x14ac:dyDescent="0.25">
      <c r="A136" s="10"/>
      <c r="B136" s="10"/>
      <c r="C136" s="10"/>
      <c r="D136" s="12"/>
      <c r="E136" s="10"/>
      <c r="F136" s="10"/>
      <c r="G136" s="10"/>
      <c r="H136" s="5"/>
      <c r="I136" s="5"/>
      <c r="J136" s="5"/>
      <c r="K136" s="5"/>
      <c r="L136" s="5"/>
      <c r="M136" s="5"/>
      <c r="N136" s="5"/>
      <c r="O136" s="5"/>
      <c r="P136" s="5"/>
    </row>
    <row r="137" spans="1:16" x14ac:dyDescent="0.25">
      <c r="A137" s="10"/>
      <c r="B137" s="10"/>
      <c r="C137" s="10"/>
      <c r="D137" s="12"/>
      <c r="E137" s="10"/>
      <c r="F137" s="10"/>
      <c r="G137" s="10"/>
      <c r="H137" s="5"/>
      <c r="I137" s="5"/>
      <c r="J137" s="5"/>
      <c r="K137" s="5"/>
      <c r="L137" s="5"/>
      <c r="M137" s="5"/>
      <c r="N137" s="5"/>
      <c r="O137" s="5"/>
      <c r="P137" s="5"/>
    </row>
    <row r="138" spans="1:16" x14ac:dyDescent="0.25">
      <c r="A138" s="10"/>
      <c r="B138" s="10"/>
      <c r="C138" s="10"/>
      <c r="D138" s="12"/>
      <c r="E138" s="10"/>
      <c r="F138" s="10"/>
      <c r="G138" s="10"/>
      <c r="H138" s="5"/>
      <c r="I138" s="5"/>
      <c r="J138" s="5"/>
      <c r="K138" s="5"/>
      <c r="L138" s="5"/>
      <c r="M138" s="5"/>
      <c r="N138" s="5"/>
      <c r="O138" s="5"/>
      <c r="P138" s="5"/>
    </row>
    <row r="139" spans="1:16" x14ac:dyDescent="0.25">
      <c r="A139" s="10"/>
      <c r="B139" s="10"/>
      <c r="C139" s="10"/>
      <c r="D139" s="12"/>
      <c r="E139" s="10"/>
      <c r="F139" s="10"/>
      <c r="G139" s="10"/>
      <c r="H139" s="5"/>
      <c r="I139" s="5"/>
      <c r="J139" s="5"/>
      <c r="K139" s="5"/>
      <c r="L139" s="5"/>
      <c r="M139" s="5"/>
      <c r="N139" s="5"/>
      <c r="O139" s="5"/>
      <c r="P139" s="5"/>
    </row>
    <row r="140" spans="1:16" x14ac:dyDescent="0.25">
      <c r="A140" s="10"/>
      <c r="B140" s="10"/>
      <c r="C140" s="10"/>
      <c r="D140" s="12"/>
      <c r="E140" s="10"/>
      <c r="F140" s="10"/>
      <c r="G140" s="10"/>
      <c r="H140" s="5"/>
      <c r="I140" s="5"/>
      <c r="J140" s="5"/>
      <c r="K140" s="5"/>
      <c r="L140" s="5"/>
      <c r="M140" s="5"/>
      <c r="N140" s="5"/>
      <c r="O140" s="5"/>
      <c r="P140" s="5"/>
    </row>
    <row r="141" spans="1:16" x14ac:dyDescent="0.25">
      <c r="A141" s="10"/>
      <c r="B141" s="10"/>
      <c r="C141" s="10"/>
      <c r="D141" s="12"/>
      <c r="E141" s="10"/>
      <c r="F141" s="10"/>
      <c r="G141" s="10"/>
      <c r="H141" s="5"/>
      <c r="I141" s="5"/>
      <c r="J141" s="5"/>
      <c r="K141" s="5"/>
      <c r="L141" s="5"/>
      <c r="M141" s="5"/>
      <c r="N141" s="5"/>
      <c r="O141" s="5"/>
      <c r="P141" s="5"/>
    </row>
    <row r="142" spans="1:16" x14ac:dyDescent="0.25">
      <c r="A142" s="10"/>
      <c r="B142" s="10"/>
      <c r="C142" s="10"/>
      <c r="D142" s="12"/>
      <c r="E142" s="10"/>
      <c r="F142" s="10"/>
      <c r="G142" s="10"/>
      <c r="H142" s="5"/>
      <c r="I142" s="5"/>
      <c r="J142" s="5"/>
      <c r="K142" s="5"/>
      <c r="L142" s="5"/>
      <c r="M142" s="5"/>
      <c r="N142" s="5"/>
      <c r="O142" s="5"/>
      <c r="P142" s="5"/>
    </row>
    <row r="143" spans="1:16" x14ac:dyDescent="0.25">
      <c r="A143" s="10"/>
      <c r="B143" s="10"/>
      <c r="C143" s="10"/>
      <c r="D143" s="12"/>
      <c r="E143" s="10"/>
      <c r="F143" s="10"/>
      <c r="G143" s="10"/>
      <c r="H143" s="5"/>
      <c r="I143" s="5"/>
      <c r="J143" s="5"/>
      <c r="K143" s="5"/>
      <c r="L143" s="5"/>
      <c r="M143" s="5"/>
      <c r="N143" s="5"/>
      <c r="O143" s="5"/>
      <c r="P143" s="5"/>
    </row>
    <row r="144" spans="1:16" x14ac:dyDescent="0.25">
      <c r="A144" s="10"/>
      <c r="B144" s="10"/>
      <c r="C144" s="10"/>
      <c r="D144" s="12"/>
      <c r="E144" s="10"/>
      <c r="F144" s="10"/>
      <c r="G144" s="10"/>
      <c r="H144" s="5"/>
      <c r="I144" s="5"/>
      <c r="J144" s="5"/>
      <c r="K144" s="5"/>
      <c r="L144" s="5"/>
      <c r="M144" s="5"/>
      <c r="N144" s="5"/>
      <c r="O144" s="5"/>
      <c r="P144" s="5"/>
    </row>
    <row r="145" spans="1:16" x14ac:dyDescent="0.25">
      <c r="A145" s="10"/>
      <c r="B145" s="10"/>
      <c r="C145" s="10"/>
      <c r="D145" s="12"/>
      <c r="E145" s="10"/>
      <c r="F145" s="10"/>
      <c r="G145" s="10"/>
      <c r="H145" s="5"/>
      <c r="I145" s="5"/>
      <c r="J145" s="5"/>
      <c r="K145" s="5"/>
      <c r="L145" s="5"/>
      <c r="M145" s="5"/>
      <c r="N145" s="5"/>
      <c r="O145" s="5"/>
      <c r="P145" s="5"/>
    </row>
    <row r="146" spans="1:16" x14ac:dyDescent="0.25">
      <c r="A146" s="10"/>
      <c r="B146" s="10"/>
      <c r="C146" s="10"/>
      <c r="D146" s="12"/>
      <c r="E146" s="10"/>
      <c r="F146" s="10"/>
      <c r="G146" s="10"/>
      <c r="H146" s="5"/>
      <c r="I146" s="5"/>
      <c r="J146" s="5"/>
      <c r="K146" s="5"/>
      <c r="L146" s="5"/>
      <c r="M146" s="5"/>
      <c r="N146" s="5"/>
      <c r="O146" s="5"/>
      <c r="P146" s="5"/>
    </row>
    <row r="147" spans="1:16" x14ac:dyDescent="0.25">
      <c r="A147" s="10"/>
      <c r="B147" s="10"/>
      <c r="C147" s="10"/>
      <c r="D147" s="12"/>
      <c r="E147" s="10"/>
      <c r="F147" s="10"/>
      <c r="G147" s="10"/>
      <c r="H147" s="5"/>
      <c r="I147" s="5"/>
      <c r="J147" s="5"/>
      <c r="K147" s="5"/>
      <c r="L147" s="5"/>
      <c r="M147" s="5"/>
      <c r="N147" s="5"/>
      <c r="O147" s="5"/>
      <c r="P147" s="5"/>
    </row>
    <row r="148" spans="1:16" x14ac:dyDescent="0.25">
      <c r="A148" s="10"/>
      <c r="B148" s="10"/>
      <c r="C148" s="10"/>
      <c r="D148" s="12"/>
      <c r="E148" s="10"/>
      <c r="F148" s="10"/>
      <c r="G148" s="10"/>
      <c r="H148" s="5"/>
      <c r="I148" s="5"/>
      <c r="J148" s="5"/>
      <c r="K148" s="5"/>
      <c r="L148" s="5"/>
      <c r="M148" s="5"/>
      <c r="N148" s="5"/>
      <c r="O148" s="5"/>
      <c r="P148" s="5"/>
    </row>
    <row r="149" spans="1:16" x14ac:dyDescent="0.25">
      <c r="A149" s="10"/>
      <c r="B149" s="10"/>
      <c r="C149" s="10"/>
      <c r="D149" s="12"/>
      <c r="E149" s="10"/>
      <c r="F149" s="10"/>
      <c r="G149" s="10"/>
      <c r="H149" s="5"/>
      <c r="I149" s="5"/>
      <c r="J149" s="5"/>
      <c r="K149" s="5"/>
      <c r="L149" s="5"/>
      <c r="M149" s="5"/>
      <c r="N149" s="5"/>
      <c r="O149" s="5"/>
      <c r="P149" s="5"/>
    </row>
    <row r="150" spans="1:16" x14ac:dyDescent="0.25">
      <c r="A150" s="10"/>
      <c r="B150" s="10"/>
      <c r="C150" s="10"/>
      <c r="D150" s="12"/>
      <c r="E150" s="10"/>
      <c r="F150" s="10"/>
      <c r="G150" s="10"/>
      <c r="H150" s="5"/>
      <c r="I150" s="5"/>
      <c r="J150" s="5"/>
      <c r="K150" s="5"/>
      <c r="L150" s="5"/>
      <c r="M150" s="5"/>
      <c r="N150" s="5"/>
      <c r="O150" s="5"/>
      <c r="P150" s="5"/>
    </row>
    <row r="151" spans="1:16" x14ac:dyDescent="0.25">
      <c r="A151" s="10"/>
      <c r="B151" s="10"/>
      <c r="C151" s="10"/>
      <c r="D151" s="12"/>
      <c r="E151" s="10"/>
      <c r="F151" s="10"/>
      <c r="G151" s="10"/>
      <c r="H151" s="5"/>
      <c r="I151" s="5"/>
      <c r="J151" s="5"/>
      <c r="K151" s="5"/>
      <c r="L151" s="5"/>
      <c r="M151" s="5"/>
      <c r="N151" s="5"/>
      <c r="O151" s="5"/>
      <c r="P151" s="5"/>
    </row>
    <row r="152" spans="1:16" x14ac:dyDescent="0.25">
      <c r="A152" s="10"/>
      <c r="B152" s="10"/>
      <c r="C152" s="10"/>
      <c r="D152" s="12"/>
      <c r="E152" s="10"/>
      <c r="F152" s="10"/>
      <c r="G152" s="10"/>
      <c r="H152" s="5"/>
      <c r="I152" s="5"/>
      <c r="J152" s="5"/>
      <c r="K152" s="5"/>
      <c r="L152" s="5"/>
      <c r="M152" s="5"/>
      <c r="N152" s="5"/>
      <c r="O152" s="5"/>
      <c r="P152" s="5"/>
    </row>
    <row r="153" spans="1:16" x14ac:dyDescent="0.25">
      <c r="A153" s="10"/>
      <c r="B153" s="10"/>
      <c r="C153" s="10"/>
      <c r="D153" s="12"/>
      <c r="E153" s="10"/>
      <c r="F153" s="10"/>
      <c r="G153" s="10"/>
      <c r="H153" s="5"/>
      <c r="I153" s="5"/>
      <c r="J153" s="5"/>
      <c r="K153" s="5"/>
      <c r="L153" s="5"/>
      <c r="M153" s="5"/>
      <c r="N153" s="5"/>
      <c r="O153" s="5"/>
      <c r="P153" s="5"/>
    </row>
    <row r="154" spans="1:16" x14ac:dyDescent="0.25">
      <c r="A154" s="10"/>
      <c r="B154" s="10"/>
      <c r="C154" s="10"/>
      <c r="D154" s="12"/>
      <c r="E154" s="10"/>
      <c r="F154" s="10"/>
      <c r="G154" s="10"/>
      <c r="H154" s="5"/>
      <c r="I154" s="5"/>
      <c r="J154" s="5"/>
      <c r="K154" s="5"/>
      <c r="L154" s="5"/>
      <c r="M154" s="5"/>
      <c r="N154" s="5"/>
      <c r="O154" s="5"/>
      <c r="P154" s="5"/>
    </row>
    <row r="155" spans="1:16" x14ac:dyDescent="0.25">
      <c r="A155" s="10"/>
      <c r="B155" s="10"/>
      <c r="C155" s="10"/>
      <c r="D155" s="12"/>
      <c r="E155" s="10"/>
      <c r="F155" s="10"/>
      <c r="G155" s="10"/>
      <c r="H155" s="5"/>
      <c r="I155" s="5"/>
      <c r="J155" s="5"/>
      <c r="K155" s="5"/>
      <c r="L155" s="5"/>
      <c r="M155" s="5"/>
      <c r="N155" s="5"/>
      <c r="O155" s="5"/>
      <c r="P155" s="5"/>
    </row>
    <row r="156" spans="1:16" x14ac:dyDescent="0.25">
      <c r="A156" s="10"/>
      <c r="B156" s="10"/>
      <c r="C156" s="10"/>
      <c r="D156" s="12"/>
      <c r="E156" s="10"/>
      <c r="F156" s="10"/>
      <c r="G156" s="10"/>
      <c r="H156" s="5"/>
      <c r="I156" s="5"/>
      <c r="J156" s="5"/>
      <c r="K156" s="5"/>
      <c r="L156" s="5"/>
      <c r="M156" s="5"/>
      <c r="N156" s="5"/>
      <c r="O156" s="5"/>
      <c r="P156" s="5"/>
    </row>
    <row r="157" spans="1:16" x14ac:dyDescent="0.25">
      <c r="A157" s="10"/>
      <c r="B157" s="10"/>
      <c r="C157" s="10"/>
      <c r="D157" s="12"/>
      <c r="E157" s="10"/>
      <c r="F157" s="10"/>
      <c r="G157" s="10"/>
      <c r="H157" s="5"/>
      <c r="I157" s="5"/>
      <c r="J157" s="5"/>
      <c r="K157" s="5"/>
      <c r="L157" s="5"/>
      <c r="M157" s="5"/>
      <c r="N157" s="5"/>
      <c r="O157" s="5"/>
      <c r="P157" s="5"/>
    </row>
    <row r="158" spans="1:16" x14ac:dyDescent="0.25">
      <c r="A158" s="10"/>
      <c r="B158" s="10"/>
      <c r="C158" s="10"/>
      <c r="D158" s="12"/>
      <c r="E158" s="10"/>
      <c r="F158" s="10"/>
      <c r="G158" s="10"/>
      <c r="H158" s="5"/>
      <c r="I158" s="5"/>
      <c r="J158" s="5"/>
      <c r="K158" s="5"/>
      <c r="L158" s="5"/>
      <c r="M158" s="5"/>
      <c r="N158" s="5"/>
      <c r="O158" s="5"/>
      <c r="P158" s="5"/>
    </row>
    <row r="159" spans="1:16" x14ac:dyDescent="0.25">
      <c r="A159" s="10"/>
      <c r="B159" s="10"/>
      <c r="C159" s="10"/>
      <c r="D159" s="12"/>
      <c r="E159" s="10"/>
      <c r="F159" s="10"/>
      <c r="G159" s="10"/>
      <c r="H159" s="5"/>
      <c r="I159" s="5"/>
      <c r="J159" s="5"/>
      <c r="K159" s="5"/>
      <c r="L159" s="5"/>
      <c r="M159" s="5"/>
      <c r="N159" s="5"/>
      <c r="O159" s="5"/>
      <c r="P159" s="5"/>
    </row>
    <row r="160" spans="1:16" x14ac:dyDescent="0.25">
      <c r="A160" s="10"/>
      <c r="B160" s="10"/>
      <c r="C160" s="10"/>
      <c r="D160" s="12"/>
      <c r="E160" s="10"/>
      <c r="F160" s="10"/>
      <c r="G160" s="10"/>
      <c r="H160" s="5"/>
      <c r="I160" s="5"/>
      <c r="J160" s="5"/>
      <c r="K160" s="5"/>
      <c r="L160" s="5"/>
      <c r="M160" s="5"/>
      <c r="N160" s="5"/>
      <c r="O160" s="5"/>
      <c r="P160" s="5"/>
    </row>
    <row r="161" spans="1:16" x14ac:dyDescent="0.25">
      <c r="A161" s="10"/>
      <c r="B161" s="10"/>
      <c r="C161" s="10"/>
      <c r="D161" s="12"/>
      <c r="E161" s="10"/>
      <c r="F161" s="10"/>
      <c r="G161" s="10"/>
      <c r="H161" s="5"/>
      <c r="I161" s="5"/>
      <c r="J161" s="5"/>
      <c r="K161" s="5"/>
      <c r="L161" s="5"/>
      <c r="M161" s="5"/>
      <c r="N161" s="5"/>
      <c r="O161" s="5"/>
      <c r="P161" s="5"/>
    </row>
    <row r="162" spans="1:16" x14ac:dyDescent="0.25">
      <c r="A162" s="10"/>
      <c r="B162" s="10"/>
      <c r="C162" s="10"/>
      <c r="D162" s="12"/>
      <c r="E162" s="10"/>
      <c r="F162" s="10"/>
      <c r="G162" s="10"/>
      <c r="H162" s="5"/>
      <c r="I162" s="5"/>
      <c r="J162" s="5"/>
      <c r="K162" s="5"/>
      <c r="L162" s="5"/>
      <c r="M162" s="5"/>
      <c r="N162" s="5"/>
      <c r="O162" s="5"/>
      <c r="P162" s="5"/>
    </row>
    <row r="163" spans="1:16" x14ac:dyDescent="0.25">
      <c r="A163" s="10"/>
      <c r="B163" s="10"/>
      <c r="C163" s="10"/>
      <c r="D163" s="12"/>
      <c r="E163" s="10"/>
      <c r="F163" s="10"/>
      <c r="G163" s="10"/>
      <c r="H163" s="5"/>
      <c r="I163" s="5"/>
      <c r="J163" s="5"/>
      <c r="K163" s="5"/>
      <c r="L163" s="5"/>
      <c r="M163" s="5"/>
      <c r="N163" s="5"/>
      <c r="O163" s="5"/>
      <c r="P163" s="5"/>
    </row>
    <row r="164" spans="1:16" x14ac:dyDescent="0.25">
      <c r="A164" s="10"/>
      <c r="B164" s="10"/>
      <c r="C164" s="10"/>
      <c r="D164" s="12"/>
      <c r="E164" s="10"/>
      <c r="F164" s="10"/>
      <c r="G164" s="10"/>
      <c r="H164" s="5"/>
      <c r="I164" s="5"/>
      <c r="J164" s="5"/>
      <c r="K164" s="5"/>
      <c r="L164" s="5"/>
      <c r="M164" s="5"/>
      <c r="N164" s="5"/>
      <c r="O164" s="5"/>
      <c r="P164" s="5"/>
    </row>
    <row r="165" spans="1:16" x14ac:dyDescent="0.25">
      <c r="A165" s="10"/>
      <c r="B165" s="10"/>
      <c r="C165" s="10"/>
      <c r="D165" s="12"/>
      <c r="E165" s="10"/>
      <c r="F165" s="10"/>
      <c r="G165" s="10"/>
      <c r="H165" s="5"/>
      <c r="I165" s="5"/>
      <c r="J165" s="5"/>
      <c r="K165" s="5"/>
      <c r="L165" s="5"/>
      <c r="M165" s="5"/>
      <c r="N165" s="5"/>
      <c r="O165" s="5"/>
      <c r="P165" s="5"/>
    </row>
    <row r="166" spans="1:16" x14ac:dyDescent="0.25">
      <c r="A166" s="10"/>
      <c r="B166" s="10"/>
      <c r="C166" s="10"/>
      <c r="D166" s="12"/>
      <c r="E166" s="10"/>
      <c r="F166" s="10"/>
      <c r="G166" s="10"/>
      <c r="H166" s="5"/>
      <c r="I166" s="5"/>
      <c r="J166" s="5"/>
      <c r="K166" s="5"/>
      <c r="L166" s="5"/>
      <c r="M166" s="5"/>
      <c r="N166" s="5"/>
      <c r="O166" s="5"/>
      <c r="P166" s="5"/>
    </row>
    <row r="167" spans="1:16" x14ac:dyDescent="0.25">
      <c r="A167" s="10"/>
      <c r="B167" s="10"/>
      <c r="C167" s="10"/>
      <c r="D167" s="12"/>
      <c r="E167" s="10"/>
      <c r="F167" s="10"/>
      <c r="G167" s="10"/>
      <c r="H167" s="5"/>
      <c r="I167" s="5"/>
      <c r="J167" s="5"/>
      <c r="K167" s="5"/>
      <c r="L167" s="5"/>
      <c r="M167" s="5"/>
      <c r="N167" s="5"/>
      <c r="O167" s="5"/>
      <c r="P167" s="5"/>
    </row>
    <row r="168" spans="1:16" x14ac:dyDescent="0.25">
      <c r="A168" s="10"/>
      <c r="B168" s="10"/>
      <c r="C168" s="10"/>
      <c r="D168" s="12"/>
      <c r="E168" s="10"/>
      <c r="F168" s="10"/>
      <c r="G168" s="10"/>
      <c r="H168" s="5"/>
      <c r="I168" s="5"/>
      <c r="J168" s="5"/>
      <c r="K168" s="5"/>
      <c r="L168" s="5"/>
      <c r="M168" s="5"/>
      <c r="N168" s="5"/>
      <c r="O168" s="5"/>
      <c r="P168" s="5"/>
    </row>
    <row r="169" spans="1:16" x14ac:dyDescent="0.25">
      <c r="A169" s="10"/>
      <c r="B169" s="10"/>
      <c r="C169" s="10"/>
      <c r="D169" s="12"/>
      <c r="E169" s="10"/>
      <c r="F169" s="10"/>
      <c r="G169" s="10"/>
      <c r="H169" s="5"/>
      <c r="I169" s="5"/>
      <c r="J169" s="5"/>
      <c r="K169" s="5"/>
      <c r="L169" s="5"/>
      <c r="M169" s="5"/>
      <c r="N169" s="5"/>
      <c r="O169" s="5"/>
      <c r="P169" s="5"/>
    </row>
    <row r="170" spans="1:16" x14ac:dyDescent="0.25">
      <c r="A170" s="10"/>
      <c r="B170" s="10"/>
      <c r="C170" s="10"/>
      <c r="D170" s="12"/>
      <c r="E170" s="10"/>
      <c r="F170" s="10"/>
      <c r="G170" s="10"/>
      <c r="H170" s="5"/>
      <c r="I170" s="5"/>
      <c r="J170" s="5"/>
      <c r="K170" s="5"/>
      <c r="L170" s="5"/>
      <c r="M170" s="5"/>
      <c r="N170" s="5"/>
      <c r="O170" s="5"/>
      <c r="P170" s="5"/>
    </row>
    <row r="171" spans="1:16" x14ac:dyDescent="0.25">
      <c r="A171" s="10"/>
      <c r="B171" s="10"/>
      <c r="C171" s="10"/>
      <c r="D171" s="12"/>
      <c r="E171" s="10"/>
      <c r="F171" s="10"/>
      <c r="G171" s="10"/>
      <c r="H171" s="5"/>
      <c r="I171" s="5"/>
      <c r="J171" s="5"/>
      <c r="K171" s="5"/>
      <c r="L171" s="5"/>
      <c r="M171" s="5"/>
      <c r="N171" s="5"/>
      <c r="O171" s="5"/>
      <c r="P171" s="5"/>
    </row>
    <row r="172" spans="1:16" x14ac:dyDescent="0.25">
      <c r="A172" s="10"/>
      <c r="B172" s="10"/>
      <c r="C172" s="10"/>
      <c r="D172" s="12"/>
      <c r="E172" s="10"/>
      <c r="F172" s="10"/>
      <c r="G172" s="10"/>
      <c r="H172" s="5"/>
      <c r="I172" s="5"/>
      <c r="J172" s="5"/>
      <c r="K172" s="5"/>
      <c r="L172" s="5"/>
      <c r="M172" s="5"/>
      <c r="N172" s="5"/>
      <c r="O172" s="5"/>
      <c r="P172" s="5"/>
    </row>
    <row r="173" spans="1:16" x14ac:dyDescent="0.25">
      <c r="A173" s="10"/>
      <c r="B173" s="10"/>
      <c r="C173" s="10"/>
      <c r="D173" s="12"/>
      <c r="E173" s="10"/>
      <c r="F173" s="10"/>
      <c r="G173" s="10"/>
      <c r="H173" s="5"/>
      <c r="I173" s="5"/>
      <c r="J173" s="5"/>
      <c r="K173" s="5"/>
      <c r="L173" s="5"/>
      <c r="M173" s="5"/>
      <c r="N173" s="5"/>
      <c r="O173" s="5"/>
      <c r="P173" s="5"/>
    </row>
    <row r="174" spans="1:16" x14ac:dyDescent="0.25">
      <c r="A174" s="10"/>
      <c r="B174" s="10"/>
      <c r="C174" s="10"/>
      <c r="D174" s="12"/>
      <c r="E174" s="10"/>
      <c r="F174" s="10"/>
      <c r="G174" s="10"/>
      <c r="H174" s="5"/>
      <c r="I174" s="5"/>
      <c r="J174" s="5"/>
      <c r="K174" s="5"/>
      <c r="L174" s="5"/>
      <c r="M174" s="5"/>
      <c r="N174" s="5"/>
      <c r="O174" s="5"/>
      <c r="P174" s="5"/>
    </row>
    <row r="175" spans="1:16" x14ac:dyDescent="0.25">
      <c r="A175" s="10"/>
      <c r="B175" s="10"/>
      <c r="C175" s="10"/>
      <c r="D175" s="12"/>
      <c r="E175" s="10"/>
      <c r="F175" s="10"/>
      <c r="G175" s="10"/>
      <c r="H175" s="5"/>
      <c r="I175" s="5"/>
      <c r="J175" s="5"/>
      <c r="K175" s="5"/>
      <c r="L175" s="5"/>
      <c r="M175" s="5"/>
      <c r="N175" s="5"/>
      <c r="O175" s="5"/>
      <c r="P175" s="5"/>
    </row>
    <row r="176" spans="1:16" x14ac:dyDescent="0.25">
      <c r="A176" s="10"/>
      <c r="B176" s="10"/>
      <c r="C176" s="10"/>
      <c r="D176" s="12"/>
      <c r="E176" s="10"/>
      <c r="F176" s="10"/>
      <c r="G176" s="10"/>
      <c r="H176" s="5"/>
      <c r="I176" s="5"/>
      <c r="J176" s="5"/>
      <c r="K176" s="5"/>
      <c r="L176" s="5"/>
      <c r="M176" s="5"/>
      <c r="N176" s="5"/>
      <c r="O176" s="5"/>
      <c r="P176" s="5"/>
    </row>
    <row r="177" spans="1:16" x14ac:dyDescent="0.25">
      <c r="A177" s="10"/>
      <c r="B177" s="10"/>
      <c r="C177" s="10"/>
      <c r="D177" s="12"/>
      <c r="E177" s="10"/>
      <c r="F177" s="10"/>
      <c r="G177" s="10"/>
      <c r="H177" s="5"/>
      <c r="I177" s="5"/>
      <c r="J177" s="5"/>
      <c r="K177" s="5"/>
      <c r="L177" s="5"/>
      <c r="M177" s="5"/>
      <c r="N177" s="5"/>
      <c r="O177" s="5"/>
      <c r="P177" s="5"/>
    </row>
    <row r="178" spans="1:16" x14ac:dyDescent="0.25">
      <c r="A178" s="10"/>
      <c r="B178" s="10"/>
      <c r="C178" s="10"/>
      <c r="D178" s="12"/>
      <c r="E178" s="10"/>
      <c r="F178" s="10"/>
      <c r="G178" s="10"/>
      <c r="H178" s="5"/>
      <c r="I178" s="5"/>
      <c r="J178" s="5"/>
      <c r="K178" s="5"/>
      <c r="L178" s="5"/>
      <c r="M178" s="5"/>
      <c r="N178" s="5"/>
      <c r="O178" s="5"/>
      <c r="P178" s="5"/>
    </row>
    <row r="179" spans="1:16" x14ac:dyDescent="0.25">
      <c r="A179" s="10"/>
      <c r="B179" s="10"/>
      <c r="C179" s="10"/>
      <c r="D179" s="12"/>
      <c r="E179" s="10"/>
      <c r="F179" s="10"/>
      <c r="G179" s="10"/>
      <c r="H179" s="5"/>
      <c r="I179" s="5"/>
      <c r="J179" s="5"/>
      <c r="K179" s="5"/>
      <c r="L179" s="5"/>
      <c r="M179" s="5"/>
      <c r="N179" s="5"/>
      <c r="O179" s="5"/>
      <c r="P179" s="5"/>
    </row>
    <row r="180" spans="1:16" x14ac:dyDescent="0.25">
      <c r="A180" s="10"/>
      <c r="B180" s="10"/>
      <c r="C180" s="10"/>
      <c r="D180" s="12"/>
      <c r="E180" s="10"/>
      <c r="F180" s="10"/>
      <c r="G180" s="10"/>
      <c r="H180" s="5"/>
      <c r="I180" s="5"/>
      <c r="J180" s="5"/>
      <c r="K180" s="5"/>
      <c r="L180" s="5"/>
      <c r="M180" s="5"/>
      <c r="N180" s="5"/>
      <c r="O180" s="5"/>
      <c r="P180" s="5"/>
    </row>
    <row r="181" spans="1:16" x14ac:dyDescent="0.25">
      <c r="A181" s="10"/>
      <c r="B181" s="10"/>
      <c r="C181" s="10"/>
      <c r="D181" s="12"/>
      <c r="E181" s="10"/>
      <c r="F181" s="10"/>
      <c r="G181" s="10"/>
      <c r="H181" s="5"/>
      <c r="I181" s="5"/>
      <c r="J181" s="5"/>
      <c r="K181" s="5"/>
      <c r="L181" s="5"/>
      <c r="M181" s="5"/>
      <c r="N181" s="5"/>
      <c r="O181" s="5"/>
      <c r="P181" s="5"/>
    </row>
    <row r="182" spans="1:16" x14ac:dyDescent="0.25">
      <c r="A182" s="10"/>
      <c r="B182" s="10"/>
      <c r="C182" s="10"/>
      <c r="D182" s="12"/>
      <c r="E182" s="10"/>
      <c r="F182" s="10"/>
      <c r="G182" s="10"/>
      <c r="H182" s="5"/>
      <c r="I182" s="5"/>
      <c r="J182" s="5"/>
      <c r="K182" s="5"/>
      <c r="L182" s="5"/>
      <c r="M182" s="5"/>
      <c r="N182" s="5"/>
      <c r="O182" s="5"/>
      <c r="P182" s="5"/>
    </row>
    <row r="183" spans="1:16" x14ac:dyDescent="0.25">
      <c r="A183" s="10"/>
      <c r="B183" s="10"/>
      <c r="C183" s="10"/>
      <c r="D183" s="12"/>
      <c r="E183" s="10"/>
      <c r="F183" s="10"/>
      <c r="G183" s="10"/>
      <c r="H183" s="5"/>
      <c r="I183" s="5"/>
      <c r="J183" s="5"/>
      <c r="K183" s="5"/>
      <c r="L183" s="5"/>
      <c r="M183" s="5"/>
      <c r="N183" s="5"/>
      <c r="O183" s="5"/>
      <c r="P183" s="5"/>
    </row>
    <row r="184" spans="1:16" x14ac:dyDescent="0.25">
      <c r="A184" s="10"/>
      <c r="B184" s="10"/>
      <c r="C184" s="10"/>
      <c r="D184" s="12"/>
      <c r="E184" s="10"/>
      <c r="F184" s="10"/>
      <c r="G184" s="10"/>
      <c r="H184" s="5"/>
      <c r="I184" s="5"/>
      <c r="J184" s="5"/>
      <c r="K184" s="5"/>
      <c r="L184" s="5"/>
      <c r="M184" s="5"/>
      <c r="N184" s="5"/>
      <c r="O184" s="5"/>
      <c r="P184" s="5"/>
    </row>
    <row r="185" spans="1:16" x14ac:dyDescent="0.25">
      <c r="A185" s="10"/>
      <c r="B185" s="10"/>
      <c r="C185" s="10"/>
      <c r="D185" s="12"/>
      <c r="E185" s="10"/>
      <c r="F185" s="10"/>
      <c r="G185" s="10"/>
      <c r="H185" s="5"/>
      <c r="I185" s="5"/>
      <c r="J185" s="5"/>
      <c r="K185" s="5"/>
      <c r="L185" s="5"/>
      <c r="M185" s="5"/>
      <c r="N185" s="5"/>
      <c r="O185" s="5"/>
      <c r="P185" s="5"/>
    </row>
    <row r="186" spans="1:16" x14ac:dyDescent="0.25">
      <c r="A186" s="10"/>
      <c r="B186" s="10"/>
      <c r="C186" s="10"/>
      <c r="D186" s="12"/>
      <c r="E186" s="10"/>
      <c r="F186" s="10"/>
      <c r="G186" s="10"/>
      <c r="H186" s="5"/>
      <c r="I186" s="5"/>
      <c r="J186" s="5"/>
      <c r="K186" s="5"/>
      <c r="L186" s="5"/>
      <c r="M186" s="5"/>
      <c r="N186" s="5"/>
      <c r="O186" s="5"/>
      <c r="P186" s="5"/>
    </row>
    <row r="187" spans="1:16" x14ac:dyDescent="0.25">
      <c r="A187" s="10"/>
      <c r="B187" s="10"/>
      <c r="C187" s="10"/>
      <c r="D187" s="12"/>
      <c r="E187" s="10"/>
      <c r="F187" s="10"/>
      <c r="G187" s="10"/>
      <c r="H187" s="5"/>
      <c r="I187" s="5"/>
      <c r="J187" s="5"/>
      <c r="K187" s="5"/>
      <c r="L187" s="5"/>
      <c r="M187" s="5"/>
      <c r="N187" s="5"/>
      <c r="O187" s="5"/>
      <c r="P187" s="5"/>
    </row>
    <row r="188" spans="1:16" x14ac:dyDescent="0.25">
      <c r="A188" s="10"/>
      <c r="B188" s="10"/>
      <c r="C188" s="10"/>
      <c r="D188" s="12"/>
      <c r="E188" s="10"/>
      <c r="F188" s="10"/>
      <c r="G188" s="10"/>
      <c r="H188" s="5"/>
      <c r="I188" s="5"/>
      <c r="J188" s="5"/>
      <c r="K188" s="5"/>
      <c r="L188" s="5"/>
      <c r="M188" s="5"/>
      <c r="N188" s="5"/>
      <c r="O188" s="5"/>
      <c r="P188" s="5"/>
    </row>
    <row r="189" spans="1:16" x14ac:dyDescent="0.25">
      <c r="A189" s="10"/>
      <c r="B189" s="10"/>
      <c r="C189" s="10"/>
      <c r="D189" s="12"/>
      <c r="E189" s="10"/>
      <c r="F189" s="10"/>
      <c r="G189" s="10"/>
      <c r="H189" s="5"/>
      <c r="I189" s="5"/>
      <c r="J189" s="5"/>
      <c r="K189" s="5"/>
      <c r="L189" s="5"/>
      <c r="M189" s="5"/>
      <c r="N189" s="5"/>
      <c r="O189" s="5"/>
      <c r="P189" s="5"/>
    </row>
    <row r="190" spans="1:16" x14ac:dyDescent="0.25">
      <c r="A190" s="10"/>
      <c r="B190" s="10"/>
      <c r="C190" s="10"/>
      <c r="D190" s="12"/>
      <c r="E190" s="10"/>
      <c r="F190" s="10"/>
      <c r="G190" s="10"/>
      <c r="H190" s="5"/>
      <c r="I190" s="5"/>
      <c r="J190" s="5"/>
      <c r="K190" s="5"/>
      <c r="L190" s="5"/>
      <c r="M190" s="5"/>
      <c r="N190" s="5"/>
      <c r="O190" s="5"/>
      <c r="P190" s="5"/>
    </row>
    <row r="191" spans="1:16" x14ac:dyDescent="0.25">
      <c r="A191" s="10"/>
      <c r="B191" s="10"/>
      <c r="C191" s="10"/>
      <c r="D191" s="12"/>
      <c r="E191" s="10"/>
      <c r="F191" s="10"/>
      <c r="G191" s="10"/>
      <c r="H191" s="5"/>
      <c r="I191" s="5"/>
      <c r="J191" s="5"/>
      <c r="K191" s="5"/>
      <c r="L191" s="5"/>
      <c r="M191" s="5"/>
      <c r="N191" s="5"/>
      <c r="O191" s="5"/>
      <c r="P191" s="5"/>
    </row>
    <row r="192" spans="1:16" x14ac:dyDescent="0.25">
      <c r="A192" s="10"/>
      <c r="B192" s="10"/>
      <c r="C192" s="10"/>
      <c r="D192" s="12"/>
      <c r="E192" s="10"/>
      <c r="F192" s="10"/>
      <c r="G192" s="10"/>
      <c r="H192" s="5"/>
      <c r="I192" s="5"/>
      <c r="J192" s="5"/>
      <c r="K192" s="5"/>
      <c r="L192" s="5"/>
      <c r="M192" s="5"/>
      <c r="N192" s="5"/>
      <c r="O192" s="5"/>
      <c r="P192" s="5"/>
    </row>
    <row r="193" spans="1:16" x14ac:dyDescent="0.25">
      <c r="A193" s="10"/>
      <c r="B193" s="10"/>
      <c r="C193" s="10"/>
      <c r="D193" s="12"/>
      <c r="E193" s="10"/>
      <c r="F193" s="10"/>
      <c r="G193" s="10"/>
      <c r="H193" s="5"/>
      <c r="I193" s="5"/>
      <c r="J193" s="5"/>
      <c r="K193" s="5"/>
      <c r="L193" s="5"/>
      <c r="M193" s="5"/>
      <c r="N193" s="5"/>
      <c r="O193" s="5"/>
      <c r="P193" s="5"/>
    </row>
    <row r="194" spans="1:16" x14ac:dyDescent="0.25">
      <c r="A194" s="10"/>
      <c r="B194" s="10"/>
      <c r="C194" s="10"/>
      <c r="D194" s="12"/>
      <c r="E194" s="10"/>
      <c r="F194" s="10"/>
      <c r="G194" s="10"/>
      <c r="H194" s="5"/>
      <c r="I194" s="5"/>
      <c r="J194" s="5"/>
      <c r="K194" s="5"/>
      <c r="L194" s="5"/>
      <c r="M194" s="5"/>
      <c r="N194" s="5"/>
      <c r="O194" s="5"/>
      <c r="P194" s="5"/>
    </row>
    <row r="195" spans="1:16" x14ac:dyDescent="0.25">
      <c r="A195" s="10"/>
      <c r="B195" s="10"/>
      <c r="C195" s="10"/>
      <c r="D195" s="12"/>
      <c r="E195" s="10"/>
      <c r="F195" s="10"/>
      <c r="G195" s="10"/>
      <c r="H195" s="5"/>
      <c r="I195" s="5"/>
      <c r="J195" s="5"/>
      <c r="K195" s="5"/>
      <c r="L195" s="5"/>
      <c r="M195" s="5"/>
      <c r="N195" s="5"/>
      <c r="O195" s="5"/>
      <c r="P195" s="5"/>
    </row>
    <row r="196" spans="1:16" x14ac:dyDescent="0.25">
      <c r="A196" s="10"/>
      <c r="B196" s="10"/>
      <c r="C196" s="10"/>
      <c r="D196" s="12"/>
      <c r="E196" s="10"/>
      <c r="F196" s="10"/>
      <c r="G196" s="10"/>
      <c r="H196" s="5"/>
      <c r="I196" s="5"/>
      <c r="J196" s="5"/>
      <c r="K196" s="5"/>
      <c r="L196" s="5"/>
      <c r="M196" s="5"/>
      <c r="N196" s="5"/>
      <c r="O196" s="5"/>
      <c r="P196" s="5"/>
    </row>
    <row r="197" spans="1:16" x14ac:dyDescent="0.25">
      <c r="A197" s="10"/>
      <c r="B197" s="10"/>
      <c r="C197" s="10"/>
      <c r="D197" s="12"/>
      <c r="E197" s="10"/>
      <c r="F197" s="10"/>
      <c r="G197" s="10"/>
      <c r="H197" s="5"/>
      <c r="I197" s="5"/>
      <c r="J197" s="5"/>
      <c r="K197" s="5"/>
      <c r="L197" s="5"/>
      <c r="M197" s="5"/>
      <c r="N197" s="5"/>
      <c r="O197" s="5"/>
      <c r="P197" s="5"/>
    </row>
    <row r="198" spans="1:16" x14ac:dyDescent="0.25">
      <c r="A198" s="10"/>
      <c r="B198" s="10"/>
      <c r="C198" s="10"/>
      <c r="D198" s="12"/>
      <c r="E198" s="10"/>
      <c r="F198" s="10"/>
      <c r="G198" s="10"/>
      <c r="H198" s="5"/>
      <c r="I198" s="5"/>
      <c r="J198" s="5"/>
      <c r="K198" s="5"/>
      <c r="L198" s="5"/>
      <c r="M198" s="5"/>
      <c r="N198" s="5"/>
      <c r="O198" s="5"/>
      <c r="P198" s="5"/>
    </row>
    <row r="199" spans="1:16" x14ac:dyDescent="0.25">
      <c r="A199" s="10"/>
      <c r="B199" s="10"/>
      <c r="C199" s="10"/>
      <c r="D199" s="12"/>
      <c r="E199" s="10"/>
      <c r="F199" s="10"/>
      <c r="G199" s="10"/>
      <c r="H199" s="5"/>
      <c r="I199" s="5"/>
      <c r="J199" s="5"/>
      <c r="K199" s="5"/>
      <c r="L199" s="5"/>
      <c r="M199" s="5"/>
      <c r="N199" s="5"/>
      <c r="O199" s="5"/>
      <c r="P199" s="5"/>
    </row>
    <row r="200" spans="1:16" x14ac:dyDescent="0.25">
      <c r="A200" s="10"/>
      <c r="B200" s="10"/>
      <c r="C200" s="10"/>
      <c r="D200" s="12"/>
      <c r="E200" s="10"/>
      <c r="F200" s="10"/>
      <c r="G200" s="10"/>
      <c r="H200" s="5"/>
      <c r="I200" s="5"/>
      <c r="J200" s="5"/>
      <c r="K200" s="5"/>
      <c r="L200" s="5"/>
      <c r="M200" s="5"/>
      <c r="N200" s="5"/>
      <c r="O200" s="5"/>
      <c r="P200" s="5"/>
    </row>
    <row r="201" spans="1:16" x14ac:dyDescent="0.25">
      <c r="A201" s="10"/>
      <c r="B201" s="10"/>
      <c r="C201" s="10"/>
      <c r="D201" s="12"/>
      <c r="E201" s="10"/>
      <c r="F201" s="10"/>
      <c r="G201" s="10"/>
      <c r="H201" s="5"/>
      <c r="I201" s="5"/>
      <c r="J201" s="5"/>
      <c r="K201" s="5"/>
      <c r="L201" s="5"/>
      <c r="M201" s="5"/>
      <c r="N201" s="5"/>
      <c r="O201" s="5"/>
      <c r="P201" s="5"/>
    </row>
    <row r="202" spans="1:16" x14ac:dyDescent="0.25">
      <c r="A202" s="10"/>
      <c r="B202" s="10"/>
      <c r="C202" s="10"/>
      <c r="D202" s="12"/>
      <c r="E202" s="10"/>
      <c r="F202" s="10"/>
      <c r="G202" s="10"/>
      <c r="H202" s="5"/>
      <c r="I202" s="5"/>
      <c r="J202" s="5"/>
      <c r="K202" s="5"/>
      <c r="L202" s="5"/>
      <c r="M202" s="5"/>
      <c r="N202" s="5"/>
      <c r="O202" s="5"/>
      <c r="P202" s="5"/>
    </row>
    <row r="203" spans="1:16" x14ac:dyDescent="0.25">
      <c r="A203" s="10"/>
      <c r="B203" s="10"/>
      <c r="C203" s="10"/>
      <c r="D203" s="12"/>
      <c r="E203" s="10"/>
      <c r="F203" s="10"/>
      <c r="G203" s="10"/>
      <c r="H203" s="5"/>
      <c r="I203" s="5"/>
      <c r="J203" s="5"/>
      <c r="K203" s="5"/>
      <c r="L203" s="5"/>
      <c r="M203" s="5"/>
      <c r="N203" s="5"/>
      <c r="O203" s="5"/>
      <c r="P203" s="5"/>
    </row>
    <row r="204" spans="1:16" x14ac:dyDescent="0.25">
      <c r="A204" s="10"/>
      <c r="B204" s="10"/>
      <c r="C204" s="10"/>
      <c r="D204" s="12"/>
      <c r="E204" s="10"/>
      <c r="F204" s="10"/>
      <c r="G204" s="10"/>
      <c r="H204" s="5"/>
      <c r="I204" s="5"/>
      <c r="J204" s="5"/>
      <c r="K204" s="5"/>
      <c r="L204" s="5"/>
      <c r="M204" s="5"/>
      <c r="N204" s="5"/>
      <c r="O204" s="5"/>
      <c r="P204" s="5"/>
    </row>
    <row r="205" spans="1:16" x14ac:dyDescent="0.25">
      <c r="A205" s="10"/>
      <c r="B205" s="10"/>
      <c r="C205" s="10"/>
      <c r="D205" s="12"/>
      <c r="E205" s="10"/>
      <c r="F205" s="10"/>
      <c r="G205" s="10"/>
      <c r="H205" s="5"/>
      <c r="I205" s="5"/>
      <c r="J205" s="5"/>
      <c r="K205" s="5"/>
      <c r="L205" s="5"/>
      <c r="M205" s="5"/>
      <c r="N205" s="5"/>
      <c r="O205" s="5"/>
      <c r="P205" s="5"/>
    </row>
    <row r="206" spans="1:16" x14ac:dyDescent="0.25">
      <c r="A206" s="10"/>
      <c r="B206" s="10"/>
      <c r="C206" s="10"/>
      <c r="D206" s="12"/>
      <c r="E206" s="10"/>
      <c r="F206" s="10"/>
      <c r="G206" s="10"/>
      <c r="H206" s="5"/>
      <c r="I206" s="5"/>
      <c r="J206" s="5"/>
      <c r="K206" s="5"/>
      <c r="L206" s="5"/>
      <c r="M206" s="5"/>
      <c r="N206" s="5"/>
      <c r="O206" s="5"/>
      <c r="P206" s="5"/>
    </row>
    <row r="207" spans="1:16" x14ac:dyDescent="0.25">
      <c r="A207" s="10"/>
      <c r="B207" s="10"/>
      <c r="C207" s="10"/>
      <c r="D207" s="12"/>
      <c r="E207" s="10"/>
      <c r="F207" s="10"/>
      <c r="G207" s="10"/>
      <c r="H207" s="5"/>
      <c r="I207" s="5"/>
      <c r="J207" s="5"/>
      <c r="K207" s="5"/>
      <c r="L207" s="5"/>
      <c r="M207" s="5"/>
      <c r="N207" s="5"/>
      <c r="O207" s="5"/>
      <c r="P207" s="5"/>
    </row>
    <row r="208" spans="1:16" x14ac:dyDescent="0.25">
      <c r="A208" s="10"/>
      <c r="B208" s="10"/>
      <c r="C208" s="10"/>
      <c r="D208" s="12"/>
      <c r="E208" s="10"/>
      <c r="F208" s="10"/>
      <c r="G208" s="10"/>
      <c r="H208" s="5"/>
      <c r="I208" s="5"/>
      <c r="J208" s="5"/>
      <c r="K208" s="5"/>
      <c r="L208" s="5"/>
      <c r="M208" s="5"/>
      <c r="N208" s="5"/>
      <c r="O208" s="5"/>
      <c r="P208" s="5"/>
    </row>
    <row r="209" spans="1:16" x14ac:dyDescent="0.25">
      <c r="A209" s="10"/>
      <c r="B209" s="10"/>
      <c r="C209" s="10"/>
      <c r="D209" s="12"/>
      <c r="E209" s="10"/>
      <c r="F209" s="10"/>
      <c r="G209" s="10"/>
      <c r="H209" s="5"/>
      <c r="I209" s="5"/>
      <c r="J209" s="5"/>
      <c r="K209" s="5"/>
      <c r="L209" s="5"/>
      <c r="M209" s="5"/>
      <c r="N209" s="5"/>
      <c r="O209" s="5"/>
      <c r="P209" s="5"/>
    </row>
    <row r="210" spans="1:16" x14ac:dyDescent="0.25">
      <c r="A210" s="10"/>
      <c r="B210" s="10"/>
      <c r="C210" s="10"/>
      <c r="D210" s="12"/>
      <c r="E210" s="10"/>
      <c r="F210" s="10"/>
      <c r="G210" s="10"/>
      <c r="H210" s="5"/>
      <c r="I210" s="5"/>
      <c r="J210" s="5"/>
      <c r="K210" s="5"/>
      <c r="L210" s="5"/>
      <c r="M210" s="5"/>
      <c r="N210" s="5"/>
      <c r="O210" s="5"/>
      <c r="P210" s="5"/>
    </row>
    <row r="211" spans="1:16" x14ac:dyDescent="0.25">
      <c r="A211" s="10"/>
      <c r="B211" s="10"/>
      <c r="C211" s="10"/>
      <c r="D211" s="12"/>
      <c r="E211" s="10"/>
      <c r="F211" s="10"/>
      <c r="G211" s="10"/>
      <c r="H211" s="5"/>
      <c r="I211" s="5"/>
      <c r="J211" s="5"/>
      <c r="K211" s="5"/>
      <c r="L211" s="5"/>
      <c r="M211" s="5"/>
      <c r="N211" s="5"/>
      <c r="O211" s="5"/>
      <c r="P211" s="5"/>
    </row>
    <row r="212" spans="1:16" x14ac:dyDescent="0.25">
      <c r="A212" s="10"/>
      <c r="B212" s="10"/>
      <c r="C212" s="10"/>
      <c r="D212" s="12"/>
      <c r="E212" s="10"/>
      <c r="F212" s="10"/>
      <c r="G212" s="10"/>
      <c r="H212" s="5"/>
      <c r="I212" s="5"/>
      <c r="J212" s="5"/>
      <c r="K212" s="5"/>
      <c r="L212" s="5"/>
      <c r="M212" s="5"/>
      <c r="N212" s="5"/>
      <c r="O212" s="5"/>
      <c r="P212" s="5"/>
    </row>
    <row r="213" spans="1:16" x14ac:dyDescent="0.25">
      <c r="A213" s="10"/>
      <c r="B213" s="10"/>
      <c r="C213" s="10"/>
      <c r="D213" s="12"/>
      <c r="E213" s="10"/>
      <c r="F213" s="10"/>
      <c r="G213" s="10"/>
      <c r="H213" s="5"/>
      <c r="I213" s="5"/>
      <c r="J213" s="5"/>
      <c r="K213" s="5"/>
      <c r="L213" s="5"/>
      <c r="M213" s="5"/>
      <c r="N213" s="5"/>
      <c r="O213" s="5"/>
      <c r="P213" s="5"/>
    </row>
    <row r="214" spans="1:16" x14ac:dyDescent="0.25">
      <c r="A214" s="10"/>
      <c r="B214" s="10"/>
      <c r="C214" s="10"/>
      <c r="D214" s="12"/>
      <c r="E214" s="10"/>
      <c r="F214" s="10"/>
      <c r="G214" s="10"/>
      <c r="H214" s="5"/>
      <c r="I214" s="5"/>
      <c r="J214" s="5"/>
      <c r="K214" s="5"/>
      <c r="L214" s="5"/>
      <c r="M214" s="5"/>
      <c r="N214" s="5"/>
      <c r="O214" s="5"/>
      <c r="P214" s="5"/>
    </row>
    <row r="215" spans="1:16" x14ac:dyDescent="0.25">
      <c r="A215" s="10"/>
      <c r="B215" s="10"/>
      <c r="C215" s="10"/>
      <c r="D215" s="12"/>
      <c r="E215" s="10"/>
      <c r="F215" s="10"/>
      <c r="G215" s="10"/>
      <c r="H215" s="5"/>
      <c r="I215" s="5"/>
      <c r="J215" s="5"/>
      <c r="K215" s="5"/>
      <c r="L215" s="5"/>
      <c r="M215" s="5"/>
      <c r="N215" s="5"/>
      <c r="O215" s="5"/>
      <c r="P215" s="5"/>
    </row>
    <row r="216" spans="1:16" x14ac:dyDescent="0.25">
      <c r="A216" s="10"/>
      <c r="B216" s="10"/>
      <c r="C216" s="10"/>
      <c r="D216" s="12"/>
      <c r="E216" s="10"/>
      <c r="F216" s="10"/>
      <c r="G216" s="10"/>
      <c r="H216" s="5"/>
      <c r="I216" s="5"/>
      <c r="J216" s="5"/>
      <c r="K216" s="5"/>
      <c r="L216" s="5"/>
      <c r="M216" s="5"/>
      <c r="N216" s="5"/>
      <c r="O216" s="5"/>
      <c r="P216" s="5"/>
    </row>
    <row r="217" spans="1:16" x14ac:dyDescent="0.25">
      <c r="A217" s="10"/>
      <c r="B217" s="10"/>
      <c r="C217" s="10"/>
      <c r="D217" s="12"/>
      <c r="E217" s="10"/>
      <c r="F217" s="10"/>
      <c r="G217" s="10"/>
      <c r="H217" s="5"/>
      <c r="I217" s="5"/>
      <c r="J217" s="5"/>
      <c r="K217" s="5"/>
      <c r="L217" s="5"/>
      <c r="M217" s="5"/>
      <c r="N217" s="5"/>
      <c r="O217" s="5"/>
      <c r="P217" s="5"/>
    </row>
    <row r="218" spans="1:16" x14ac:dyDescent="0.25">
      <c r="A218" s="10"/>
      <c r="B218" s="10"/>
      <c r="C218" s="10"/>
      <c r="D218" s="12"/>
      <c r="E218" s="10"/>
      <c r="F218" s="10"/>
      <c r="G218" s="10"/>
      <c r="H218" s="5"/>
      <c r="I218" s="5"/>
      <c r="J218" s="5"/>
      <c r="K218" s="5"/>
      <c r="L218" s="5"/>
      <c r="M218" s="5"/>
      <c r="N218" s="5"/>
      <c r="O218" s="5"/>
      <c r="P218" s="5"/>
    </row>
    <row r="219" spans="1:16" x14ac:dyDescent="0.25">
      <c r="A219" s="10"/>
      <c r="B219" s="10"/>
      <c r="C219" s="10"/>
      <c r="D219" s="12"/>
      <c r="E219" s="10"/>
      <c r="F219" s="10"/>
      <c r="G219" s="10"/>
      <c r="H219" s="5"/>
      <c r="I219" s="5"/>
      <c r="J219" s="5"/>
      <c r="K219" s="5"/>
      <c r="L219" s="5"/>
      <c r="M219" s="5"/>
      <c r="N219" s="5"/>
      <c r="O219" s="5"/>
      <c r="P219" s="5"/>
    </row>
    <row r="220" spans="1:16" x14ac:dyDescent="0.25">
      <c r="A220" s="10"/>
      <c r="B220" s="10"/>
      <c r="C220" s="10"/>
      <c r="D220" s="12"/>
      <c r="E220" s="10"/>
      <c r="F220" s="10"/>
      <c r="G220" s="10"/>
      <c r="H220" s="5"/>
      <c r="I220" s="5"/>
      <c r="J220" s="5"/>
      <c r="K220" s="5"/>
      <c r="L220" s="5"/>
      <c r="M220" s="5"/>
      <c r="N220" s="5"/>
      <c r="O220" s="5"/>
      <c r="P220" s="5"/>
    </row>
    <row r="221" spans="1:16" x14ac:dyDescent="0.25">
      <c r="A221" s="10"/>
      <c r="B221" s="10"/>
      <c r="C221" s="10"/>
      <c r="D221" s="12"/>
      <c r="E221" s="10"/>
      <c r="F221" s="10"/>
      <c r="G221" s="10"/>
      <c r="H221" s="5"/>
      <c r="I221" s="5"/>
      <c r="J221" s="5"/>
      <c r="K221" s="5"/>
      <c r="L221" s="5"/>
      <c r="M221" s="5"/>
      <c r="N221" s="5"/>
      <c r="O221" s="5"/>
      <c r="P221" s="5"/>
    </row>
    <row r="222" spans="1:16" x14ac:dyDescent="0.25">
      <c r="A222" s="10"/>
      <c r="B222" s="10"/>
      <c r="C222" s="10"/>
      <c r="D222" s="12"/>
      <c r="E222" s="10"/>
      <c r="F222" s="10"/>
      <c r="G222" s="10"/>
      <c r="H222" s="5"/>
      <c r="I222" s="5"/>
      <c r="J222" s="5"/>
      <c r="K222" s="5"/>
      <c r="L222" s="5"/>
      <c r="M222" s="5"/>
      <c r="N222" s="5"/>
      <c r="O222" s="5"/>
      <c r="P222" s="5"/>
    </row>
    <row r="223" spans="1:16" x14ac:dyDescent="0.25">
      <c r="A223" s="10"/>
      <c r="B223" s="10"/>
      <c r="C223" s="10"/>
      <c r="D223" s="12"/>
      <c r="E223" s="10"/>
      <c r="F223" s="10"/>
      <c r="G223" s="10"/>
      <c r="H223" s="5"/>
      <c r="I223" s="5"/>
      <c r="J223" s="5"/>
      <c r="K223" s="5"/>
      <c r="L223" s="5"/>
      <c r="M223" s="5"/>
      <c r="N223" s="5"/>
      <c r="O223" s="5"/>
      <c r="P223" s="5"/>
    </row>
    <row r="224" spans="1:16" x14ac:dyDescent="0.25">
      <c r="A224" s="10"/>
      <c r="B224" s="10"/>
      <c r="C224" s="10"/>
      <c r="D224" s="12"/>
      <c r="E224" s="10"/>
      <c r="F224" s="10"/>
      <c r="G224" s="10"/>
      <c r="H224" s="5"/>
      <c r="I224" s="5"/>
      <c r="J224" s="5"/>
      <c r="K224" s="5"/>
      <c r="L224" s="5"/>
      <c r="M224" s="5"/>
      <c r="N224" s="5"/>
      <c r="O224" s="5"/>
      <c r="P224" s="5"/>
    </row>
    <row r="225" spans="1:16" x14ac:dyDescent="0.25">
      <c r="A225" s="10"/>
      <c r="B225" s="10"/>
      <c r="C225" s="10"/>
      <c r="D225" s="12"/>
      <c r="E225" s="10"/>
      <c r="F225" s="10"/>
      <c r="G225" s="10"/>
      <c r="H225" s="5"/>
      <c r="I225" s="5"/>
      <c r="J225" s="5"/>
      <c r="K225" s="5"/>
      <c r="L225" s="5"/>
      <c r="M225" s="5"/>
      <c r="N225" s="5"/>
      <c r="O225" s="5"/>
      <c r="P225" s="5"/>
    </row>
    <row r="226" spans="1:16" x14ac:dyDescent="0.25">
      <c r="A226" s="10"/>
      <c r="B226" s="10"/>
      <c r="C226" s="10"/>
      <c r="D226" s="12"/>
      <c r="E226" s="10"/>
      <c r="F226" s="10"/>
      <c r="G226" s="10"/>
      <c r="H226" s="5"/>
      <c r="I226" s="5"/>
      <c r="J226" s="5"/>
      <c r="K226" s="5"/>
      <c r="L226" s="5"/>
      <c r="M226" s="5"/>
      <c r="N226" s="5"/>
      <c r="O226" s="5"/>
      <c r="P226" s="5"/>
    </row>
    <row r="227" spans="1:16" x14ac:dyDescent="0.25">
      <c r="A227" s="10"/>
      <c r="B227" s="10"/>
      <c r="C227" s="10"/>
      <c r="D227" s="12"/>
      <c r="E227" s="10"/>
      <c r="F227" s="10"/>
      <c r="G227" s="10"/>
      <c r="H227" s="5"/>
      <c r="I227" s="5"/>
      <c r="J227" s="5"/>
      <c r="K227" s="5"/>
      <c r="L227" s="5"/>
      <c r="M227" s="5"/>
      <c r="N227" s="5"/>
      <c r="O227" s="5"/>
      <c r="P227" s="5"/>
    </row>
    <row r="228" spans="1:16" x14ac:dyDescent="0.25">
      <c r="A228" s="10"/>
      <c r="B228" s="10"/>
      <c r="C228" s="10"/>
      <c r="D228" s="12"/>
      <c r="E228" s="10"/>
      <c r="F228" s="10"/>
      <c r="G228" s="10"/>
      <c r="H228" s="5"/>
      <c r="I228" s="5"/>
      <c r="J228" s="5"/>
      <c r="K228" s="5"/>
      <c r="L228" s="5"/>
      <c r="M228" s="5"/>
      <c r="N228" s="5"/>
      <c r="O228" s="5"/>
      <c r="P228" s="5"/>
    </row>
    <row r="229" spans="1:16" x14ac:dyDescent="0.25">
      <c r="A229" s="10"/>
      <c r="B229" s="10"/>
      <c r="C229" s="10"/>
      <c r="D229" s="12"/>
      <c r="E229" s="10"/>
      <c r="F229" s="10"/>
      <c r="G229" s="10"/>
      <c r="H229" s="5"/>
      <c r="I229" s="5"/>
      <c r="J229" s="5"/>
      <c r="K229" s="5"/>
      <c r="L229" s="5"/>
      <c r="M229" s="5"/>
      <c r="N229" s="5"/>
      <c r="O229" s="5"/>
      <c r="P229" s="5"/>
    </row>
    <row r="230" spans="1:16" x14ac:dyDescent="0.25">
      <c r="A230" s="10"/>
      <c r="B230" s="10"/>
      <c r="C230" s="10"/>
      <c r="D230" s="12"/>
      <c r="E230" s="10"/>
      <c r="F230" s="10"/>
      <c r="G230" s="10"/>
      <c r="H230" s="5"/>
      <c r="I230" s="5"/>
      <c r="J230" s="5"/>
      <c r="K230" s="5"/>
      <c r="L230" s="5"/>
      <c r="M230" s="5"/>
      <c r="N230" s="5"/>
      <c r="O230" s="5"/>
      <c r="P230" s="5"/>
    </row>
    <row r="231" spans="1:16" x14ac:dyDescent="0.25">
      <c r="A231" s="10"/>
      <c r="B231" s="10"/>
      <c r="C231" s="10"/>
      <c r="D231" s="12"/>
      <c r="E231" s="10"/>
      <c r="F231" s="10"/>
      <c r="G231" s="10"/>
      <c r="H231" s="5"/>
      <c r="I231" s="5"/>
      <c r="J231" s="5"/>
      <c r="K231" s="5"/>
      <c r="L231" s="5"/>
      <c r="M231" s="5"/>
      <c r="N231" s="5"/>
      <c r="O231" s="5"/>
      <c r="P231" s="5"/>
    </row>
    <row r="232" spans="1:16" x14ac:dyDescent="0.25">
      <c r="A232" s="10"/>
      <c r="B232" s="10"/>
      <c r="C232" s="10"/>
      <c r="D232" s="12"/>
      <c r="E232" s="10"/>
      <c r="F232" s="10"/>
      <c r="G232" s="10"/>
      <c r="H232" s="5"/>
      <c r="I232" s="5"/>
      <c r="J232" s="5"/>
      <c r="K232" s="5"/>
      <c r="L232" s="5"/>
      <c r="M232" s="5"/>
      <c r="N232" s="5"/>
      <c r="O232" s="5"/>
      <c r="P232" s="5"/>
    </row>
    <row r="233" spans="1:16" x14ac:dyDescent="0.25">
      <c r="A233" s="10"/>
      <c r="B233" s="10"/>
      <c r="C233" s="10"/>
      <c r="D233" s="12"/>
      <c r="E233" s="10"/>
      <c r="F233" s="10"/>
      <c r="G233" s="10"/>
      <c r="H233" s="5"/>
      <c r="I233" s="5"/>
      <c r="J233" s="5"/>
      <c r="K233" s="5"/>
      <c r="L233" s="5"/>
      <c r="M233" s="5"/>
      <c r="N233" s="5"/>
      <c r="O233" s="5"/>
      <c r="P233" s="5"/>
    </row>
    <row r="234" spans="1:16" x14ac:dyDescent="0.25">
      <c r="A234" s="10"/>
      <c r="B234" s="10"/>
      <c r="C234" s="10"/>
      <c r="D234" s="12"/>
      <c r="E234" s="10"/>
      <c r="F234" s="10"/>
      <c r="G234" s="10"/>
      <c r="H234" s="5"/>
      <c r="I234" s="5"/>
      <c r="J234" s="5"/>
      <c r="K234" s="5"/>
      <c r="L234" s="5"/>
      <c r="M234" s="5"/>
      <c r="N234" s="5"/>
      <c r="O234" s="5"/>
      <c r="P234" s="5"/>
    </row>
    <row r="235" spans="1:16" x14ac:dyDescent="0.25">
      <c r="A235" s="10"/>
      <c r="B235" s="10"/>
      <c r="C235" s="10"/>
      <c r="D235" s="12"/>
      <c r="E235" s="10"/>
      <c r="F235" s="10"/>
      <c r="G235" s="10"/>
      <c r="H235" s="5"/>
      <c r="I235" s="5"/>
      <c r="J235" s="5"/>
      <c r="K235" s="5"/>
      <c r="L235" s="5"/>
      <c r="M235" s="5"/>
      <c r="N235" s="5"/>
      <c r="O235" s="5"/>
      <c r="P235" s="5"/>
    </row>
    <row r="236" spans="1:16" x14ac:dyDescent="0.25">
      <c r="A236" s="10"/>
      <c r="B236" s="10"/>
      <c r="C236" s="10"/>
      <c r="D236" s="12"/>
      <c r="E236" s="10"/>
      <c r="F236" s="10"/>
      <c r="G236" s="10"/>
      <c r="H236" s="5"/>
      <c r="I236" s="5"/>
      <c r="J236" s="5"/>
      <c r="K236" s="5"/>
      <c r="L236" s="5"/>
      <c r="M236" s="5"/>
      <c r="N236" s="5"/>
      <c r="O236" s="5"/>
      <c r="P236" s="5"/>
    </row>
    <row r="237" spans="1:16" x14ac:dyDescent="0.25">
      <c r="A237" s="10"/>
      <c r="B237" s="10"/>
      <c r="C237" s="10"/>
      <c r="D237" s="12"/>
      <c r="E237" s="10"/>
      <c r="F237" s="10"/>
      <c r="G237" s="10"/>
      <c r="H237" s="5"/>
      <c r="I237" s="5"/>
      <c r="J237" s="5"/>
      <c r="K237" s="5"/>
      <c r="L237" s="5"/>
      <c r="M237" s="5"/>
      <c r="N237" s="5"/>
      <c r="O237" s="5"/>
      <c r="P237" s="5"/>
    </row>
    <row r="238" spans="1:16" x14ac:dyDescent="0.25">
      <c r="A238" s="10"/>
      <c r="B238" s="10"/>
      <c r="C238" s="10"/>
      <c r="D238" s="12"/>
      <c r="E238" s="10"/>
      <c r="F238" s="10"/>
      <c r="G238" s="10"/>
      <c r="H238" s="5"/>
      <c r="I238" s="5"/>
      <c r="J238" s="5"/>
      <c r="K238" s="5"/>
      <c r="L238" s="5"/>
      <c r="M238" s="5"/>
      <c r="N238" s="5"/>
      <c r="O238" s="5"/>
      <c r="P238" s="5"/>
    </row>
    <row r="239" spans="1:16" x14ac:dyDescent="0.25">
      <c r="A239" s="10"/>
      <c r="B239" s="10"/>
      <c r="C239" s="10"/>
      <c r="D239" s="12"/>
      <c r="E239" s="10"/>
      <c r="F239" s="10"/>
      <c r="G239" s="10"/>
      <c r="H239" s="5"/>
      <c r="I239" s="5"/>
      <c r="J239" s="5"/>
      <c r="K239" s="5"/>
      <c r="L239" s="5"/>
      <c r="M239" s="5"/>
      <c r="N239" s="5"/>
      <c r="O239" s="5"/>
      <c r="P239" s="5"/>
    </row>
    <row r="240" spans="1:16" x14ac:dyDescent="0.25">
      <c r="A240" s="10"/>
      <c r="B240" s="10"/>
      <c r="C240" s="10"/>
      <c r="D240" s="12"/>
      <c r="E240" s="10"/>
      <c r="F240" s="10"/>
      <c r="G240" s="10"/>
      <c r="H240" s="5"/>
      <c r="I240" s="5"/>
      <c r="J240" s="5"/>
      <c r="K240" s="5"/>
      <c r="L240" s="5"/>
      <c r="M240" s="5"/>
      <c r="N240" s="5"/>
      <c r="O240" s="5"/>
      <c r="P240" s="5"/>
    </row>
    <row r="241" spans="1:16" x14ac:dyDescent="0.25">
      <c r="A241" s="10"/>
      <c r="B241" s="10"/>
      <c r="C241" s="10"/>
      <c r="D241" s="12"/>
      <c r="E241" s="10"/>
      <c r="F241" s="10"/>
      <c r="G241" s="10"/>
      <c r="H241" s="5"/>
      <c r="I241" s="5"/>
      <c r="J241" s="5"/>
      <c r="K241" s="5"/>
      <c r="L241" s="5"/>
      <c r="M241" s="5"/>
      <c r="N241" s="5"/>
      <c r="O241" s="5"/>
      <c r="P241" s="5"/>
    </row>
    <row r="242" spans="1:16" x14ac:dyDescent="0.25">
      <c r="A242" s="10"/>
      <c r="B242" s="10"/>
      <c r="C242" s="10"/>
      <c r="D242" s="12"/>
      <c r="E242" s="10"/>
      <c r="F242" s="10"/>
      <c r="G242" s="10"/>
      <c r="H242" s="5"/>
      <c r="I242" s="5"/>
      <c r="J242" s="5"/>
      <c r="K242" s="5"/>
      <c r="L242" s="5"/>
      <c r="M242" s="5"/>
      <c r="N242" s="5"/>
      <c r="O242" s="5"/>
      <c r="P242" s="5"/>
    </row>
    <row r="243" spans="1:16" x14ac:dyDescent="0.25">
      <c r="A243" s="10"/>
      <c r="B243" s="10"/>
      <c r="C243" s="10"/>
      <c r="D243" s="12"/>
      <c r="E243" s="10"/>
      <c r="F243" s="10"/>
      <c r="G243" s="10"/>
      <c r="H243" s="5"/>
      <c r="I243" s="5"/>
      <c r="J243" s="5"/>
      <c r="K243" s="5"/>
      <c r="L243" s="5"/>
      <c r="M243" s="5"/>
      <c r="N243" s="5"/>
      <c r="O243" s="5"/>
      <c r="P243" s="5"/>
    </row>
    <row r="244" spans="1:16" x14ac:dyDescent="0.25">
      <c r="A244" s="10"/>
      <c r="B244" s="10"/>
      <c r="C244" s="10"/>
      <c r="D244" s="12"/>
      <c r="E244" s="10"/>
      <c r="F244" s="10"/>
      <c r="G244" s="10"/>
      <c r="H244" s="5"/>
      <c r="I244" s="5"/>
      <c r="J244" s="5"/>
      <c r="K244" s="5"/>
      <c r="L244" s="5"/>
      <c r="M244" s="5"/>
      <c r="N244" s="5"/>
      <c r="O244" s="5"/>
      <c r="P244" s="5"/>
    </row>
    <row r="245" spans="1:16" x14ac:dyDescent="0.25">
      <c r="A245" s="10"/>
      <c r="B245" s="10"/>
      <c r="C245" s="10"/>
      <c r="D245" s="12"/>
      <c r="E245" s="10"/>
      <c r="F245" s="10"/>
      <c r="G245" s="10"/>
      <c r="H245" s="5"/>
      <c r="I245" s="5"/>
      <c r="J245" s="5"/>
      <c r="K245" s="5"/>
      <c r="L245" s="5"/>
      <c r="M245" s="5"/>
      <c r="N245" s="5"/>
      <c r="O245" s="5"/>
      <c r="P245" s="5"/>
    </row>
    <row r="246" spans="1:16" x14ac:dyDescent="0.25">
      <c r="A246" s="10"/>
      <c r="B246" s="10"/>
      <c r="C246" s="10"/>
      <c r="D246" s="12"/>
      <c r="E246" s="10"/>
      <c r="F246" s="10"/>
      <c r="G246" s="10"/>
      <c r="H246" s="5"/>
      <c r="I246" s="5"/>
      <c r="J246" s="5"/>
      <c r="K246" s="5"/>
      <c r="L246" s="5"/>
      <c r="M246" s="5"/>
      <c r="N246" s="5"/>
      <c r="O246" s="5"/>
      <c r="P246" s="5"/>
    </row>
    <row r="247" spans="1:16" x14ac:dyDescent="0.25">
      <c r="A247" s="10"/>
      <c r="B247" s="10"/>
      <c r="C247" s="10"/>
      <c r="D247" s="12"/>
      <c r="E247" s="10"/>
      <c r="F247" s="10"/>
      <c r="G247" s="10"/>
      <c r="H247" s="5"/>
      <c r="I247" s="5"/>
      <c r="J247" s="5"/>
      <c r="K247" s="5"/>
      <c r="L247" s="5"/>
      <c r="M247" s="5"/>
      <c r="N247" s="5"/>
      <c r="O247" s="5"/>
      <c r="P247" s="5"/>
    </row>
    <row r="248" spans="1:16" x14ac:dyDescent="0.25">
      <c r="A248" s="10"/>
      <c r="B248" s="10"/>
      <c r="C248" s="10"/>
      <c r="D248" s="12"/>
      <c r="E248" s="10"/>
      <c r="F248" s="10"/>
      <c r="G248" s="10"/>
      <c r="H248" s="5"/>
      <c r="I248" s="5"/>
      <c r="J248" s="5"/>
      <c r="K248" s="5"/>
      <c r="L248" s="5"/>
      <c r="M248" s="5"/>
      <c r="N248" s="5"/>
      <c r="O248" s="5"/>
      <c r="P248" s="5"/>
    </row>
    <row r="249" spans="1:16" x14ac:dyDescent="0.25">
      <c r="A249" s="10"/>
      <c r="B249" s="10"/>
      <c r="C249" s="10"/>
      <c r="D249" s="12"/>
      <c r="E249" s="10"/>
      <c r="F249" s="10"/>
      <c r="G249" s="10"/>
      <c r="H249" s="5"/>
      <c r="I249" s="5"/>
      <c r="J249" s="5"/>
      <c r="K249" s="5"/>
      <c r="L249" s="5"/>
      <c r="M249" s="5"/>
      <c r="N249" s="5"/>
      <c r="O249" s="5"/>
      <c r="P249" s="5"/>
    </row>
    <row r="250" spans="1:16" x14ac:dyDescent="0.25">
      <c r="A250" s="10"/>
      <c r="B250" s="10"/>
      <c r="C250" s="10"/>
      <c r="D250" s="12"/>
      <c r="E250" s="10"/>
      <c r="F250" s="10"/>
      <c r="G250" s="10"/>
      <c r="H250" s="5"/>
      <c r="I250" s="5"/>
      <c r="J250" s="5"/>
      <c r="K250" s="5"/>
      <c r="L250" s="5"/>
      <c r="M250" s="5"/>
      <c r="N250" s="5"/>
      <c r="O250" s="5"/>
      <c r="P250" s="5"/>
    </row>
    <row r="251" spans="1:16" x14ac:dyDescent="0.25">
      <c r="A251" s="10"/>
      <c r="B251" s="10"/>
      <c r="C251" s="10"/>
      <c r="D251" s="12"/>
      <c r="E251" s="10"/>
      <c r="F251" s="10"/>
      <c r="G251" s="10"/>
      <c r="H251" s="5"/>
      <c r="I251" s="5"/>
      <c r="J251" s="5"/>
      <c r="K251" s="5"/>
      <c r="L251" s="5"/>
      <c r="M251" s="5"/>
      <c r="N251" s="5"/>
      <c r="O251" s="5"/>
      <c r="P251" s="5"/>
    </row>
    <row r="252" spans="1:16" x14ac:dyDescent="0.25">
      <c r="A252" s="10"/>
      <c r="B252" s="10"/>
      <c r="C252" s="10"/>
      <c r="D252" s="12"/>
      <c r="E252" s="10"/>
      <c r="F252" s="10"/>
      <c r="G252" s="10"/>
      <c r="H252" s="5"/>
      <c r="I252" s="5"/>
      <c r="J252" s="5"/>
      <c r="K252" s="5"/>
      <c r="L252" s="5"/>
      <c r="M252" s="5"/>
      <c r="N252" s="5"/>
      <c r="O252" s="5"/>
      <c r="P252" s="5"/>
    </row>
    <row r="253" spans="1:16" x14ac:dyDescent="0.25">
      <c r="A253" s="10"/>
      <c r="B253" s="10"/>
      <c r="C253" s="10"/>
      <c r="D253" s="12"/>
      <c r="E253" s="10"/>
      <c r="F253" s="10"/>
      <c r="G253" s="10"/>
      <c r="H253" s="5"/>
      <c r="I253" s="5"/>
      <c r="J253" s="5"/>
      <c r="K253" s="5"/>
      <c r="L253" s="5"/>
      <c r="M253" s="5"/>
      <c r="N253" s="5"/>
      <c r="O253" s="5"/>
      <c r="P253" s="5"/>
    </row>
    <row r="254" spans="1:16" x14ac:dyDescent="0.25">
      <c r="A254" s="10"/>
      <c r="B254" s="10"/>
      <c r="C254" s="10"/>
      <c r="D254" s="12"/>
      <c r="E254" s="10"/>
      <c r="F254" s="10"/>
      <c r="G254" s="10"/>
      <c r="H254" s="5"/>
      <c r="I254" s="5"/>
      <c r="J254" s="5"/>
      <c r="K254" s="5"/>
      <c r="L254" s="5"/>
      <c r="M254" s="5"/>
      <c r="N254" s="5"/>
      <c r="O254" s="5"/>
      <c r="P254" s="5"/>
    </row>
    <row r="255" spans="1:16" x14ac:dyDescent="0.25">
      <c r="A255" s="10"/>
      <c r="B255" s="10"/>
      <c r="C255" s="10"/>
      <c r="D255" s="12"/>
      <c r="E255" s="10"/>
      <c r="F255" s="10"/>
      <c r="G255" s="10"/>
      <c r="H255" s="5"/>
      <c r="I255" s="5"/>
      <c r="J255" s="5"/>
      <c r="K255" s="5"/>
      <c r="L255" s="5"/>
      <c r="M255" s="5"/>
      <c r="N255" s="5"/>
      <c r="O255" s="5"/>
      <c r="P255" s="5"/>
    </row>
    <row r="256" spans="1:16" x14ac:dyDescent="0.25">
      <c r="A256" s="10"/>
      <c r="B256" s="10"/>
      <c r="C256" s="10"/>
      <c r="D256" s="12"/>
      <c r="E256" s="10"/>
      <c r="F256" s="10"/>
      <c r="G256" s="10"/>
      <c r="H256" s="5"/>
      <c r="I256" s="5"/>
      <c r="J256" s="5"/>
      <c r="K256" s="5"/>
      <c r="L256" s="5"/>
      <c r="M256" s="5"/>
      <c r="N256" s="5"/>
      <c r="O256" s="5"/>
      <c r="P256" s="5"/>
    </row>
    <row r="257" spans="1:16" x14ac:dyDescent="0.25">
      <c r="A257" s="10"/>
      <c r="B257" s="10"/>
      <c r="C257" s="10"/>
      <c r="D257" s="12"/>
      <c r="E257" s="10"/>
      <c r="F257" s="10"/>
      <c r="G257" s="10"/>
      <c r="H257" s="5"/>
      <c r="I257" s="5"/>
      <c r="J257" s="5"/>
      <c r="K257" s="5"/>
      <c r="L257" s="5"/>
      <c r="M257" s="5"/>
      <c r="N257" s="5"/>
      <c r="O257" s="5"/>
      <c r="P257" s="5"/>
    </row>
    <row r="258" spans="1:16" x14ac:dyDescent="0.25">
      <c r="A258" s="10"/>
      <c r="B258" s="10"/>
      <c r="C258" s="10"/>
      <c r="D258" s="12"/>
      <c r="E258" s="10"/>
      <c r="F258" s="10"/>
      <c r="G258" s="10"/>
      <c r="H258" s="5"/>
      <c r="I258" s="5"/>
      <c r="J258" s="5"/>
      <c r="K258" s="5"/>
      <c r="L258" s="5"/>
      <c r="M258" s="5"/>
      <c r="N258" s="5"/>
      <c r="O258" s="5"/>
      <c r="P258" s="5"/>
    </row>
    <row r="259" spans="1:16" x14ac:dyDescent="0.25">
      <c r="A259" s="10"/>
      <c r="B259" s="10"/>
      <c r="C259" s="10"/>
      <c r="D259" s="12"/>
      <c r="E259" s="10"/>
      <c r="F259" s="10"/>
      <c r="G259" s="10"/>
      <c r="H259" s="5"/>
      <c r="I259" s="5"/>
      <c r="J259" s="5"/>
      <c r="K259" s="5"/>
      <c r="L259" s="5"/>
      <c r="M259" s="5"/>
      <c r="N259" s="5"/>
      <c r="O259" s="5"/>
      <c r="P259" s="5"/>
    </row>
    <row r="260" spans="1:16" x14ac:dyDescent="0.25">
      <c r="A260" s="10"/>
      <c r="B260" s="10"/>
      <c r="C260" s="10"/>
      <c r="D260" s="12"/>
      <c r="E260" s="10"/>
      <c r="F260" s="10"/>
      <c r="G260" s="10"/>
      <c r="H260" s="5"/>
      <c r="I260" s="5"/>
      <c r="J260" s="5"/>
      <c r="K260" s="5"/>
      <c r="L260" s="5"/>
      <c r="M260" s="5"/>
      <c r="N260" s="5"/>
      <c r="O260" s="5"/>
      <c r="P260" s="5"/>
    </row>
    <row r="261" spans="1:16" x14ac:dyDescent="0.25">
      <c r="A261" s="10"/>
      <c r="B261" s="10"/>
      <c r="C261" s="10"/>
      <c r="D261" s="12"/>
      <c r="E261" s="10"/>
      <c r="F261" s="10"/>
      <c r="G261" s="10"/>
      <c r="H261" s="5"/>
      <c r="I261" s="5"/>
      <c r="J261" s="5"/>
      <c r="K261" s="5"/>
      <c r="L261" s="5"/>
      <c r="M261" s="5"/>
      <c r="N261" s="5"/>
      <c r="O261" s="5"/>
      <c r="P261" s="5"/>
    </row>
    <row r="262" spans="1:16" x14ac:dyDescent="0.25">
      <c r="A262" s="10"/>
      <c r="B262" s="10"/>
      <c r="C262" s="10"/>
      <c r="D262" s="12"/>
      <c r="E262" s="10"/>
      <c r="F262" s="10"/>
      <c r="G262" s="10"/>
      <c r="H262" s="5"/>
      <c r="I262" s="5"/>
      <c r="J262" s="5"/>
      <c r="K262" s="5"/>
      <c r="L262" s="5"/>
      <c r="M262" s="5"/>
      <c r="N262" s="5"/>
      <c r="O262" s="5"/>
      <c r="P262" s="5"/>
    </row>
    <row r="263" spans="1:16" x14ac:dyDescent="0.25">
      <c r="A263" s="10"/>
      <c r="B263" s="10"/>
      <c r="C263" s="10"/>
      <c r="D263" s="12"/>
      <c r="E263" s="10"/>
      <c r="F263" s="10"/>
      <c r="G263" s="10"/>
      <c r="H263" s="5"/>
      <c r="I263" s="5"/>
      <c r="J263" s="5"/>
      <c r="K263" s="5"/>
      <c r="L263" s="5"/>
      <c r="M263" s="5"/>
      <c r="N263" s="5"/>
      <c r="O263" s="5"/>
      <c r="P263" s="5"/>
    </row>
    <row r="264" spans="1:16" x14ac:dyDescent="0.25">
      <c r="A264" s="10"/>
      <c r="B264" s="10"/>
      <c r="C264" s="10"/>
      <c r="D264" s="12"/>
      <c r="E264" s="10"/>
      <c r="F264" s="10"/>
      <c r="G264" s="10"/>
      <c r="H264" s="5"/>
      <c r="I264" s="5"/>
      <c r="J264" s="5"/>
      <c r="K264" s="5"/>
      <c r="L264" s="5"/>
      <c r="M264" s="5"/>
      <c r="N264" s="5"/>
      <c r="O264" s="5"/>
      <c r="P264" s="5"/>
    </row>
    <row r="265" spans="1:16" x14ac:dyDescent="0.25">
      <c r="A265" s="10"/>
      <c r="B265" s="10"/>
      <c r="C265" s="10"/>
      <c r="D265" s="12"/>
      <c r="E265" s="10"/>
      <c r="F265" s="10"/>
      <c r="G265" s="10"/>
      <c r="H265" s="5"/>
      <c r="I265" s="5"/>
      <c r="J265" s="5"/>
      <c r="K265" s="5"/>
      <c r="L265" s="5"/>
      <c r="M265" s="5"/>
      <c r="N265" s="5"/>
      <c r="O265" s="5"/>
      <c r="P265" s="5"/>
    </row>
    <row r="266" spans="1:16" x14ac:dyDescent="0.25">
      <c r="A266" s="10"/>
      <c r="B266" s="10"/>
      <c r="C266" s="10"/>
      <c r="D266" s="12"/>
      <c r="E266" s="10"/>
      <c r="F266" s="10"/>
      <c r="G266" s="10"/>
      <c r="H266" s="5"/>
      <c r="I266" s="5"/>
      <c r="J266" s="5"/>
      <c r="K266" s="5"/>
      <c r="L266" s="5"/>
      <c r="M266" s="5"/>
      <c r="N266" s="5"/>
      <c r="O266" s="5"/>
      <c r="P266" s="5"/>
    </row>
    <row r="267" spans="1:16" x14ac:dyDescent="0.25">
      <c r="A267" s="10"/>
      <c r="B267" s="10"/>
      <c r="C267" s="10"/>
      <c r="D267" s="12"/>
      <c r="E267" s="10"/>
      <c r="F267" s="10"/>
      <c r="G267" s="10"/>
      <c r="H267" s="5"/>
      <c r="I267" s="5"/>
      <c r="J267" s="5"/>
      <c r="K267" s="5"/>
      <c r="L267" s="5"/>
      <c r="M267" s="5"/>
      <c r="N267" s="5"/>
      <c r="O267" s="5"/>
      <c r="P267" s="5"/>
    </row>
    <row r="268" spans="1:16" x14ac:dyDescent="0.25">
      <c r="A268" s="10"/>
      <c r="B268" s="10"/>
      <c r="C268" s="10"/>
      <c r="D268" s="12"/>
      <c r="E268" s="10"/>
      <c r="F268" s="10"/>
      <c r="G268" s="10"/>
      <c r="H268" s="5"/>
      <c r="I268" s="5"/>
      <c r="J268" s="5"/>
      <c r="K268" s="5"/>
      <c r="L268" s="5"/>
      <c r="M268" s="5"/>
      <c r="N268" s="5"/>
      <c r="O268" s="5"/>
      <c r="P268" s="5"/>
    </row>
    <row r="269" spans="1:16" x14ac:dyDescent="0.25">
      <c r="A269" s="10"/>
      <c r="B269" s="10"/>
      <c r="C269" s="10"/>
      <c r="D269" s="12"/>
      <c r="E269" s="10"/>
      <c r="F269" s="10"/>
      <c r="G269" s="10"/>
      <c r="H269" s="5"/>
      <c r="I269" s="5"/>
      <c r="J269" s="5"/>
      <c r="K269" s="5"/>
      <c r="L269" s="5"/>
      <c r="M269" s="5"/>
      <c r="N269" s="5"/>
      <c r="O269" s="5"/>
      <c r="P269" s="5"/>
    </row>
    <row r="270" spans="1:16" x14ac:dyDescent="0.25">
      <c r="A270" s="10"/>
      <c r="B270" s="10"/>
      <c r="C270" s="10"/>
      <c r="D270" s="12"/>
      <c r="E270" s="10"/>
      <c r="F270" s="10"/>
      <c r="G270" s="10"/>
      <c r="H270" s="5"/>
      <c r="I270" s="5"/>
      <c r="J270" s="5"/>
      <c r="K270" s="5"/>
      <c r="L270" s="5"/>
      <c r="M270" s="5"/>
      <c r="N270" s="5"/>
      <c r="O270" s="5"/>
      <c r="P270" s="5"/>
    </row>
    <row r="271" spans="1:16" x14ac:dyDescent="0.25">
      <c r="A271" s="10"/>
      <c r="B271" s="10"/>
      <c r="C271" s="10"/>
      <c r="D271" s="12"/>
      <c r="E271" s="10"/>
      <c r="F271" s="10"/>
      <c r="G271" s="10"/>
      <c r="H271" s="5"/>
      <c r="I271" s="5"/>
      <c r="J271" s="5"/>
      <c r="K271" s="5"/>
      <c r="L271" s="5"/>
      <c r="M271" s="5"/>
      <c r="N271" s="5"/>
      <c r="O271" s="5"/>
      <c r="P271" s="5"/>
    </row>
    <row r="272" spans="1:16" x14ac:dyDescent="0.25">
      <c r="A272" s="10"/>
      <c r="B272" s="10"/>
      <c r="C272" s="10"/>
      <c r="D272" s="12"/>
      <c r="E272" s="10"/>
      <c r="F272" s="10"/>
      <c r="G272" s="10"/>
      <c r="H272" s="5"/>
      <c r="I272" s="5"/>
      <c r="J272" s="5"/>
      <c r="K272" s="5"/>
      <c r="L272" s="5"/>
      <c r="M272" s="5"/>
      <c r="N272" s="5"/>
      <c r="O272" s="5"/>
      <c r="P272" s="5"/>
    </row>
    <row r="273" spans="1:16" x14ac:dyDescent="0.25">
      <c r="A273" s="10"/>
      <c r="B273" s="10"/>
      <c r="C273" s="10"/>
      <c r="D273" s="12"/>
      <c r="E273" s="10"/>
      <c r="F273" s="10"/>
      <c r="G273" s="10"/>
      <c r="H273" s="5"/>
      <c r="I273" s="5"/>
      <c r="J273" s="5"/>
      <c r="K273" s="5"/>
      <c r="L273" s="5"/>
      <c r="M273" s="5"/>
      <c r="N273" s="5"/>
      <c r="O273" s="5"/>
      <c r="P273" s="5"/>
    </row>
    <row r="274" spans="1:16" x14ac:dyDescent="0.25">
      <c r="A274" s="10"/>
      <c r="B274" s="10"/>
      <c r="C274" s="10"/>
      <c r="D274" s="12"/>
      <c r="E274" s="10"/>
      <c r="F274" s="10"/>
      <c r="G274" s="10"/>
      <c r="H274" s="5"/>
      <c r="I274" s="5"/>
      <c r="J274" s="5"/>
      <c r="K274" s="5"/>
      <c r="L274" s="5"/>
      <c r="M274" s="5"/>
      <c r="N274" s="5"/>
      <c r="O274" s="5"/>
      <c r="P274" s="5"/>
    </row>
    <row r="275" spans="1:16" x14ac:dyDescent="0.25">
      <c r="A275" s="10"/>
      <c r="B275" s="10"/>
      <c r="C275" s="10"/>
      <c r="D275" s="12"/>
      <c r="E275" s="10"/>
      <c r="F275" s="10"/>
      <c r="G275" s="10"/>
      <c r="H275" s="5"/>
      <c r="I275" s="5"/>
      <c r="J275" s="5"/>
      <c r="K275" s="5"/>
      <c r="L275" s="5"/>
      <c r="M275" s="5"/>
      <c r="N275" s="5"/>
      <c r="O275" s="5"/>
      <c r="P275" s="5"/>
    </row>
    <row r="276" spans="1:16" x14ac:dyDescent="0.25">
      <c r="A276" s="10"/>
      <c r="B276" s="10"/>
      <c r="C276" s="10"/>
      <c r="D276" s="12"/>
      <c r="E276" s="10"/>
      <c r="F276" s="10"/>
      <c r="G276" s="10"/>
      <c r="H276" s="5"/>
      <c r="I276" s="5"/>
      <c r="J276" s="5"/>
      <c r="K276" s="5"/>
      <c r="L276" s="5"/>
      <c r="M276" s="5"/>
      <c r="N276" s="5"/>
      <c r="O276" s="5"/>
      <c r="P276" s="5"/>
    </row>
    <row r="277" spans="1:16" x14ac:dyDescent="0.25">
      <c r="A277" s="10"/>
      <c r="B277" s="10"/>
      <c r="C277" s="10"/>
      <c r="D277" s="12"/>
      <c r="E277" s="10"/>
      <c r="F277" s="10"/>
      <c r="G277" s="10"/>
      <c r="H277" s="5"/>
      <c r="I277" s="5"/>
      <c r="J277" s="5"/>
      <c r="K277" s="5"/>
      <c r="L277" s="5"/>
      <c r="M277" s="5"/>
      <c r="N277" s="5"/>
      <c r="O277" s="5"/>
      <c r="P277" s="5"/>
    </row>
    <row r="278" spans="1:16" x14ac:dyDescent="0.25">
      <c r="A278" s="10"/>
      <c r="B278" s="10"/>
      <c r="C278" s="10"/>
      <c r="D278" s="12"/>
      <c r="E278" s="10"/>
      <c r="F278" s="10"/>
      <c r="G278" s="10"/>
      <c r="H278" s="5"/>
      <c r="I278" s="5"/>
      <c r="J278" s="5"/>
      <c r="K278" s="5"/>
      <c r="L278" s="5"/>
      <c r="M278" s="5"/>
      <c r="N278" s="5"/>
      <c r="O278" s="5"/>
      <c r="P278" s="5"/>
    </row>
    <row r="279" spans="1:16" x14ac:dyDescent="0.25">
      <c r="A279" s="10"/>
      <c r="B279" s="10"/>
      <c r="C279" s="10"/>
      <c r="D279" s="12"/>
      <c r="E279" s="10"/>
      <c r="F279" s="10"/>
      <c r="G279" s="10"/>
      <c r="H279" s="5"/>
      <c r="I279" s="5"/>
      <c r="J279" s="5"/>
      <c r="K279" s="5"/>
      <c r="L279" s="5"/>
      <c r="M279" s="5"/>
      <c r="N279" s="5"/>
      <c r="O279" s="5"/>
      <c r="P279" s="5"/>
    </row>
    <row r="280" spans="1:16" x14ac:dyDescent="0.25">
      <c r="A280" s="10"/>
      <c r="B280" s="10"/>
      <c r="C280" s="10"/>
      <c r="D280" s="12"/>
      <c r="E280" s="10"/>
      <c r="F280" s="10"/>
      <c r="G280" s="10"/>
      <c r="H280" s="5"/>
      <c r="I280" s="5"/>
      <c r="J280" s="5"/>
      <c r="K280" s="5"/>
      <c r="L280" s="5"/>
      <c r="M280" s="5"/>
      <c r="N280" s="5"/>
      <c r="O280" s="5"/>
      <c r="P280" s="5"/>
    </row>
    <row r="281" spans="1:16" x14ac:dyDescent="0.25">
      <c r="A281" s="10"/>
      <c r="B281" s="10"/>
      <c r="C281" s="10"/>
      <c r="D281" s="12"/>
      <c r="E281" s="10"/>
      <c r="F281" s="10"/>
      <c r="G281" s="10"/>
      <c r="H281" s="5"/>
      <c r="I281" s="5"/>
      <c r="J281" s="5"/>
      <c r="K281" s="5"/>
      <c r="L281" s="5"/>
      <c r="M281" s="5"/>
      <c r="N281" s="5"/>
      <c r="O281" s="5"/>
      <c r="P281" s="5"/>
    </row>
    <row r="282" spans="1:16" x14ac:dyDescent="0.25">
      <c r="A282" s="10"/>
      <c r="B282" s="10"/>
      <c r="C282" s="10"/>
      <c r="D282" s="12"/>
      <c r="E282" s="10"/>
      <c r="F282" s="10"/>
      <c r="G282" s="10"/>
      <c r="H282" s="5"/>
      <c r="I282" s="5"/>
      <c r="J282" s="5"/>
      <c r="K282" s="5"/>
      <c r="L282" s="5"/>
      <c r="M282" s="5"/>
      <c r="N282" s="5"/>
      <c r="O282" s="5"/>
      <c r="P282" s="5"/>
    </row>
    <row r="283" spans="1:16" x14ac:dyDescent="0.25">
      <c r="A283" s="10"/>
      <c r="B283" s="10"/>
      <c r="C283" s="10"/>
      <c r="D283" s="12"/>
      <c r="E283" s="10"/>
      <c r="F283" s="10"/>
      <c r="G283" s="10"/>
      <c r="H283" s="5"/>
      <c r="I283" s="5"/>
      <c r="J283" s="5"/>
      <c r="K283" s="5"/>
      <c r="L283" s="5"/>
      <c r="M283" s="5"/>
      <c r="N283" s="5"/>
      <c r="O283" s="5"/>
      <c r="P283" s="5"/>
    </row>
    <row r="284" spans="1:16" x14ac:dyDescent="0.25">
      <c r="A284" s="10"/>
      <c r="B284" s="10"/>
      <c r="C284" s="10"/>
      <c r="D284" s="12"/>
      <c r="E284" s="10"/>
      <c r="F284" s="10"/>
      <c r="G284" s="10"/>
      <c r="H284" s="5"/>
      <c r="I284" s="5"/>
      <c r="J284" s="5"/>
      <c r="K284" s="5"/>
      <c r="L284" s="5"/>
      <c r="M284" s="5"/>
      <c r="N284" s="5"/>
      <c r="O284" s="5"/>
      <c r="P284" s="5"/>
    </row>
    <row r="285" spans="1:16" x14ac:dyDescent="0.25">
      <c r="A285" s="10"/>
      <c r="B285" s="10"/>
      <c r="C285" s="10"/>
      <c r="D285" s="12"/>
      <c r="E285" s="10"/>
      <c r="F285" s="10"/>
      <c r="G285" s="10"/>
      <c r="H285" s="5"/>
      <c r="I285" s="5"/>
      <c r="J285" s="5"/>
      <c r="K285" s="5"/>
      <c r="L285" s="5"/>
      <c r="M285" s="5"/>
      <c r="N285" s="5"/>
      <c r="O285" s="5"/>
      <c r="P285" s="5"/>
    </row>
    <row r="286" spans="1:16" x14ac:dyDescent="0.25">
      <c r="A286" s="10"/>
      <c r="B286" s="10"/>
      <c r="C286" s="10"/>
      <c r="D286" s="12"/>
      <c r="E286" s="10"/>
      <c r="F286" s="10"/>
      <c r="G286" s="10"/>
      <c r="H286" s="5"/>
      <c r="I286" s="5"/>
      <c r="J286" s="5"/>
      <c r="K286" s="5"/>
      <c r="L286" s="5"/>
      <c r="M286" s="5"/>
      <c r="N286" s="5"/>
      <c r="O286" s="5"/>
      <c r="P286" s="5"/>
    </row>
    <row r="287" spans="1:16" x14ac:dyDescent="0.25">
      <c r="A287" s="10"/>
      <c r="B287" s="10"/>
      <c r="C287" s="10"/>
      <c r="D287" s="12"/>
      <c r="E287" s="10"/>
      <c r="F287" s="10"/>
      <c r="G287" s="10"/>
      <c r="H287" s="5"/>
      <c r="I287" s="5"/>
      <c r="J287" s="5"/>
      <c r="K287" s="5"/>
      <c r="L287" s="5"/>
      <c r="M287" s="5"/>
      <c r="N287" s="5"/>
      <c r="O287" s="5"/>
      <c r="P287" s="5"/>
    </row>
    <row r="288" spans="1:16" x14ac:dyDescent="0.25">
      <c r="A288" s="10"/>
      <c r="B288" s="10"/>
      <c r="C288" s="10"/>
      <c r="D288" s="12"/>
      <c r="E288" s="10"/>
      <c r="F288" s="10"/>
      <c r="G288" s="10"/>
      <c r="H288" s="5"/>
      <c r="I288" s="5"/>
      <c r="J288" s="5"/>
      <c r="K288" s="5"/>
      <c r="L288" s="5"/>
      <c r="M288" s="5"/>
      <c r="N288" s="5"/>
      <c r="O288" s="5"/>
      <c r="P288" s="5"/>
    </row>
    <row r="289" spans="1:16" x14ac:dyDescent="0.25">
      <c r="A289" s="10"/>
      <c r="B289" s="10"/>
      <c r="C289" s="10"/>
      <c r="D289" s="12"/>
      <c r="E289" s="10"/>
      <c r="F289" s="10"/>
      <c r="G289" s="10"/>
      <c r="H289" s="5"/>
      <c r="I289" s="5"/>
      <c r="J289" s="5"/>
      <c r="K289" s="5"/>
      <c r="L289" s="5"/>
      <c r="M289" s="5"/>
      <c r="N289" s="5"/>
      <c r="O289" s="5"/>
      <c r="P289" s="5"/>
    </row>
    <row r="290" spans="1:16" x14ac:dyDescent="0.25">
      <c r="A290" s="10"/>
      <c r="B290" s="10"/>
      <c r="C290" s="10"/>
      <c r="D290" s="12"/>
      <c r="E290" s="10"/>
      <c r="F290" s="10"/>
      <c r="G290" s="10"/>
      <c r="H290" s="5"/>
      <c r="I290" s="5"/>
      <c r="J290" s="5"/>
      <c r="K290" s="5"/>
      <c r="L290" s="5"/>
      <c r="M290" s="5"/>
      <c r="N290" s="5"/>
      <c r="O290" s="5"/>
      <c r="P290" s="5"/>
    </row>
    <row r="291" spans="1:16" x14ac:dyDescent="0.25">
      <c r="A291" s="10"/>
      <c r="B291" s="10"/>
      <c r="C291" s="10"/>
      <c r="D291" s="12"/>
      <c r="E291" s="10"/>
      <c r="F291" s="10"/>
      <c r="G291" s="10"/>
      <c r="H291" s="5"/>
      <c r="I291" s="5"/>
      <c r="J291" s="5"/>
      <c r="K291" s="5"/>
      <c r="L291" s="5"/>
      <c r="M291" s="5"/>
      <c r="N291" s="5"/>
      <c r="O291" s="5"/>
      <c r="P291" s="5"/>
    </row>
    <row r="292" spans="1:16" x14ac:dyDescent="0.25">
      <c r="A292" s="10"/>
      <c r="B292" s="10"/>
      <c r="C292" s="10"/>
      <c r="D292" s="12"/>
      <c r="E292" s="10"/>
      <c r="F292" s="10"/>
      <c r="G292" s="10"/>
      <c r="H292" s="5"/>
      <c r="I292" s="5"/>
      <c r="J292" s="5"/>
      <c r="K292" s="5"/>
      <c r="L292" s="5"/>
      <c r="M292" s="5"/>
      <c r="N292" s="5"/>
      <c r="O292" s="5"/>
      <c r="P292" s="5"/>
    </row>
    <row r="293" spans="1:16" x14ac:dyDescent="0.25">
      <c r="A293" s="10"/>
      <c r="B293" s="10"/>
      <c r="C293" s="10"/>
      <c r="D293" s="12"/>
      <c r="E293" s="10"/>
      <c r="F293" s="10"/>
      <c r="G293" s="10"/>
      <c r="H293" s="5"/>
      <c r="I293" s="5"/>
      <c r="J293" s="5"/>
      <c r="K293" s="5"/>
      <c r="L293" s="5"/>
      <c r="M293" s="5"/>
      <c r="N293" s="5"/>
      <c r="O293" s="5"/>
      <c r="P293" s="5"/>
    </row>
    <row r="294" spans="1:16" x14ac:dyDescent="0.25">
      <c r="A294" s="10"/>
      <c r="B294" s="10"/>
      <c r="C294" s="10"/>
      <c r="D294" s="12"/>
      <c r="E294" s="10"/>
      <c r="F294" s="10"/>
      <c r="G294" s="10"/>
      <c r="H294" s="5"/>
      <c r="I294" s="5"/>
      <c r="J294" s="5"/>
      <c r="K294" s="5"/>
      <c r="L294" s="5"/>
      <c r="M294" s="5"/>
      <c r="N294" s="5"/>
      <c r="O294" s="5"/>
      <c r="P294" s="5"/>
    </row>
    <row r="295" spans="1:16" x14ac:dyDescent="0.25">
      <c r="A295" s="10"/>
      <c r="B295" s="10"/>
      <c r="C295" s="10"/>
      <c r="D295" s="12"/>
      <c r="E295" s="10"/>
      <c r="F295" s="10"/>
      <c r="G295" s="10"/>
      <c r="H295" s="5"/>
      <c r="I295" s="5"/>
      <c r="J295" s="5"/>
      <c r="K295" s="5"/>
      <c r="L295" s="5"/>
      <c r="M295" s="5"/>
      <c r="N295" s="5"/>
      <c r="O295" s="5"/>
      <c r="P295" s="5"/>
    </row>
    <row r="296" spans="1:16" x14ac:dyDescent="0.25">
      <c r="A296" s="10"/>
      <c r="B296" s="10"/>
      <c r="C296" s="10"/>
      <c r="D296" s="12"/>
      <c r="E296" s="10"/>
      <c r="F296" s="10"/>
      <c r="G296" s="10"/>
      <c r="H296" s="5"/>
      <c r="I296" s="5"/>
      <c r="J296" s="5"/>
      <c r="K296" s="5"/>
      <c r="L296" s="5"/>
      <c r="M296" s="5"/>
      <c r="N296" s="5"/>
      <c r="O296" s="5"/>
      <c r="P296" s="5"/>
    </row>
    <row r="297" spans="1:16" x14ac:dyDescent="0.25">
      <c r="A297" s="10"/>
      <c r="B297" s="10"/>
      <c r="C297" s="10"/>
      <c r="D297" s="12"/>
      <c r="E297" s="10"/>
      <c r="F297" s="10"/>
      <c r="G297" s="10"/>
      <c r="H297" s="5"/>
      <c r="I297" s="5"/>
      <c r="J297" s="5"/>
      <c r="K297" s="5"/>
      <c r="L297" s="5"/>
      <c r="M297" s="5"/>
      <c r="N297" s="5"/>
      <c r="O297" s="5"/>
      <c r="P297" s="5"/>
    </row>
    <row r="298" spans="1:16" x14ac:dyDescent="0.25">
      <c r="A298" s="10"/>
      <c r="B298" s="10"/>
      <c r="C298" s="10"/>
      <c r="D298" s="12"/>
      <c r="E298" s="10"/>
      <c r="F298" s="10"/>
      <c r="G298" s="10"/>
      <c r="H298" s="5"/>
      <c r="I298" s="5"/>
      <c r="J298" s="5"/>
      <c r="K298" s="5"/>
      <c r="L298" s="5"/>
      <c r="M298" s="5"/>
      <c r="N298" s="5"/>
      <c r="O298" s="5"/>
      <c r="P298" s="5"/>
    </row>
    <row r="299" spans="1:16" x14ac:dyDescent="0.25">
      <c r="A299" s="10"/>
      <c r="B299" s="10"/>
      <c r="C299" s="10"/>
      <c r="D299" s="12"/>
      <c r="E299" s="10"/>
      <c r="F299" s="10"/>
      <c r="G299" s="10"/>
      <c r="H299" s="5"/>
      <c r="I299" s="5"/>
      <c r="J299" s="5"/>
      <c r="K299" s="5"/>
      <c r="L299" s="5"/>
      <c r="M299" s="5"/>
      <c r="N299" s="5"/>
      <c r="O299" s="5"/>
      <c r="P299" s="5"/>
    </row>
    <row r="300" spans="1:16" x14ac:dyDescent="0.25">
      <c r="A300" s="10"/>
      <c r="B300" s="10"/>
      <c r="C300" s="10"/>
      <c r="D300" s="12"/>
      <c r="E300" s="10"/>
      <c r="F300" s="10"/>
      <c r="G300" s="10"/>
      <c r="H300" s="5"/>
      <c r="I300" s="5"/>
      <c r="J300" s="5"/>
      <c r="K300" s="5"/>
      <c r="L300" s="5"/>
      <c r="M300" s="5"/>
      <c r="N300" s="5"/>
      <c r="O300" s="5"/>
      <c r="P300" s="5"/>
    </row>
    <row r="301" spans="1:16" x14ac:dyDescent="0.25">
      <c r="A301" s="10"/>
      <c r="B301" s="10"/>
      <c r="C301" s="10"/>
      <c r="D301" s="12"/>
      <c r="E301" s="10"/>
      <c r="F301" s="10"/>
      <c r="G301" s="10"/>
      <c r="H301" s="5"/>
      <c r="I301" s="5"/>
      <c r="J301" s="5"/>
      <c r="K301" s="5"/>
      <c r="L301" s="5"/>
      <c r="M301" s="5"/>
      <c r="N301" s="5"/>
      <c r="O301" s="5"/>
      <c r="P301" s="5"/>
    </row>
    <row r="302" spans="1:16" x14ac:dyDescent="0.25">
      <c r="A302" s="10"/>
      <c r="B302" s="10"/>
      <c r="C302" s="10"/>
      <c r="D302" s="12"/>
      <c r="E302" s="10"/>
      <c r="F302" s="10"/>
      <c r="G302" s="10"/>
      <c r="H302" s="5"/>
      <c r="I302" s="5"/>
      <c r="J302" s="5"/>
      <c r="K302" s="5"/>
      <c r="L302" s="5"/>
      <c r="M302" s="5"/>
      <c r="N302" s="5"/>
      <c r="O302" s="5"/>
      <c r="P302" s="5"/>
    </row>
    <row r="303" spans="1:16" x14ac:dyDescent="0.25">
      <c r="A303" s="10"/>
      <c r="B303" s="10"/>
      <c r="C303" s="10"/>
      <c r="D303" s="12"/>
      <c r="E303" s="10"/>
      <c r="F303" s="10"/>
      <c r="G303" s="10"/>
      <c r="H303" s="5"/>
      <c r="I303" s="5"/>
      <c r="J303" s="5"/>
      <c r="K303" s="5"/>
      <c r="L303" s="5"/>
      <c r="M303" s="5"/>
      <c r="N303" s="5"/>
      <c r="O303" s="5"/>
      <c r="P303" s="5"/>
    </row>
    <row r="304" spans="1:16" x14ac:dyDescent="0.25">
      <c r="A304" s="10"/>
      <c r="B304" s="10"/>
      <c r="C304" s="10"/>
      <c r="D304" s="12"/>
      <c r="E304" s="10"/>
      <c r="F304" s="10"/>
      <c r="G304" s="10"/>
      <c r="H304" s="5"/>
      <c r="I304" s="5"/>
      <c r="J304" s="5"/>
      <c r="K304" s="5"/>
      <c r="L304" s="5"/>
      <c r="M304" s="5"/>
      <c r="N304" s="5"/>
      <c r="O304" s="5"/>
      <c r="P304" s="5"/>
    </row>
    <row r="305" spans="1:16" x14ac:dyDescent="0.25">
      <c r="A305" s="10"/>
      <c r="B305" s="10"/>
      <c r="C305" s="10"/>
      <c r="D305" s="12"/>
      <c r="E305" s="10"/>
      <c r="F305" s="10"/>
      <c r="G305" s="10"/>
      <c r="H305" s="5"/>
      <c r="I305" s="5"/>
      <c r="J305" s="5"/>
      <c r="K305" s="5"/>
      <c r="L305" s="5"/>
      <c r="M305" s="5"/>
      <c r="N305" s="5"/>
      <c r="O305" s="5"/>
      <c r="P305" s="5"/>
    </row>
    <row r="306" spans="1:16" x14ac:dyDescent="0.25">
      <c r="A306" s="10"/>
      <c r="B306" s="10"/>
      <c r="C306" s="10"/>
      <c r="D306" s="12"/>
      <c r="E306" s="10"/>
      <c r="F306" s="10"/>
      <c r="G306" s="10"/>
      <c r="H306" s="5"/>
      <c r="I306" s="5"/>
      <c r="J306" s="5"/>
      <c r="K306" s="5"/>
      <c r="L306" s="5"/>
      <c r="M306" s="5"/>
      <c r="N306" s="5"/>
      <c r="O306" s="5"/>
      <c r="P306" s="5"/>
    </row>
    <row r="307" spans="1:16" x14ac:dyDescent="0.25">
      <c r="A307" s="10"/>
      <c r="B307" s="10"/>
      <c r="C307" s="10"/>
      <c r="D307" s="12"/>
      <c r="E307" s="10"/>
      <c r="F307" s="10"/>
      <c r="G307" s="10"/>
      <c r="H307" s="5"/>
      <c r="I307" s="5"/>
      <c r="J307" s="5"/>
      <c r="K307" s="5"/>
      <c r="L307" s="5"/>
      <c r="M307" s="5"/>
      <c r="N307" s="5"/>
      <c r="O307" s="5"/>
      <c r="P307" s="5"/>
    </row>
    <row r="308" spans="1:16" x14ac:dyDescent="0.25">
      <c r="A308" s="10"/>
      <c r="B308" s="10"/>
      <c r="C308" s="10"/>
      <c r="D308" s="12"/>
      <c r="E308" s="10"/>
      <c r="F308" s="10"/>
      <c r="G308" s="10"/>
      <c r="H308" s="5"/>
      <c r="I308" s="5"/>
      <c r="J308" s="5"/>
      <c r="K308" s="5"/>
      <c r="L308" s="5"/>
      <c r="M308" s="5"/>
      <c r="N308" s="5"/>
      <c r="O308" s="5"/>
      <c r="P308" s="5"/>
    </row>
    <row r="309" spans="1:16" x14ac:dyDescent="0.25">
      <c r="A309" s="10"/>
      <c r="B309" s="10"/>
      <c r="C309" s="10"/>
      <c r="D309" s="12"/>
      <c r="E309" s="10"/>
      <c r="F309" s="10"/>
      <c r="G309" s="10"/>
      <c r="H309" s="5"/>
      <c r="I309" s="5"/>
      <c r="J309" s="5"/>
      <c r="K309" s="5"/>
      <c r="L309" s="5"/>
      <c r="M309" s="5"/>
      <c r="N309" s="5"/>
      <c r="O309" s="5"/>
      <c r="P309" s="5"/>
    </row>
    <row r="310" spans="1:16" x14ac:dyDescent="0.25">
      <c r="A310" s="10"/>
      <c r="B310" s="10"/>
      <c r="C310" s="10"/>
      <c r="D310" s="12"/>
      <c r="E310" s="10"/>
      <c r="F310" s="10"/>
      <c r="G310" s="10"/>
      <c r="H310" s="5"/>
      <c r="I310" s="5"/>
      <c r="J310" s="5"/>
      <c r="K310" s="5"/>
      <c r="L310" s="5"/>
      <c r="M310" s="5"/>
      <c r="N310" s="5"/>
      <c r="O310" s="5"/>
      <c r="P310" s="5"/>
    </row>
    <row r="311" spans="1:16" x14ac:dyDescent="0.25">
      <c r="A311" s="10"/>
      <c r="B311" s="10"/>
      <c r="C311" s="10"/>
      <c r="D311" s="12"/>
      <c r="E311" s="10"/>
      <c r="F311" s="10"/>
      <c r="G311" s="10"/>
      <c r="H311" s="5"/>
      <c r="I311" s="5"/>
      <c r="J311" s="5"/>
      <c r="K311" s="5"/>
      <c r="L311" s="5"/>
      <c r="M311" s="5"/>
      <c r="N311" s="5"/>
      <c r="O311" s="5"/>
      <c r="P311" s="5"/>
    </row>
    <row r="312" spans="1:16" x14ac:dyDescent="0.25">
      <c r="A312" s="10"/>
      <c r="B312" s="10"/>
      <c r="C312" s="10"/>
      <c r="D312" s="12"/>
      <c r="E312" s="10"/>
      <c r="F312" s="10"/>
      <c r="G312" s="10"/>
      <c r="H312" s="5"/>
      <c r="I312" s="5"/>
      <c r="J312" s="5"/>
      <c r="K312" s="5"/>
      <c r="L312" s="5"/>
      <c r="M312" s="5"/>
      <c r="N312" s="5"/>
      <c r="O312" s="5"/>
      <c r="P312" s="5"/>
    </row>
    <row r="313" spans="1:16" x14ac:dyDescent="0.25">
      <c r="A313" s="10"/>
      <c r="B313" s="10"/>
      <c r="C313" s="10"/>
      <c r="D313" s="12"/>
      <c r="E313" s="10"/>
      <c r="F313" s="10"/>
      <c r="G313" s="10"/>
      <c r="H313" s="5"/>
      <c r="I313" s="5"/>
      <c r="J313" s="5"/>
      <c r="K313" s="5"/>
      <c r="L313" s="5"/>
      <c r="M313" s="5"/>
      <c r="N313" s="5"/>
      <c r="O313" s="5"/>
      <c r="P313" s="5"/>
    </row>
    <row r="314" spans="1:16" x14ac:dyDescent="0.25">
      <c r="A314" s="10"/>
      <c r="B314" s="10"/>
      <c r="C314" s="10"/>
      <c r="D314" s="12"/>
      <c r="E314" s="10"/>
      <c r="F314" s="10"/>
      <c r="G314" s="10"/>
      <c r="H314" s="5"/>
      <c r="I314" s="5"/>
      <c r="J314" s="5"/>
      <c r="K314" s="5"/>
      <c r="L314" s="5"/>
      <c r="M314" s="5"/>
      <c r="N314" s="5"/>
      <c r="O314" s="5"/>
      <c r="P314" s="5"/>
    </row>
    <row r="315" spans="1:16" x14ac:dyDescent="0.25">
      <c r="A315" s="10"/>
      <c r="B315" s="10"/>
      <c r="C315" s="10"/>
      <c r="D315" s="12"/>
      <c r="E315" s="10"/>
      <c r="F315" s="10"/>
      <c r="G315" s="10"/>
      <c r="H315" s="5"/>
      <c r="I315" s="5"/>
      <c r="J315" s="5"/>
      <c r="K315" s="5"/>
      <c r="L315" s="5"/>
      <c r="M315" s="5"/>
      <c r="N315" s="5"/>
      <c r="O315" s="5"/>
      <c r="P315" s="5"/>
    </row>
    <row r="316" spans="1:16" x14ac:dyDescent="0.25">
      <c r="A316" s="10"/>
      <c r="B316" s="10"/>
      <c r="C316" s="10"/>
      <c r="D316" s="12"/>
      <c r="E316" s="10"/>
      <c r="F316" s="10"/>
      <c r="G316" s="10"/>
      <c r="H316" s="5"/>
      <c r="I316" s="5"/>
      <c r="J316" s="5"/>
      <c r="K316" s="5"/>
      <c r="L316" s="5"/>
      <c r="M316" s="5"/>
      <c r="N316" s="5"/>
      <c r="O316" s="5"/>
      <c r="P316" s="5"/>
    </row>
    <row r="317" spans="1:16" x14ac:dyDescent="0.25">
      <c r="A317" s="10"/>
      <c r="B317" s="10"/>
      <c r="C317" s="10"/>
      <c r="D317" s="12"/>
      <c r="E317" s="10"/>
      <c r="F317" s="10"/>
      <c r="G317" s="10"/>
      <c r="H317" s="5"/>
      <c r="I317" s="5"/>
      <c r="J317" s="5"/>
      <c r="K317" s="5"/>
      <c r="L317" s="5"/>
      <c r="M317" s="5"/>
      <c r="N317" s="5"/>
      <c r="O317" s="5"/>
      <c r="P317" s="5"/>
    </row>
    <row r="318" spans="1:16" x14ac:dyDescent="0.25">
      <c r="A318" s="10"/>
      <c r="B318" s="10"/>
      <c r="C318" s="10"/>
      <c r="D318" s="12"/>
      <c r="E318" s="10"/>
      <c r="F318" s="10"/>
      <c r="G318" s="10"/>
      <c r="H318" s="5"/>
      <c r="I318" s="5"/>
      <c r="J318" s="5"/>
      <c r="K318" s="5"/>
      <c r="L318" s="5"/>
      <c r="M318" s="5"/>
      <c r="N318" s="5"/>
      <c r="O318" s="5"/>
      <c r="P318" s="5"/>
    </row>
    <row r="319" spans="1:16" x14ac:dyDescent="0.25">
      <c r="A319" s="10"/>
      <c r="B319" s="10"/>
      <c r="C319" s="10"/>
      <c r="D319" s="12"/>
      <c r="E319" s="10"/>
      <c r="F319" s="10"/>
      <c r="G319" s="10"/>
      <c r="H319" s="5"/>
      <c r="I319" s="5"/>
      <c r="J319" s="5"/>
      <c r="K319" s="5"/>
      <c r="L319" s="5"/>
      <c r="M319" s="5"/>
      <c r="N319" s="5"/>
      <c r="O319" s="5"/>
      <c r="P319" s="5"/>
    </row>
    <row r="320" spans="1:16" x14ac:dyDescent="0.25">
      <c r="A320" s="10"/>
      <c r="B320" s="10"/>
      <c r="C320" s="10"/>
      <c r="D320" s="12"/>
      <c r="E320" s="10"/>
      <c r="F320" s="10"/>
      <c r="G320" s="10"/>
      <c r="H320" s="5"/>
      <c r="I320" s="5"/>
      <c r="J320" s="5"/>
      <c r="K320" s="5"/>
      <c r="L320" s="5"/>
      <c r="M320" s="5"/>
      <c r="N320" s="5"/>
      <c r="O320" s="5"/>
      <c r="P320" s="5"/>
    </row>
    <row r="321" spans="1:16" x14ac:dyDescent="0.25">
      <c r="A321" s="10"/>
      <c r="B321" s="10"/>
      <c r="C321" s="10"/>
      <c r="D321" s="12"/>
      <c r="E321" s="10"/>
      <c r="F321" s="10"/>
      <c r="G321" s="10"/>
      <c r="H321" s="5"/>
      <c r="I321" s="5"/>
      <c r="J321" s="5"/>
      <c r="K321" s="5"/>
      <c r="L321" s="5"/>
      <c r="M321" s="5"/>
      <c r="N321" s="5"/>
      <c r="O321" s="5"/>
      <c r="P321" s="5"/>
    </row>
    <row r="322" spans="1:16" x14ac:dyDescent="0.25">
      <c r="A322" s="10"/>
      <c r="B322" s="10"/>
      <c r="C322" s="10"/>
      <c r="D322" s="12"/>
      <c r="E322" s="10"/>
      <c r="F322" s="10"/>
      <c r="G322" s="10"/>
      <c r="H322" s="5"/>
      <c r="I322" s="5"/>
      <c r="J322" s="5"/>
      <c r="K322" s="5"/>
      <c r="L322" s="5"/>
      <c r="M322" s="5"/>
      <c r="N322" s="5"/>
      <c r="O322" s="5"/>
      <c r="P322" s="5"/>
    </row>
    <row r="323" spans="1:16" x14ac:dyDescent="0.25">
      <c r="A323" s="10"/>
      <c r="B323" s="10"/>
      <c r="C323" s="10"/>
      <c r="D323" s="12"/>
      <c r="E323" s="10"/>
      <c r="F323" s="10"/>
      <c r="G323" s="10"/>
      <c r="H323" s="5"/>
      <c r="I323" s="5"/>
      <c r="J323" s="5"/>
      <c r="K323" s="5"/>
      <c r="L323" s="5"/>
      <c r="M323" s="5"/>
      <c r="N323" s="5"/>
      <c r="O323" s="5"/>
      <c r="P323" s="5"/>
    </row>
    <row r="324" spans="1:16" x14ac:dyDescent="0.25">
      <c r="A324" s="10"/>
      <c r="B324" s="10"/>
      <c r="C324" s="10"/>
      <c r="D324" s="12"/>
      <c r="E324" s="10"/>
      <c r="F324" s="10"/>
      <c r="G324" s="10"/>
      <c r="H324" s="5"/>
      <c r="I324" s="5"/>
      <c r="J324" s="5"/>
      <c r="K324" s="5"/>
      <c r="L324" s="5"/>
      <c r="M324" s="5"/>
      <c r="N324" s="5"/>
      <c r="O324" s="5"/>
      <c r="P324" s="5"/>
    </row>
    <row r="325" spans="1:16" x14ac:dyDescent="0.25">
      <c r="A325" s="10"/>
      <c r="B325" s="10"/>
      <c r="C325" s="10"/>
      <c r="D325" s="12"/>
      <c r="E325" s="10"/>
      <c r="F325" s="10"/>
      <c r="G325" s="10"/>
      <c r="H325" s="5"/>
      <c r="I325" s="5"/>
      <c r="J325" s="5"/>
      <c r="K325" s="5"/>
      <c r="L325" s="5"/>
      <c r="M325" s="5"/>
      <c r="N325" s="5"/>
      <c r="O325" s="5"/>
      <c r="P325" s="5"/>
    </row>
    <row r="326" spans="1:16" x14ac:dyDescent="0.25">
      <c r="A326" s="10"/>
      <c r="B326" s="10"/>
      <c r="C326" s="10"/>
      <c r="D326" s="12"/>
      <c r="E326" s="10"/>
      <c r="F326" s="10"/>
      <c r="G326" s="10"/>
      <c r="H326" s="5"/>
      <c r="I326" s="5"/>
      <c r="J326" s="5"/>
      <c r="K326" s="5"/>
      <c r="L326" s="5"/>
      <c r="M326" s="5"/>
      <c r="N326" s="5"/>
      <c r="O326" s="5"/>
      <c r="P326" s="5"/>
    </row>
    <row r="327" spans="1:16" x14ac:dyDescent="0.25">
      <c r="A327" s="10"/>
      <c r="B327" s="10"/>
      <c r="C327" s="10"/>
      <c r="D327" s="12"/>
      <c r="E327" s="10"/>
      <c r="F327" s="10"/>
      <c r="G327" s="10"/>
      <c r="H327" s="5"/>
      <c r="I327" s="5"/>
      <c r="J327" s="5"/>
      <c r="K327" s="5"/>
      <c r="L327" s="5"/>
      <c r="M327" s="5"/>
      <c r="N327" s="5"/>
      <c r="O327" s="5"/>
      <c r="P327" s="5"/>
    </row>
    <row r="328" spans="1:16" x14ac:dyDescent="0.25">
      <c r="A328" s="10"/>
      <c r="B328" s="10"/>
      <c r="C328" s="10"/>
      <c r="D328" s="12"/>
      <c r="E328" s="10"/>
      <c r="F328" s="10"/>
      <c r="G328" s="10"/>
      <c r="H328" s="5"/>
      <c r="I328" s="5"/>
      <c r="J328" s="5"/>
      <c r="K328" s="5"/>
      <c r="L328" s="5"/>
      <c r="M328" s="5"/>
      <c r="N328" s="5"/>
      <c r="O328" s="5"/>
      <c r="P328" s="5"/>
    </row>
    <row r="329" spans="1:16" x14ac:dyDescent="0.25">
      <c r="A329" s="10"/>
      <c r="B329" s="10"/>
      <c r="C329" s="10"/>
      <c r="D329" s="12"/>
      <c r="E329" s="10"/>
      <c r="F329" s="10"/>
      <c r="G329" s="10"/>
      <c r="H329" s="5"/>
      <c r="I329" s="5"/>
      <c r="J329" s="5"/>
      <c r="K329" s="5"/>
      <c r="L329" s="5"/>
      <c r="M329" s="5"/>
      <c r="N329" s="5"/>
      <c r="O329" s="5"/>
      <c r="P329" s="5"/>
    </row>
    <row r="330" spans="1:16" x14ac:dyDescent="0.25">
      <c r="A330" s="10"/>
      <c r="B330" s="10"/>
      <c r="C330" s="10"/>
      <c r="D330" s="12"/>
      <c r="E330" s="10"/>
      <c r="F330" s="10"/>
      <c r="G330" s="10"/>
      <c r="H330" s="5"/>
      <c r="I330" s="5"/>
      <c r="J330" s="5"/>
      <c r="K330" s="5"/>
      <c r="L330" s="5"/>
      <c r="M330" s="5"/>
      <c r="N330" s="5"/>
      <c r="O330" s="5"/>
      <c r="P330" s="5"/>
    </row>
    <row r="331" spans="1:16" x14ac:dyDescent="0.25">
      <c r="A331" s="10"/>
      <c r="B331" s="10"/>
      <c r="C331" s="10"/>
      <c r="D331" s="12"/>
      <c r="E331" s="10"/>
      <c r="F331" s="10"/>
      <c r="G331" s="10"/>
      <c r="H331" s="5"/>
      <c r="I331" s="5"/>
      <c r="J331" s="5"/>
      <c r="K331" s="5"/>
      <c r="L331" s="5"/>
      <c r="M331" s="5"/>
      <c r="N331" s="5"/>
      <c r="O331" s="5"/>
      <c r="P331" s="5"/>
    </row>
    <row r="332" spans="1:16" x14ac:dyDescent="0.25">
      <c r="A332" s="10"/>
      <c r="B332" s="10"/>
      <c r="C332" s="10"/>
      <c r="D332" s="12"/>
      <c r="E332" s="10"/>
      <c r="F332" s="10"/>
      <c r="G332" s="10"/>
      <c r="H332" s="5"/>
      <c r="I332" s="5"/>
      <c r="J332" s="5"/>
      <c r="K332" s="5"/>
      <c r="L332" s="5"/>
      <c r="M332" s="5"/>
      <c r="N332" s="5"/>
      <c r="O332" s="5"/>
      <c r="P332" s="5"/>
    </row>
    <row r="333" spans="1:16" x14ac:dyDescent="0.25">
      <c r="A333" s="10"/>
      <c r="B333" s="10"/>
      <c r="C333" s="10"/>
      <c r="D333" s="12"/>
      <c r="E333" s="10"/>
      <c r="F333" s="10"/>
      <c r="G333" s="10"/>
      <c r="H333" s="5"/>
      <c r="I333" s="5"/>
      <c r="J333" s="5"/>
      <c r="K333" s="5"/>
      <c r="L333" s="5"/>
      <c r="M333" s="5"/>
      <c r="N333" s="5"/>
      <c r="O333" s="5"/>
      <c r="P333" s="5"/>
    </row>
    <row r="334" spans="1:16" x14ac:dyDescent="0.25">
      <c r="A334" s="10"/>
      <c r="B334" s="10"/>
      <c r="C334" s="10"/>
      <c r="D334" s="12"/>
      <c r="E334" s="10"/>
      <c r="F334" s="10"/>
      <c r="G334" s="10"/>
      <c r="H334" s="5"/>
      <c r="I334" s="5"/>
      <c r="J334" s="5"/>
      <c r="K334" s="5"/>
      <c r="L334" s="5"/>
      <c r="M334" s="5"/>
      <c r="N334" s="5"/>
      <c r="O334" s="5"/>
      <c r="P334" s="5"/>
    </row>
    <row r="335" spans="1:16" x14ac:dyDescent="0.25">
      <c r="A335" s="10"/>
      <c r="B335" s="10"/>
      <c r="C335" s="10"/>
      <c r="D335" s="12"/>
      <c r="E335" s="10"/>
      <c r="F335" s="10"/>
      <c r="G335" s="10"/>
      <c r="H335" s="5"/>
      <c r="I335" s="5"/>
      <c r="J335" s="5"/>
      <c r="K335" s="5"/>
      <c r="L335" s="5"/>
      <c r="M335" s="5"/>
      <c r="N335" s="5"/>
      <c r="O335" s="5"/>
      <c r="P335" s="5"/>
    </row>
    <row r="336" spans="1:16" x14ac:dyDescent="0.25">
      <c r="A336" s="10"/>
      <c r="B336" s="10"/>
      <c r="C336" s="10"/>
      <c r="D336" s="12"/>
      <c r="E336" s="10"/>
      <c r="F336" s="10"/>
      <c r="G336" s="10"/>
      <c r="H336" s="5"/>
      <c r="I336" s="5"/>
      <c r="J336" s="5"/>
      <c r="K336" s="5"/>
      <c r="L336" s="5"/>
      <c r="M336" s="5"/>
      <c r="N336" s="5"/>
      <c r="O336" s="5"/>
      <c r="P336" s="5"/>
    </row>
    <row r="337" spans="1:16" x14ac:dyDescent="0.25">
      <c r="A337" s="10"/>
      <c r="B337" s="10"/>
      <c r="C337" s="10"/>
      <c r="D337" s="12"/>
      <c r="E337" s="10"/>
      <c r="F337" s="10"/>
      <c r="G337" s="10"/>
      <c r="H337" s="5"/>
      <c r="I337" s="5"/>
      <c r="J337" s="5"/>
      <c r="K337" s="5"/>
      <c r="L337" s="5"/>
      <c r="M337" s="5"/>
      <c r="N337" s="5"/>
      <c r="O337" s="5"/>
      <c r="P337" s="5"/>
    </row>
    <row r="338" spans="1:16" x14ac:dyDescent="0.25">
      <c r="A338" s="10"/>
      <c r="B338" s="10"/>
      <c r="C338" s="10"/>
      <c r="D338" s="12"/>
      <c r="E338" s="10"/>
      <c r="F338" s="10"/>
      <c r="G338" s="10"/>
      <c r="H338" s="5"/>
      <c r="I338" s="5"/>
      <c r="J338" s="5"/>
      <c r="K338" s="5"/>
      <c r="L338" s="5"/>
      <c r="M338" s="5"/>
      <c r="N338" s="5"/>
      <c r="O338" s="5"/>
      <c r="P338" s="5"/>
    </row>
    <row r="339" spans="1:16" x14ac:dyDescent="0.25">
      <c r="A339" s="10"/>
      <c r="B339" s="10"/>
      <c r="C339" s="10"/>
      <c r="D339" s="12"/>
      <c r="E339" s="10"/>
      <c r="F339" s="10"/>
      <c r="G339" s="10"/>
      <c r="H339" s="5"/>
      <c r="I339" s="5"/>
      <c r="J339" s="5"/>
      <c r="K339" s="5"/>
      <c r="L339" s="5"/>
      <c r="M339" s="5"/>
      <c r="N339" s="5"/>
      <c r="O339" s="5"/>
      <c r="P339" s="5"/>
    </row>
    <row r="340" spans="1:16" x14ac:dyDescent="0.25">
      <c r="A340" s="10"/>
      <c r="B340" s="10"/>
      <c r="C340" s="10"/>
      <c r="D340" s="12"/>
      <c r="E340" s="10"/>
      <c r="F340" s="10"/>
      <c r="G340" s="10"/>
      <c r="H340" s="5"/>
      <c r="I340" s="5"/>
      <c r="J340" s="5"/>
      <c r="K340" s="5"/>
      <c r="L340" s="5"/>
      <c r="M340" s="5"/>
      <c r="N340" s="5"/>
      <c r="O340" s="5"/>
      <c r="P340" s="5"/>
    </row>
    <row r="341" spans="1:16" x14ac:dyDescent="0.25">
      <c r="A341" s="10"/>
      <c r="B341" s="10"/>
      <c r="C341" s="10"/>
      <c r="D341" s="12"/>
      <c r="E341" s="10"/>
      <c r="F341" s="10"/>
      <c r="G341" s="10"/>
      <c r="H341" s="5"/>
      <c r="I341" s="5"/>
      <c r="J341" s="5"/>
      <c r="K341" s="5"/>
      <c r="L341" s="5"/>
      <c r="M341" s="5"/>
      <c r="N341" s="5"/>
      <c r="O341" s="5"/>
      <c r="P341" s="5"/>
    </row>
    <row r="342" spans="1:16" x14ac:dyDescent="0.25">
      <c r="A342" s="10"/>
      <c r="B342" s="10"/>
      <c r="C342" s="10"/>
      <c r="D342" s="12"/>
      <c r="E342" s="10"/>
      <c r="F342" s="10"/>
      <c r="G342" s="10"/>
      <c r="H342" s="5"/>
      <c r="I342" s="5"/>
      <c r="J342" s="5"/>
      <c r="K342" s="5"/>
      <c r="L342" s="5"/>
      <c r="M342" s="5"/>
      <c r="N342" s="5"/>
      <c r="O342" s="5"/>
      <c r="P342" s="5"/>
    </row>
    <row r="343" spans="1:16" x14ac:dyDescent="0.25">
      <c r="A343" s="10"/>
      <c r="B343" s="10"/>
      <c r="C343" s="10"/>
      <c r="D343" s="12"/>
      <c r="E343" s="10"/>
      <c r="F343" s="10"/>
      <c r="G343" s="10"/>
      <c r="H343" s="5"/>
      <c r="I343" s="5"/>
      <c r="J343" s="5"/>
      <c r="K343" s="5"/>
      <c r="L343" s="5"/>
      <c r="M343" s="5"/>
      <c r="N343" s="5"/>
      <c r="O343" s="5"/>
      <c r="P343" s="5"/>
    </row>
    <row r="344" spans="1:16" x14ac:dyDescent="0.25">
      <c r="A344" s="10"/>
      <c r="B344" s="10"/>
      <c r="C344" s="10"/>
      <c r="D344" s="12"/>
      <c r="E344" s="10"/>
      <c r="F344" s="10"/>
      <c r="G344" s="10"/>
      <c r="H344" s="5"/>
      <c r="I344" s="5"/>
      <c r="J344" s="5"/>
      <c r="K344" s="5"/>
      <c r="L344" s="5"/>
      <c r="M344" s="5"/>
      <c r="N344" s="5"/>
      <c r="O344" s="5"/>
      <c r="P344" s="5"/>
    </row>
    <row r="345" spans="1:16" x14ac:dyDescent="0.25">
      <c r="A345" s="10"/>
      <c r="B345" s="10"/>
      <c r="C345" s="10"/>
      <c r="D345" s="12"/>
      <c r="E345" s="10"/>
      <c r="F345" s="10"/>
      <c r="G345" s="10"/>
      <c r="H345" s="5"/>
      <c r="I345" s="5"/>
      <c r="J345" s="5"/>
      <c r="K345" s="5"/>
      <c r="L345" s="5"/>
      <c r="M345" s="5"/>
      <c r="N345" s="5"/>
      <c r="O345" s="5"/>
      <c r="P345" s="5"/>
    </row>
    <row r="346" spans="1:16" x14ac:dyDescent="0.25">
      <c r="A346" s="10"/>
      <c r="B346" s="10"/>
      <c r="C346" s="10"/>
      <c r="D346" s="12"/>
      <c r="E346" s="10"/>
      <c r="F346" s="10"/>
      <c r="G346" s="10"/>
      <c r="H346" s="5"/>
      <c r="I346" s="5"/>
      <c r="J346" s="5"/>
      <c r="K346" s="5"/>
      <c r="L346" s="5"/>
      <c r="M346" s="5"/>
      <c r="N346" s="5"/>
      <c r="O346" s="5"/>
      <c r="P346" s="5"/>
    </row>
    <row r="347" spans="1:16" x14ac:dyDescent="0.25">
      <c r="A347" s="10"/>
      <c r="B347" s="10"/>
      <c r="C347" s="10"/>
      <c r="D347" s="12"/>
      <c r="E347" s="10"/>
      <c r="F347" s="10"/>
      <c r="G347" s="10"/>
      <c r="H347" s="5"/>
      <c r="I347" s="5"/>
      <c r="J347" s="5"/>
      <c r="K347" s="5"/>
      <c r="L347" s="5"/>
      <c r="M347" s="5"/>
      <c r="N347" s="5"/>
      <c r="O347" s="5"/>
      <c r="P347" s="5"/>
    </row>
    <row r="348" spans="1:16" x14ac:dyDescent="0.25">
      <c r="A348" s="10"/>
      <c r="B348" s="10"/>
      <c r="C348" s="10"/>
      <c r="D348" s="12"/>
      <c r="E348" s="10"/>
      <c r="F348" s="10"/>
      <c r="G348" s="10"/>
      <c r="H348" s="5"/>
      <c r="I348" s="5"/>
      <c r="J348" s="5"/>
      <c r="K348" s="5"/>
      <c r="L348" s="5"/>
      <c r="M348" s="5"/>
      <c r="N348" s="5"/>
      <c r="O348" s="5"/>
      <c r="P348" s="5"/>
    </row>
    <row r="349" spans="1:16" x14ac:dyDescent="0.25">
      <c r="A349" s="10"/>
      <c r="B349" s="10"/>
      <c r="C349" s="10"/>
      <c r="D349" s="12"/>
      <c r="E349" s="10"/>
      <c r="F349" s="10"/>
      <c r="G349" s="10"/>
      <c r="H349" s="5"/>
      <c r="I349" s="5"/>
      <c r="J349" s="5"/>
      <c r="K349" s="5"/>
      <c r="L349" s="5"/>
      <c r="M349" s="5"/>
      <c r="N349" s="5"/>
      <c r="O349" s="5"/>
      <c r="P349" s="5"/>
    </row>
    <row r="350" spans="1:16" x14ac:dyDescent="0.25">
      <c r="A350" s="10"/>
      <c r="B350" s="10"/>
      <c r="C350" s="10"/>
      <c r="D350" s="12"/>
      <c r="E350" s="10"/>
      <c r="F350" s="10"/>
      <c r="G350" s="10"/>
      <c r="H350" s="5"/>
      <c r="I350" s="5"/>
      <c r="J350" s="5"/>
      <c r="K350" s="5"/>
      <c r="L350" s="5"/>
      <c r="M350" s="5"/>
      <c r="N350" s="5"/>
      <c r="O350" s="5"/>
      <c r="P350" s="5"/>
    </row>
    <row r="351" spans="1:16" x14ac:dyDescent="0.25">
      <c r="A351" s="10"/>
      <c r="B351" s="10"/>
      <c r="C351" s="10"/>
      <c r="D351" s="12"/>
      <c r="E351" s="10"/>
      <c r="F351" s="10"/>
      <c r="G351" s="10"/>
      <c r="H351" s="5"/>
      <c r="I351" s="5"/>
      <c r="J351" s="5"/>
      <c r="K351" s="5"/>
      <c r="L351" s="5"/>
      <c r="M351" s="5"/>
      <c r="N351" s="5"/>
      <c r="O351" s="5"/>
      <c r="P351" s="5"/>
    </row>
    <row r="352" spans="1:16" x14ac:dyDescent="0.25">
      <c r="A352" s="10"/>
      <c r="B352" s="10"/>
      <c r="C352" s="10"/>
      <c r="D352" s="12"/>
      <c r="E352" s="10"/>
      <c r="F352" s="10"/>
      <c r="G352" s="10"/>
      <c r="H352" s="5"/>
      <c r="I352" s="5"/>
      <c r="J352" s="5"/>
      <c r="K352" s="5"/>
      <c r="L352" s="5"/>
      <c r="M352" s="5"/>
      <c r="N352" s="5"/>
      <c r="O352" s="5"/>
      <c r="P352" s="5"/>
    </row>
    <row r="353" spans="1:16" x14ac:dyDescent="0.25">
      <c r="A353" s="10"/>
      <c r="B353" s="10"/>
      <c r="C353" s="10"/>
      <c r="D353" s="12"/>
      <c r="E353" s="10"/>
      <c r="F353" s="10"/>
      <c r="G353" s="10"/>
      <c r="H353" s="5"/>
      <c r="I353" s="5"/>
      <c r="J353" s="5"/>
      <c r="K353" s="5"/>
      <c r="L353" s="5"/>
      <c r="M353" s="5"/>
      <c r="N353" s="5"/>
      <c r="O353" s="5"/>
      <c r="P353" s="5"/>
    </row>
    <row r="354" spans="1:16" x14ac:dyDescent="0.25">
      <c r="A354" s="10"/>
      <c r="B354" s="10"/>
      <c r="C354" s="10"/>
      <c r="D354" s="12"/>
      <c r="E354" s="10"/>
      <c r="F354" s="10"/>
      <c r="G354" s="10"/>
      <c r="H354" s="5"/>
      <c r="I354" s="5"/>
      <c r="J354" s="5"/>
      <c r="K354" s="5"/>
      <c r="L354" s="5"/>
      <c r="M354" s="5"/>
      <c r="N354" s="5"/>
      <c r="O354" s="5"/>
      <c r="P354" s="5"/>
    </row>
    <row r="355" spans="1:16" x14ac:dyDescent="0.25">
      <c r="A355" s="10"/>
      <c r="B355" s="10"/>
      <c r="C355" s="10"/>
      <c r="D355" s="12"/>
      <c r="E355" s="10"/>
      <c r="F355" s="10"/>
      <c r="G355" s="10"/>
      <c r="H355" s="5"/>
      <c r="I355" s="5"/>
      <c r="J355" s="5"/>
      <c r="K355" s="5"/>
      <c r="L355" s="5"/>
      <c r="M355" s="5"/>
      <c r="N355" s="5"/>
      <c r="O355" s="5"/>
      <c r="P355" s="5"/>
    </row>
    <row r="356" spans="1:16" x14ac:dyDescent="0.25">
      <c r="A356" s="10"/>
      <c r="B356" s="10"/>
      <c r="C356" s="10"/>
      <c r="D356" s="12"/>
      <c r="E356" s="10"/>
      <c r="F356" s="10"/>
      <c r="G356" s="10"/>
      <c r="H356" s="5"/>
      <c r="I356" s="5"/>
      <c r="J356" s="5"/>
      <c r="K356" s="5"/>
      <c r="L356" s="5"/>
      <c r="M356" s="5"/>
      <c r="N356" s="5"/>
      <c r="O356" s="5"/>
      <c r="P356" s="5"/>
    </row>
    <row r="357" spans="1:16" x14ac:dyDescent="0.25">
      <c r="A357" s="10"/>
      <c r="B357" s="10"/>
      <c r="C357" s="10"/>
      <c r="D357" s="12"/>
      <c r="E357" s="10"/>
      <c r="F357" s="10"/>
      <c r="G357" s="10"/>
      <c r="H357" s="5"/>
      <c r="I357" s="5"/>
      <c r="J357" s="5"/>
      <c r="K357" s="5"/>
      <c r="L357" s="5"/>
      <c r="M357" s="5"/>
      <c r="N357" s="5"/>
      <c r="O357" s="5"/>
      <c r="P357" s="5"/>
    </row>
    <row r="358" spans="1:16" x14ac:dyDescent="0.25">
      <c r="A358" s="10"/>
      <c r="B358" s="10"/>
      <c r="C358" s="10"/>
      <c r="D358" s="12"/>
      <c r="E358" s="10"/>
      <c r="F358" s="10"/>
      <c r="G358" s="10"/>
      <c r="H358" s="5"/>
      <c r="I358" s="5"/>
      <c r="J358" s="5"/>
      <c r="K358" s="5"/>
      <c r="L358" s="5"/>
      <c r="M358" s="5"/>
      <c r="N358" s="5"/>
      <c r="O358" s="5"/>
      <c r="P358" s="5"/>
    </row>
    <row r="359" spans="1:16" x14ac:dyDescent="0.25">
      <c r="A359" s="10"/>
      <c r="B359" s="10"/>
      <c r="C359" s="10"/>
      <c r="D359" s="12"/>
      <c r="E359" s="10"/>
      <c r="F359" s="10"/>
      <c r="G359" s="10"/>
      <c r="H359" s="5"/>
      <c r="I359" s="5"/>
      <c r="J359" s="5"/>
      <c r="K359" s="5"/>
      <c r="L359" s="5"/>
      <c r="M359" s="5"/>
      <c r="N359" s="5"/>
      <c r="O359" s="5"/>
      <c r="P359" s="5"/>
    </row>
    <row r="360" spans="1:16" x14ac:dyDescent="0.25">
      <c r="A360" s="10"/>
      <c r="B360" s="10"/>
      <c r="C360" s="10"/>
      <c r="D360" s="12"/>
      <c r="E360" s="10"/>
      <c r="F360" s="10"/>
      <c r="G360" s="10"/>
      <c r="H360" s="5"/>
      <c r="I360" s="5"/>
      <c r="J360" s="5"/>
      <c r="K360" s="5"/>
      <c r="L360" s="5"/>
      <c r="M360" s="5"/>
      <c r="N360" s="5"/>
      <c r="O360" s="5"/>
      <c r="P360" s="5"/>
    </row>
    <row r="361" spans="1:16" x14ac:dyDescent="0.25">
      <c r="A361" s="10"/>
      <c r="B361" s="10"/>
      <c r="C361" s="10"/>
      <c r="D361" s="12"/>
      <c r="E361" s="10"/>
      <c r="F361" s="10"/>
      <c r="G361" s="10"/>
      <c r="H361" s="5"/>
      <c r="I361" s="5"/>
      <c r="J361" s="5"/>
      <c r="K361" s="5"/>
      <c r="L361" s="5"/>
      <c r="M361" s="5"/>
      <c r="N361" s="5"/>
      <c r="O361" s="5"/>
      <c r="P361" s="5"/>
    </row>
    <row r="362" spans="1:16" x14ac:dyDescent="0.25">
      <c r="A362" s="10"/>
      <c r="B362" s="10"/>
      <c r="C362" s="10"/>
      <c r="D362" s="12"/>
      <c r="E362" s="10"/>
      <c r="F362" s="10"/>
      <c r="G362" s="10"/>
      <c r="H362" s="5"/>
      <c r="I362" s="5"/>
      <c r="J362" s="5"/>
      <c r="K362" s="5"/>
      <c r="L362" s="5"/>
      <c r="M362" s="5"/>
      <c r="N362" s="5"/>
      <c r="O362" s="5"/>
      <c r="P362" s="5"/>
    </row>
    <row r="363" spans="1:16" x14ac:dyDescent="0.25">
      <c r="A363" s="10"/>
      <c r="B363" s="10"/>
      <c r="C363" s="10"/>
      <c r="D363" s="12"/>
      <c r="E363" s="10"/>
      <c r="F363" s="10"/>
      <c r="G363" s="10"/>
      <c r="H363" s="5"/>
      <c r="I363" s="5"/>
      <c r="J363" s="5"/>
      <c r="K363" s="5"/>
      <c r="L363" s="5"/>
      <c r="M363" s="5"/>
      <c r="N363" s="5"/>
      <c r="O363" s="5"/>
      <c r="P363" s="5"/>
    </row>
    <row r="364" spans="1:16" x14ac:dyDescent="0.25">
      <c r="A364" s="10"/>
      <c r="B364" s="10"/>
      <c r="C364" s="10"/>
      <c r="D364" s="12"/>
      <c r="E364" s="10"/>
      <c r="F364" s="10"/>
      <c r="G364" s="10"/>
      <c r="H364" s="5"/>
      <c r="I364" s="5"/>
      <c r="J364" s="5"/>
      <c r="K364" s="5"/>
      <c r="L364" s="5"/>
      <c r="M364" s="5"/>
      <c r="N364" s="5"/>
      <c r="O364" s="5"/>
      <c r="P364" s="5"/>
    </row>
    <row r="365" spans="1:16" x14ac:dyDescent="0.25">
      <c r="A365" s="10"/>
      <c r="B365" s="10"/>
      <c r="C365" s="10"/>
      <c r="D365" s="12"/>
      <c r="E365" s="10"/>
      <c r="F365" s="10"/>
      <c r="G365" s="10"/>
      <c r="H365" s="5"/>
      <c r="I365" s="5"/>
      <c r="J365" s="5"/>
      <c r="K365" s="5"/>
      <c r="L365" s="5"/>
      <c r="M365" s="5"/>
      <c r="N365" s="5"/>
      <c r="O365" s="5"/>
      <c r="P365" s="5"/>
    </row>
    <row r="366" spans="1:16" x14ac:dyDescent="0.25">
      <c r="A366" s="10"/>
      <c r="B366" s="10"/>
      <c r="C366" s="10"/>
      <c r="D366" s="12"/>
      <c r="E366" s="10"/>
      <c r="F366" s="10"/>
      <c r="G366" s="10"/>
      <c r="H366" s="5"/>
      <c r="I366" s="5"/>
      <c r="J366" s="5"/>
      <c r="K366" s="5"/>
      <c r="L366" s="5"/>
      <c r="M366" s="5"/>
      <c r="N366" s="5"/>
      <c r="O366" s="5"/>
      <c r="P366" s="5"/>
    </row>
    <row r="367" spans="1:16" x14ac:dyDescent="0.25">
      <c r="A367" s="10"/>
      <c r="B367" s="10"/>
      <c r="C367" s="10"/>
      <c r="D367" s="12"/>
      <c r="E367" s="10"/>
      <c r="F367" s="10"/>
      <c r="G367" s="10"/>
      <c r="H367" s="5"/>
      <c r="I367" s="5"/>
      <c r="J367" s="5"/>
      <c r="K367" s="5"/>
      <c r="L367" s="5"/>
      <c r="M367" s="5"/>
      <c r="N367" s="5"/>
      <c r="O367" s="5"/>
      <c r="P367" s="5"/>
    </row>
    <row r="368" spans="1:16" x14ac:dyDescent="0.25">
      <c r="A368" s="10"/>
      <c r="B368" s="10"/>
      <c r="C368" s="10"/>
      <c r="D368" s="12"/>
      <c r="E368" s="10"/>
      <c r="F368" s="10"/>
      <c r="G368" s="10"/>
      <c r="H368" s="5"/>
      <c r="I368" s="5"/>
      <c r="J368" s="5"/>
      <c r="K368" s="5"/>
      <c r="L368" s="5"/>
      <c r="M368" s="5"/>
      <c r="N368" s="5"/>
      <c r="O368" s="5"/>
      <c r="P368" s="5"/>
    </row>
    <row r="369" spans="1:16" x14ac:dyDescent="0.25">
      <c r="A369" s="10"/>
      <c r="B369" s="10"/>
      <c r="C369" s="10"/>
      <c r="D369" s="12"/>
      <c r="E369" s="10"/>
      <c r="F369" s="10"/>
      <c r="G369" s="10"/>
      <c r="H369" s="5"/>
      <c r="I369" s="5"/>
      <c r="J369" s="5"/>
      <c r="K369" s="5"/>
      <c r="L369" s="5"/>
      <c r="M369" s="5"/>
      <c r="N369" s="5"/>
      <c r="O369" s="5"/>
      <c r="P369" s="5"/>
    </row>
    <row r="370" spans="1:16" x14ac:dyDescent="0.25">
      <c r="A370" s="10"/>
      <c r="B370" s="10"/>
      <c r="C370" s="10"/>
      <c r="D370" s="12"/>
      <c r="E370" s="10"/>
      <c r="F370" s="10"/>
      <c r="G370" s="10"/>
      <c r="H370" s="5"/>
      <c r="I370" s="5"/>
      <c r="J370" s="5"/>
      <c r="K370" s="5"/>
      <c r="L370" s="5"/>
      <c r="M370" s="5"/>
      <c r="N370" s="5"/>
      <c r="O370" s="5"/>
      <c r="P370" s="5"/>
    </row>
    <row r="371" spans="1:16" x14ac:dyDescent="0.25">
      <c r="A371" s="10"/>
      <c r="B371" s="10"/>
      <c r="C371" s="10"/>
      <c r="D371" s="12"/>
      <c r="E371" s="10"/>
      <c r="F371" s="10"/>
      <c r="G371" s="10"/>
      <c r="H371" s="5"/>
      <c r="I371" s="5"/>
      <c r="J371" s="5"/>
      <c r="K371" s="5"/>
      <c r="L371" s="5"/>
      <c r="M371" s="5"/>
      <c r="N371" s="5"/>
      <c r="O371" s="5"/>
      <c r="P371" s="5"/>
    </row>
    <row r="372" spans="1:16" x14ac:dyDescent="0.25">
      <c r="A372" s="10"/>
      <c r="B372" s="10"/>
      <c r="C372" s="10"/>
      <c r="D372" s="12"/>
      <c r="E372" s="10"/>
      <c r="F372" s="10"/>
      <c r="G372" s="10"/>
      <c r="H372" s="5"/>
      <c r="I372" s="5"/>
      <c r="J372" s="5"/>
      <c r="K372" s="5"/>
      <c r="L372" s="5"/>
      <c r="M372" s="5"/>
      <c r="N372" s="5"/>
      <c r="O372" s="5"/>
      <c r="P372" s="5"/>
    </row>
    <row r="373" spans="1:16" x14ac:dyDescent="0.25">
      <c r="A373" s="10"/>
      <c r="B373" s="10"/>
      <c r="C373" s="10"/>
      <c r="D373" s="12"/>
      <c r="E373" s="10"/>
      <c r="F373" s="10"/>
      <c r="G373" s="10"/>
      <c r="H373" s="5"/>
      <c r="I373" s="5"/>
      <c r="J373" s="5"/>
      <c r="K373" s="5"/>
      <c r="L373" s="5"/>
      <c r="M373" s="5"/>
      <c r="N373" s="5"/>
      <c r="O373" s="5"/>
      <c r="P373" s="5"/>
    </row>
    <row r="374" spans="1:16" x14ac:dyDescent="0.25">
      <c r="A374" s="10"/>
      <c r="B374" s="10"/>
      <c r="C374" s="10"/>
      <c r="D374" s="12"/>
      <c r="E374" s="10"/>
      <c r="F374" s="10"/>
      <c r="G374" s="10"/>
      <c r="H374" s="5"/>
      <c r="I374" s="5"/>
      <c r="J374" s="5"/>
      <c r="K374" s="5"/>
      <c r="L374" s="5"/>
      <c r="M374" s="5"/>
      <c r="N374" s="5"/>
      <c r="O374" s="5"/>
      <c r="P374" s="5"/>
    </row>
    <row r="375" spans="1:16" x14ac:dyDescent="0.25">
      <c r="A375" s="10"/>
      <c r="B375" s="10"/>
      <c r="C375" s="10"/>
      <c r="D375" s="12"/>
      <c r="E375" s="10"/>
      <c r="F375" s="10"/>
      <c r="G375" s="10"/>
      <c r="H375" s="5"/>
      <c r="I375" s="5"/>
      <c r="J375" s="5"/>
      <c r="K375" s="5"/>
      <c r="L375" s="5"/>
      <c r="M375" s="5"/>
      <c r="N375" s="5"/>
      <c r="O375" s="5"/>
      <c r="P375" s="5"/>
    </row>
    <row r="376" spans="1:16" x14ac:dyDescent="0.25">
      <c r="A376" s="10"/>
      <c r="B376" s="10"/>
      <c r="C376" s="10"/>
      <c r="D376" s="12"/>
      <c r="E376" s="10"/>
      <c r="F376" s="10"/>
      <c r="G376" s="10"/>
      <c r="H376" s="5"/>
      <c r="I376" s="5"/>
      <c r="J376" s="5"/>
      <c r="K376" s="5"/>
      <c r="L376" s="5"/>
      <c r="M376" s="5"/>
      <c r="N376" s="5"/>
      <c r="O376" s="5"/>
      <c r="P376" s="5"/>
    </row>
    <row r="377" spans="1:16" x14ac:dyDescent="0.25">
      <c r="A377" s="10"/>
      <c r="B377" s="10"/>
      <c r="C377" s="10"/>
      <c r="D377" s="12"/>
      <c r="E377" s="10"/>
      <c r="F377" s="10"/>
      <c r="G377" s="10"/>
      <c r="H377" s="5"/>
      <c r="I377" s="5"/>
      <c r="J377" s="5"/>
      <c r="K377" s="5"/>
      <c r="L377" s="5"/>
      <c r="M377" s="5"/>
      <c r="N377" s="5"/>
      <c r="O377" s="5"/>
      <c r="P377" s="5"/>
    </row>
    <row r="378" spans="1:16" x14ac:dyDescent="0.25">
      <c r="A378" s="10"/>
      <c r="B378" s="10"/>
      <c r="C378" s="10"/>
      <c r="D378" s="12"/>
      <c r="E378" s="10"/>
      <c r="F378" s="10"/>
      <c r="G378" s="10"/>
      <c r="H378" s="5"/>
      <c r="I378" s="5"/>
      <c r="J378" s="5"/>
      <c r="K378" s="5"/>
      <c r="L378" s="5"/>
      <c r="M378" s="5"/>
      <c r="N378" s="5"/>
      <c r="O378" s="5"/>
      <c r="P378" s="5"/>
    </row>
    <row r="379" spans="1:16" x14ac:dyDescent="0.25">
      <c r="A379" s="10"/>
      <c r="B379" s="10"/>
      <c r="C379" s="10"/>
      <c r="D379" s="12"/>
      <c r="E379" s="10"/>
      <c r="F379" s="10"/>
      <c r="G379" s="10"/>
      <c r="H379" s="5"/>
      <c r="I379" s="5"/>
      <c r="J379" s="5"/>
      <c r="K379" s="5"/>
      <c r="L379" s="5"/>
      <c r="M379" s="5"/>
      <c r="N379" s="5"/>
      <c r="O379" s="5"/>
      <c r="P379" s="5"/>
    </row>
    <row r="380" spans="1:16" x14ac:dyDescent="0.25">
      <c r="A380" s="10"/>
      <c r="B380" s="10"/>
      <c r="C380" s="10"/>
      <c r="D380" s="12"/>
      <c r="E380" s="10"/>
      <c r="F380" s="10"/>
      <c r="G380" s="10"/>
      <c r="H380" s="5"/>
      <c r="I380" s="5"/>
      <c r="J380" s="5"/>
      <c r="K380" s="5"/>
      <c r="L380" s="5"/>
      <c r="M380" s="5"/>
      <c r="N380" s="5"/>
      <c r="O380" s="5"/>
      <c r="P380" s="5"/>
    </row>
    <row r="381" spans="1:16" x14ac:dyDescent="0.25">
      <c r="A381" s="10"/>
      <c r="B381" s="10"/>
      <c r="C381" s="10"/>
      <c r="D381" s="12"/>
      <c r="E381" s="10"/>
      <c r="F381" s="10"/>
      <c r="G381" s="10"/>
      <c r="H381" s="5"/>
      <c r="I381" s="5"/>
      <c r="J381" s="5"/>
      <c r="K381" s="5"/>
      <c r="L381" s="5"/>
      <c r="M381" s="5"/>
      <c r="N381" s="5"/>
      <c r="O381" s="5"/>
      <c r="P381" s="5"/>
    </row>
    <row r="382" spans="1:16" x14ac:dyDescent="0.25">
      <c r="A382" s="10"/>
      <c r="B382" s="10"/>
      <c r="C382" s="10"/>
      <c r="D382" s="12"/>
      <c r="E382" s="10"/>
      <c r="F382" s="10"/>
      <c r="G382" s="10"/>
      <c r="H382" s="5"/>
      <c r="I382" s="5"/>
      <c r="J382" s="5"/>
      <c r="K382" s="5"/>
      <c r="L382" s="5"/>
      <c r="M382" s="5"/>
      <c r="N382" s="5"/>
      <c r="O382" s="5"/>
      <c r="P382" s="5"/>
    </row>
    <row r="383" spans="1:16" x14ac:dyDescent="0.25">
      <c r="A383" s="10"/>
      <c r="B383" s="10"/>
      <c r="C383" s="10"/>
      <c r="D383" s="12"/>
      <c r="E383" s="10"/>
      <c r="F383" s="10"/>
      <c r="G383" s="10"/>
      <c r="H383" s="5"/>
      <c r="I383" s="5"/>
      <c r="J383" s="5"/>
      <c r="K383" s="5"/>
      <c r="L383" s="5"/>
      <c r="M383" s="5"/>
      <c r="N383" s="5"/>
      <c r="O383" s="5"/>
      <c r="P383" s="5"/>
    </row>
    <row r="384" spans="1:16" x14ac:dyDescent="0.25">
      <c r="A384" s="10"/>
      <c r="B384" s="10"/>
      <c r="C384" s="10"/>
      <c r="D384" s="12"/>
      <c r="E384" s="10"/>
      <c r="F384" s="10"/>
      <c r="G384" s="10"/>
      <c r="H384" s="5"/>
      <c r="I384" s="5"/>
      <c r="J384" s="5"/>
      <c r="K384" s="5"/>
      <c r="L384" s="5"/>
      <c r="M384" s="5"/>
      <c r="N384" s="5"/>
      <c r="O384" s="5"/>
      <c r="P384" s="5"/>
    </row>
    <row r="385" spans="1:16" x14ac:dyDescent="0.25">
      <c r="A385" s="10"/>
      <c r="B385" s="10"/>
      <c r="C385" s="10"/>
      <c r="D385" s="12"/>
      <c r="E385" s="10"/>
      <c r="F385" s="10"/>
      <c r="G385" s="10"/>
      <c r="H385" s="5"/>
      <c r="I385" s="5"/>
      <c r="J385" s="5"/>
      <c r="K385" s="5"/>
      <c r="L385" s="5"/>
      <c r="M385" s="5"/>
      <c r="N385" s="5"/>
      <c r="O385" s="5"/>
      <c r="P385" s="5"/>
    </row>
    <row r="386" spans="1:16" x14ac:dyDescent="0.25">
      <c r="A386" s="10"/>
      <c r="B386" s="10"/>
      <c r="C386" s="10"/>
      <c r="D386" s="12"/>
      <c r="E386" s="10"/>
      <c r="F386" s="10"/>
      <c r="G386" s="10"/>
      <c r="H386" s="5"/>
      <c r="I386" s="5"/>
      <c r="J386" s="5"/>
      <c r="K386" s="5"/>
      <c r="L386" s="5"/>
      <c r="M386" s="5"/>
      <c r="N386" s="5"/>
      <c r="O386" s="5"/>
      <c r="P386" s="5"/>
    </row>
    <row r="387" spans="1:16" x14ac:dyDescent="0.25">
      <c r="A387" s="10"/>
      <c r="B387" s="10"/>
      <c r="C387" s="10"/>
      <c r="D387" s="12"/>
      <c r="E387" s="10"/>
      <c r="F387" s="10"/>
      <c r="G387" s="10"/>
      <c r="H387" s="5"/>
      <c r="I387" s="5"/>
      <c r="J387" s="5"/>
      <c r="K387" s="5"/>
      <c r="L387" s="5"/>
      <c r="M387" s="5"/>
      <c r="N387" s="5"/>
      <c r="O387" s="5"/>
      <c r="P387" s="5"/>
    </row>
    <row r="388" spans="1:16" x14ac:dyDescent="0.25">
      <c r="A388" s="10"/>
      <c r="B388" s="10"/>
      <c r="C388" s="10"/>
      <c r="D388" s="12"/>
      <c r="E388" s="10"/>
      <c r="F388" s="10"/>
      <c r="G388" s="10"/>
      <c r="H388" s="5"/>
      <c r="I388" s="5"/>
      <c r="J388" s="5"/>
      <c r="K388" s="5"/>
      <c r="L388" s="5"/>
      <c r="M388" s="5"/>
      <c r="N388" s="5"/>
      <c r="O388" s="5"/>
      <c r="P388" s="5"/>
    </row>
    <row r="389" spans="1:16" x14ac:dyDescent="0.25">
      <c r="A389" s="10"/>
      <c r="B389" s="10"/>
      <c r="C389" s="10"/>
      <c r="D389" s="12"/>
      <c r="E389" s="10"/>
      <c r="F389" s="10"/>
      <c r="G389" s="10"/>
      <c r="H389" s="5"/>
      <c r="I389" s="5"/>
      <c r="J389" s="5"/>
      <c r="K389" s="5"/>
      <c r="L389" s="5"/>
      <c r="M389" s="5"/>
      <c r="N389" s="5"/>
      <c r="O389" s="5"/>
      <c r="P389" s="5"/>
    </row>
    <row r="390" spans="1:16" x14ac:dyDescent="0.25">
      <c r="A390" s="10"/>
      <c r="B390" s="10"/>
      <c r="C390" s="10"/>
      <c r="D390" s="12"/>
      <c r="E390" s="10"/>
      <c r="F390" s="10"/>
      <c r="G390" s="10"/>
      <c r="H390" s="5"/>
      <c r="I390" s="5"/>
      <c r="J390" s="5"/>
      <c r="K390" s="5"/>
      <c r="L390" s="5"/>
      <c r="M390" s="5"/>
      <c r="N390" s="5"/>
      <c r="O390" s="5"/>
      <c r="P390" s="5"/>
    </row>
    <row r="391" spans="1:16" x14ac:dyDescent="0.25">
      <c r="A391" s="10"/>
      <c r="B391" s="10"/>
      <c r="C391" s="10"/>
      <c r="D391" s="12"/>
      <c r="E391" s="10"/>
      <c r="F391" s="10"/>
      <c r="G391" s="10"/>
      <c r="H391" s="5"/>
      <c r="I391" s="5"/>
      <c r="J391" s="5"/>
      <c r="K391" s="5"/>
      <c r="L391" s="5"/>
      <c r="M391" s="5"/>
      <c r="N391" s="5"/>
      <c r="O391" s="5"/>
      <c r="P391" s="5"/>
    </row>
    <row r="392" spans="1:16" x14ac:dyDescent="0.25">
      <c r="A392" s="10"/>
      <c r="B392" s="10"/>
      <c r="C392" s="10"/>
      <c r="D392" s="12"/>
      <c r="E392" s="10"/>
      <c r="F392" s="10"/>
      <c r="G392" s="10"/>
      <c r="H392" s="5"/>
      <c r="I392" s="5"/>
      <c r="J392" s="5"/>
      <c r="K392" s="5"/>
      <c r="L392" s="5"/>
      <c r="M392" s="5"/>
      <c r="N392" s="5"/>
      <c r="O392" s="5"/>
      <c r="P392" s="5"/>
    </row>
    <row r="393" spans="1:16" x14ac:dyDescent="0.25">
      <c r="A393" s="10"/>
      <c r="B393" s="10"/>
      <c r="C393" s="10"/>
      <c r="D393" s="12"/>
      <c r="E393" s="10"/>
      <c r="F393" s="10"/>
      <c r="G393" s="10"/>
      <c r="H393" s="5"/>
      <c r="I393" s="5"/>
      <c r="J393" s="5"/>
      <c r="K393" s="5"/>
      <c r="L393" s="5"/>
      <c r="M393" s="5"/>
      <c r="N393" s="5"/>
      <c r="O393" s="5"/>
      <c r="P393" s="5"/>
    </row>
    <row r="394" spans="1:16" x14ac:dyDescent="0.25">
      <c r="A394" s="10"/>
      <c r="B394" s="10"/>
      <c r="C394" s="10"/>
      <c r="D394" s="12"/>
      <c r="E394" s="10"/>
      <c r="F394" s="10"/>
      <c r="G394" s="10"/>
      <c r="H394" s="5"/>
      <c r="I394" s="5"/>
      <c r="J394" s="5"/>
      <c r="K394" s="5"/>
      <c r="L394" s="5"/>
      <c r="M394" s="5"/>
      <c r="N394" s="5"/>
      <c r="O394" s="5"/>
      <c r="P394" s="5"/>
    </row>
    <row r="395" spans="1:16" x14ac:dyDescent="0.25">
      <c r="A395" s="10"/>
      <c r="B395" s="10"/>
      <c r="C395" s="10"/>
      <c r="D395" s="12"/>
      <c r="E395" s="10"/>
      <c r="F395" s="10"/>
      <c r="G395" s="10"/>
      <c r="H395" s="5"/>
      <c r="I395" s="5"/>
      <c r="J395" s="5"/>
      <c r="K395" s="5"/>
      <c r="L395" s="5"/>
      <c r="M395" s="5"/>
      <c r="N395" s="5"/>
      <c r="O395" s="5"/>
      <c r="P395" s="5"/>
    </row>
    <row r="396" spans="1:16" x14ac:dyDescent="0.25">
      <c r="A396" s="10"/>
      <c r="B396" s="10"/>
      <c r="C396" s="10"/>
      <c r="D396" s="12"/>
      <c r="E396" s="10"/>
      <c r="F396" s="10"/>
      <c r="G396" s="10"/>
      <c r="H396" s="5"/>
      <c r="I396" s="5"/>
      <c r="J396" s="5"/>
      <c r="K396" s="5"/>
      <c r="L396" s="5"/>
      <c r="M396" s="5"/>
      <c r="N396" s="5"/>
      <c r="O396" s="5"/>
      <c r="P396" s="5"/>
    </row>
    <row r="397" spans="1:16" x14ac:dyDescent="0.25">
      <c r="A397" s="10"/>
      <c r="B397" s="10"/>
      <c r="C397" s="10"/>
      <c r="D397" s="12"/>
      <c r="E397" s="10"/>
      <c r="F397" s="10"/>
      <c r="G397" s="10"/>
      <c r="H397" s="5"/>
      <c r="I397" s="5"/>
      <c r="J397" s="5"/>
      <c r="K397" s="5"/>
      <c r="L397" s="5"/>
      <c r="M397" s="5"/>
      <c r="N397" s="5"/>
      <c r="O397" s="5"/>
      <c r="P397" s="5"/>
    </row>
    <row r="398" spans="1:16" x14ac:dyDescent="0.25">
      <c r="A398" s="10"/>
      <c r="B398" s="10"/>
      <c r="C398" s="10"/>
      <c r="D398" s="12"/>
      <c r="E398" s="10"/>
      <c r="F398" s="10"/>
      <c r="G398" s="10"/>
      <c r="H398" s="5"/>
      <c r="I398" s="5"/>
      <c r="J398" s="5"/>
      <c r="K398" s="5"/>
      <c r="L398" s="5"/>
      <c r="M398" s="5"/>
      <c r="N398" s="5"/>
      <c r="O398" s="5"/>
      <c r="P398" s="5"/>
    </row>
    <row r="399" spans="1:16" x14ac:dyDescent="0.25">
      <c r="A399" s="10"/>
      <c r="B399" s="10"/>
      <c r="C399" s="10"/>
      <c r="D399" s="12"/>
      <c r="E399" s="10"/>
      <c r="F399" s="10"/>
      <c r="G399" s="10"/>
      <c r="H399" s="5"/>
      <c r="I399" s="5"/>
      <c r="J399" s="5"/>
      <c r="K399" s="5"/>
      <c r="L399" s="5"/>
      <c r="M399" s="5"/>
      <c r="N399" s="5"/>
      <c r="O399" s="5"/>
      <c r="P399" s="5"/>
    </row>
    <row r="400" spans="1:16" x14ac:dyDescent="0.25">
      <c r="A400" s="10"/>
      <c r="B400" s="10"/>
      <c r="C400" s="10"/>
      <c r="D400" s="12"/>
      <c r="E400" s="10"/>
      <c r="F400" s="10"/>
      <c r="G400" s="10"/>
      <c r="H400" s="5"/>
      <c r="I400" s="5"/>
      <c r="J400" s="5"/>
      <c r="K400" s="5"/>
      <c r="L400" s="5"/>
      <c r="M400" s="5"/>
      <c r="N400" s="5"/>
      <c r="O400" s="5"/>
      <c r="P400" s="5"/>
    </row>
    <row r="401" spans="1:16" x14ac:dyDescent="0.25">
      <c r="A401" s="10"/>
      <c r="B401" s="10"/>
      <c r="C401" s="10"/>
      <c r="D401" s="12"/>
      <c r="E401" s="10"/>
      <c r="F401" s="10"/>
      <c r="G401" s="10"/>
      <c r="H401" s="5"/>
      <c r="I401" s="5"/>
      <c r="J401" s="5"/>
      <c r="K401" s="5"/>
      <c r="L401" s="5"/>
      <c r="M401" s="5"/>
      <c r="N401" s="5"/>
      <c r="O401" s="5"/>
      <c r="P401" s="5"/>
    </row>
    <row r="402" spans="1:16" x14ac:dyDescent="0.25">
      <c r="A402" s="10"/>
      <c r="B402" s="10"/>
      <c r="C402" s="10"/>
      <c r="D402" s="12"/>
      <c r="E402" s="10"/>
      <c r="F402" s="10"/>
      <c r="G402" s="10"/>
      <c r="H402" s="5"/>
      <c r="I402" s="5"/>
      <c r="J402" s="5"/>
      <c r="K402" s="5"/>
      <c r="L402" s="5"/>
      <c r="M402" s="5"/>
      <c r="N402" s="5"/>
      <c r="O402" s="5"/>
      <c r="P402" s="5"/>
    </row>
    <row r="403" spans="1:16" x14ac:dyDescent="0.25">
      <c r="A403" s="10"/>
      <c r="B403" s="10"/>
      <c r="C403" s="10"/>
      <c r="D403" s="12"/>
      <c r="E403" s="10"/>
      <c r="F403" s="10"/>
      <c r="G403" s="10"/>
      <c r="H403" s="5"/>
      <c r="I403" s="5"/>
      <c r="J403" s="5"/>
      <c r="K403" s="5"/>
      <c r="L403" s="5"/>
      <c r="M403" s="5"/>
      <c r="N403" s="5"/>
      <c r="O403" s="5"/>
      <c r="P403" s="5"/>
    </row>
    <row r="404" spans="1:16" x14ac:dyDescent="0.25">
      <c r="A404" s="10"/>
      <c r="B404" s="10"/>
      <c r="C404" s="10"/>
      <c r="D404" s="12"/>
      <c r="E404" s="10"/>
      <c r="F404" s="10"/>
      <c r="G404" s="10"/>
      <c r="H404" s="5"/>
      <c r="I404" s="5"/>
      <c r="J404" s="5"/>
      <c r="K404" s="5"/>
      <c r="L404" s="5"/>
      <c r="M404" s="5"/>
      <c r="N404" s="5"/>
      <c r="O404" s="5"/>
      <c r="P404" s="5"/>
    </row>
    <row r="405" spans="1:16" x14ac:dyDescent="0.25">
      <c r="A405" s="10"/>
      <c r="B405" s="10"/>
      <c r="C405" s="10"/>
      <c r="D405" s="12"/>
      <c r="E405" s="10"/>
      <c r="F405" s="10"/>
      <c r="G405" s="10"/>
      <c r="H405" s="5"/>
      <c r="I405" s="5"/>
      <c r="J405" s="5"/>
      <c r="K405" s="5"/>
      <c r="L405" s="5"/>
      <c r="M405" s="5"/>
      <c r="N405" s="5"/>
      <c r="O405" s="5"/>
      <c r="P405" s="5"/>
    </row>
    <row r="406" spans="1:16" x14ac:dyDescent="0.25">
      <c r="A406" s="10"/>
      <c r="B406" s="10"/>
      <c r="C406" s="10"/>
      <c r="D406" s="12"/>
      <c r="E406" s="10"/>
      <c r="F406" s="10"/>
      <c r="G406" s="10"/>
      <c r="H406" s="5"/>
      <c r="I406" s="5"/>
      <c r="J406" s="5"/>
      <c r="K406" s="5"/>
      <c r="L406" s="5"/>
      <c r="M406" s="5"/>
      <c r="N406" s="5"/>
      <c r="O406" s="5"/>
      <c r="P406" s="5"/>
    </row>
    <row r="407" spans="1:16" x14ac:dyDescent="0.25">
      <c r="A407" s="10"/>
      <c r="B407" s="10"/>
      <c r="C407" s="10"/>
      <c r="D407" s="12"/>
      <c r="E407" s="10"/>
      <c r="F407" s="10"/>
      <c r="G407" s="10"/>
      <c r="H407" s="5"/>
      <c r="I407" s="5"/>
      <c r="J407" s="5"/>
      <c r="K407" s="5"/>
      <c r="L407" s="5"/>
      <c r="M407" s="5"/>
      <c r="N407" s="5"/>
      <c r="O407" s="5"/>
      <c r="P407" s="5"/>
    </row>
    <row r="408" spans="1:16" x14ac:dyDescent="0.25">
      <c r="A408" s="10"/>
      <c r="B408" s="10"/>
      <c r="C408" s="10"/>
      <c r="D408" s="12"/>
      <c r="E408" s="10"/>
      <c r="F408" s="10"/>
      <c r="G408" s="10"/>
      <c r="H408" s="5"/>
      <c r="I408" s="5"/>
      <c r="J408" s="5"/>
      <c r="K408" s="5"/>
      <c r="L408" s="5"/>
      <c r="M408" s="5"/>
      <c r="N408" s="5"/>
      <c r="O408" s="5"/>
      <c r="P408" s="5"/>
    </row>
    <row r="409" spans="1:16" x14ac:dyDescent="0.25">
      <c r="A409" s="10"/>
      <c r="B409" s="10"/>
      <c r="C409" s="10"/>
      <c r="D409" s="12"/>
      <c r="E409" s="10"/>
      <c r="F409" s="10"/>
      <c r="G409" s="10"/>
      <c r="H409" s="5"/>
      <c r="I409" s="5"/>
      <c r="J409" s="5"/>
      <c r="K409" s="5"/>
      <c r="L409" s="5"/>
      <c r="M409" s="5"/>
      <c r="N409" s="5"/>
      <c r="O409" s="5"/>
      <c r="P409" s="5"/>
    </row>
    <row r="410" spans="1:16" x14ac:dyDescent="0.25">
      <c r="A410" s="10"/>
      <c r="B410" s="10"/>
      <c r="C410" s="10"/>
      <c r="D410" s="12"/>
      <c r="E410" s="10"/>
      <c r="F410" s="10"/>
      <c r="G410" s="10"/>
      <c r="H410" s="5"/>
      <c r="I410" s="5"/>
      <c r="J410" s="5"/>
      <c r="K410" s="5"/>
      <c r="L410" s="5"/>
      <c r="M410" s="5"/>
      <c r="N410" s="5"/>
      <c r="O410" s="5"/>
      <c r="P410" s="5"/>
    </row>
    <row r="411" spans="1:16" x14ac:dyDescent="0.25">
      <c r="A411" s="10"/>
      <c r="B411" s="10"/>
      <c r="C411" s="10"/>
      <c r="D411" s="12"/>
      <c r="E411" s="10"/>
      <c r="F411" s="10"/>
      <c r="G411" s="10"/>
      <c r="H411" s="5"/>
      <c r="I411" s="5"/>
      <c r="J411" s="5"/>
      <c r="K411" s="5"/>
      <c r="L411" s="5"/>
      <c r="M411" s="5"/>
      <c r="N411" s="5"/>
      <c r="O411" s="5"/>
      <c r="P411" s="5"/>
    </row>
    <row r="412" spans="1:16" x14ac:dyDescent="0.25">
      <c r="A412" s="10"/>
      <c r="B412" s="10"/>
      <c r="C412" s="10"/>
      <c r="D412" s="12"/>
      <c r="E412" s="10"/>
      <c r="F412" s="10"/>
      <c r="G412" s="10"/>
      <c r="H412" s="5"/>
      <c r="I412" s="5"/>
      <c r="J412" s="5"/>
      <c r="K412" s="5"/>
      <c r="L412" s="5"/>
      <c r="M412" s="5"/>
      <c r="N412" s="5"/>
      <c r="O412" s="5"/>
      <c r="P412" s="5"/>
    </row>
    <row r="413" spans="1:16" x14ac:dyDescent="0.25">
      <c r="A413" s="10"/>
      <c r="B413" s="10"/>
      <c r="C413" s="10"/>
      <c r="D413" s="12"/>
      <c r="E413" s="10"/>
      <c r="F413" s="10"/>
      <c r="G413" s="10"/>
      <c r="H413" s="5"/>
      <c r="I413" s="5"/>
      <c r="J413" s="5"/>
      <c r="K413" s="5"/>
      <c r="L413" s="5"/>
      <c r="M413" s="5"/>
      <c r="N413" s="5"/>
      <c r="O413" s="5"/>
      <c r="P413" s="5"/>
    </row>
    <row r="414" spans="1:16" x14ac:dyDescent="0.25">
      <c r="A414" s="10"/>
      <c r="B414" s="10"/>
      <c r="C414" s="10"/>
      <c r="D414" s="12"/>
      <c r="E414" s="10"/>
      <c r="F414" s="10"/>
      <c r="G414" s="10"/>
      <c r="H414" s="5"/>
      <c r="I414" s="5"/>
      <c r="J414" s="5"/>
      <c r="K414" s="5"/>
      <c r="L414" s="5"/>
      <c r="M414" s="5"/>
      <c r="N414" s="5"/>
      <c r="O414" s="5"/>
      <c r="P414" s="5"/>
    </row>
    <row r="415" spans="1:16" x14ac:dyDescent="0.25">
      <c r="A415" s="10"/>
      <c r="B415" s="10"/>
      <c r="C415" s="10"/>
      <c r="D415" s="12"/>
      <c r="E415" s="10"/>
      <c r="F415" s="10"/>
      <c r="G415" s="10"/>
      <c r="H415" s="5"/>
      <c r="I415" s="5"/>
      <c r="J415" s="5"/>
      <c r="K415" s="5"/>
      <c r="L415" s="5"/>
      <c r="M415" s="5"/>
      <c r="N415" s="5"/>
      <c r="O415" s="5"/>
      <c r="P415" s="5"/>
    </row>
    <row r="416" spans="1:16" x14ac:dyDescent="0.25">
      <c r="A416" s="10"/>
      <c r="B416" s="10"/>
      <c r="C416" s="10"/>
      <c r="D416" s="12"/>
      <c r="E416" s="10"/>
      <c r="F416" s="10"/>
      <c r="G416" s="10"/>
      <c r="H416" s="5"/>
      <c r="I416" s="5"/>
      <c r="J416" s="5"/>
      <c r="K416" s="5"/>
      <c r="L416" s="5"/>
      <c r="M416" s="5"/>
      <c r="N416" s="5"/>
      <c r="O416" s="5"/>
      <c r="P416" s="5"/>
    </row>
    <row r="417" spans="1:16" x14ac:dyDescent="0.25">
      <c r="A417" s="10"/>
      <c r="B417" s="10"/>
      <c r="C417" s="10"/>
      <c r="D417" s="12"/>
      <c r="E417" s="10"/>
      <c r="F417" s="10"/>
      <c r="G417" s="10"/>
      <c r="H417" s="5"/>
      <c r="I417" s="5"/>
      <c r="J417" s="5"/>
      <c r="K417" s="5"/>
      <c r="L417" s="5"/>
      <c r="M417" s="5"/>
      <c r="N417" s="5"/>
      <c r="O417" s="5"/>
      <c r="P417" s="5"/>
    </row>
    <row r="418" spans="1:16" x14ac:dyDescent="0.25">
      <c r="A418" s="10"/>
      <c r="B418" s="10"/>
      <c r="C418" s="10"/>
      <c r="D418" s="12"/>
      <c r="E418" s="10"/>
      <c r="F418" s="10"/>
      <c r="G418" s="10"/>
      <c r="H418" s="5"/>
      <c r="I418" s="5"/>
      <c r="J418" s="5"/>
      <c r="K418" s="5"/>
      <c r="L418" s="5"/>
      <c r="M418" s="5"/>
      <c r="N418" s="5"/>
      <c r="O418" s="5"/>
      <c r="P418" s="5"/>
    </row>
    <row r="419" spans="1:16" x14ac:dyDescent="0.25">
      <c r="A419" s="10"/>
      <c r="B419" s="10"/>
      <c r="C419" s="10"/>
      <c r="D419" s="12"/>
      <c r="E419" s="10"/>
      <c r="F419" s="10"/>
      <c r="G419" s="10"/>
      <c r="H419" s="5"/>
      <c r="I419" s="5"/>
      <c r="J419" s="5"/>
      <c r="K419" s="5"/>
      <c r="L419" s="5"/>
      <c r="M419" s="5"/>
      <c r="N419" s="5"/>
      <c r="O419" s="5"/>
      <c r="P419" s="5"/>
    </row>
    <row r="420" spans="1:16" x14ac:dyDescent="0.25">
      <c r="A420" s="10"/>
      <c r="B420" s="10"/>
      <c r="C420" s="10"/>
      <c r="D420" s="12"/>
      <c r="E420" s="10"/>
      <c r="F420" s="10"/>
      <c r="G420" s="10"/>
      <c r="H420" s="5"/>
      <c r="I420" s="5"/>
      <c r="J420" s="5"/>
      <c r="K420" s="5"/>
      <c r="L420" s="5"/>
      <c r="M420" s="5"/>
      <c r="N420" s="5"/>
      <c r="O420" s="5"/>
      <c r="P420" s="5"/>
    </row>
    <row r="421" spans="1:16" x14ac:dyDescent="0.25">
      <c r="A421" s="10"/>
      <c r="B421" s="10"/>
      <c r="C421" s="10"/>
      <c r="D421" s="12"/>
      <c r="E421" s="10"/>
      <c r="F421" s="10"/>
      <c r="G421" s="10"/>
      <c r="H421" s="5"/>
      <c r="I421" s="5"/>
      <c r="J421" s="5"/>
      <c r="K421" s="5"/>
      <c r="L421" s="5"/>
      <c r="M421" s="5"/>
      <c r="N421" s="5"/>
      <c r="O421" s="5"/>
      <c r="P421" s="5"/>
    </row>
    <row r="422" spans="1:16" x14ac:dyDescent="0.25">
      <c r="A422" s="10"/>
      <c r="B422" s="10"/>
      <c r="C422" s="10"/>
      <c r="D422" s="12"/>
      <c r="E422" s="10"/>
      <c r="F422" s="10"/>
      <c r="G422" s="10"/>
      <c r="H422" s="5"/>
      <c r="I422" s="5"/>
      <c r="J422" s="5"/>
      <c r="K422" s="5"/>
      <c r="L422" s="5"/>
      <c r="M422" s="5"/>
      <c r="N422" s="5"/>
      <c r="O422" s="5"/>
      <c r="P422" s="5"/>
    </row>
    <row r="423" spans="1:16" x14ac:dyDescent="0.25">
      <c r="A423" s="10"/>
      <c r="B423" s="10"/>
      <c r="C423" s="10"/>
      <c r="D423" s="12"/>
      <c r="E423" s="10"/>
      <c r="F423" s="10"/>
      <c r="G423" s="10"/>
      <c r="H423" s="5"/>
      <c r="I423" s="5"/>
      <c r="J423" s="5"/>
      <c r="K423" s="5"/>
      <c r="L423" s="5"/>
      <c r="M423" s="5"/>
      <c r="N423" s="5"/>
      <c r="O423" s="5"/>
      <c r="P423" s="5"/>
    </row>
    <row r="424" spans="1:16" x14ac:dyDescent="0.25">
      <c r="A424" s="10"/>
      <c r="B424" s="10"/>
      <c r="C424" s="10"/>
      <c r="D424" s="12"/>
      <c r="E424" s="10"/>
      <c r="F424" s="10"/>
      <c r="G424" s="10"/>
      <c r="H424" s="5"/>
      <c r="I424" s="5"/>
      <c r="J424" s="5"/>
      <c r="K424" s="5"/>
      <c r="L424" s="5"/>
      <c r="M424" s="5"/>
      <c r="N424" s="5"/>
      <c r="O424" s="5"/>
      <c r="P424" s="5"/>
    </row>
    <row r="425" spans="1:16" x14ac:dyDescent="0.25">
      <c r="A425" s="10"/>
      <c r="B425" s="10"/>
      <c r="C425" s="10"/>
      <c r="D425" s="12"/>
      <c r="E425" s="10"/>
      <c r="F425" s="10"/>
      <c r="G425" s="10"/>
      <c r="H425" s="5"/>
      <c r="I425" s="5"/>
      <c r="J425" s="5"/>
      <c r="K425" s="5"/>
      <c r="L425" s="5"/>
      <c r="M425" s="5"/>
      <c r="N425" s="5"/>
      <c r="O425" s="5"/>
      <c r="P425" s="5"/>
    </row>
    <row r="426" spans="1:16" x14ac:dyDescent="0.25">
      <c r="A426" s="10"/>
      <c r="B426" s="10"/>
      <c r="C426" s="10"/>
      <c r="D426" s="12"/>
      <c r="E426" s="10"/>
      <c r="F426" s="10"/>
      <c r="G426" s="10"/>
      <c r="H426" s="5"/>
      <c r="I426" s="5"/>
      <c r="J426" s="5"/>
      <c r="K426" s="5"/>
      <c r="L426" s="5"/>
      <c r="M426" s="5"/>
      <c r="N426" s="5"/>
      <c r="O426" s="5"/>
      <c r="P426" s="5"/>
    </row>
    <row r="427" spans="1:16" x14ac:dyDescent="0.25">
      <c r="A427" s="10"/>
      <c r="B427" s="10"/>
      <c r="C427" s="10"/>
      <c r="D427" s="12"/>
      <c r="E427" s="10"/>
      <c r="F427" s="10"/>
      <c r="G427" s="10"/>
      <c r="H427" s="5"/>
      <c r="I427" s="5"/>
      <c r="J427" s="5"/>
      <c r="K427" s="5"/>
      <c r="L427" s="5"/>
      <c r="M427" s="5"/>
      <c r="N427" s="5"/>
      <c r="O427" s="5"/>
      <c r="P427" s="5"/>
    </row>
    <row r="428" spans="1:16" x14ac:dyDescent="0.25">
      <c r="A428" s="10"/>
      <c r="B428" s="10"/>
      <c r="C428" s="10"/>
      <c r="D428" s="12"/>
      <c r="E428" s="10"/>
      <c r="F428" s="10"/>
      <c r="G428" s="10"/>
      <c r="H428" s="5"/>
      <c r="I428" s="5"/>
      <c r="J428" s="5"/>
      <c r="K428" s="5"/>
      <c r="L428" s="5"/>
      <c r="M428" s="5"/>
      <c r="N428" s="5"/>
      <c r="O428" s="5"/>
      <c r="P428" s="5"/>
    </row>
    <row r="429" spans="1:16" x14ac:dyDescent="0.25">
      <c r="A429" s="10"/>
      <c r="B429" s="10"/>
      <c r="C429" s="10"/>
      <c r="D429" s="12"/>
      <c r="E429" s="10"/>
      <c r="F429" s="10"/>
      <c r="G429" s="10"/>
      <c r="H429" s="5"/>
      <c r="I429" s="5"/>
      <c r="J429" s="5"/>
      <c r="K429" s="5"/>
      <c r="L429" s="5"/>
      <c r="M429" s="5"/>
      <c r="N429" s="5"/>
      <c r="O429" s="5"/>
      <c r="P429" s="5"/>
    </row>
    <row r="430" spans="1:16" x14ac:dyDescent="0.25">
      <c r="A430" s="10"/>
      <c r="B430" s="10"/>
      <c r="C430" s="10"/>
      <c r="D430" s="12"/>
      <c r="E430" s="10"/>
      <c r="F430" s="10"/>
      <c r="G430" s="10"/>
      <c r="H430" s="5"/>
      <c r="I430" s="5"/>
      <c r="J430" s="5"/>
      <c r="K430" s="5"/>
      <c r="L430" s="5"/>
      <c r="M430" s="5"/>
      <c r="N430" s="5"/>
      <c r="O430" s="5"/>
      <c r="P430" s="5"/>
    </row>
    <row r="431" spans="1:16" x14ac:dyDescent="0.25">
      <c r="A431" s="10"/>
      <c r="B431" s="10"/>
      <c r="C431" s="10"/>
      <c r="D431" s="12"/>
      <c r="E431" s="10"/>
      <c r="F431" s="10"/>
      <c r="G431" s="10"/>
      <c r="H431" s="5"/>
      <c r="I431" s="5"/>
      <c r="J431" s="5"/>
      <c r="K431" s="5"/>
      <c r="L431" s="5"/>
      <c r="M431" s="5"/>
      <c r="N431" s="5"/>
      <c r="O431" s="5"/>
      <c r="P431" s="5"/>
    </row>
    <row r="432" spans="1:16" x14ac:dyDescent="0.25">
      <c r="A432" s="10"/>
      <c r="B432" s="10"/>
      <c r="C432" s="10"/>
      <c r="D432" s="12"/>
      <c r="E432" s="10"/>
      <c r="F432" s="10"/>
      <c r="G432" s="10"/>
      <c r="H432" s="5"/>
      <c r="I432" s="5"/>
      <c r="J432" s="5"/>
      <c r="K432" s="5"/>
      <c r="L432" s="5"/>
      <c r="M432" s="5"/>
      <c r="N432" s="5"/>
      <c r="O432" s="5"/>
      <c r="P432" s="5"/>
    </row>
    <row r="433" spans="1:16" x14ac:dyDescent="0.25">
      <c r="A433" s="10"/>
      <c r="B433" s="10"/>
      <c r="C433" s="10"/>
      <c r="D433" s="12"/>
      <c r="E433" s="10"/>
      <c r="F433" s="10"/>
      <c r="G433" s="10"/>
      <c r="H433" s="5"/>
      <c r="I433" s="5"/>
      <c r="J433" s="5"/>
      <c r="K433" s="5"/>
      <c r="L433" s="5"/>
      <c r="M433" s="5"/>
      <c r="N433" s="5"/>
      <c r="O433" s="5"/>
      <c r="P433" s="5"/>
    </row>
    <row r="434" spans="1:16" x14ac:dyDescent="0.25">
      <c r="A434" s="10"/>
      <c r="B434" s="10"/>
      <c r="C434" s="10"/>
      <c r="D434" s="12"/>
      <c r="E434" s="10"/>
      <c r="F434" s="10"/>
      <c r="G434" s="10"/>
      <c r="H434" s="5"/>
      <c r="I434" s="5"/>
      <c r="J434" s="5"/>
      <c r="K434" s="5"/>
      <c r="L434" s="5"/>
      <c r="M434" s="5"/>
      <c r="N434" s="5"/>
      <c r="O434" s="5"/>
      <c r="P434" s="5"/>
    </row>
    <row r="435" spans="1:16" x14ac:dyDescent="0.25">
      <c r="A435" s="10"/>
      <c r="B435" s="10"/>
      <c r="C435" s="10"/>
      <c r="D435" s="12"/>
      <c r="E435" s="10"/>
      <c r="F435" s="10"/>
      <c r="G435" s="10"/>
      <c r="H435" s="5"/>
      <c r="I435" s="5"/>
      <c r="J435" s="5"/>
      <c r="K435" s="5"/>
      <c r="L435" s="5"/>
      <c r="M435" s="5"/>
      <c r="N435" s="5"/>
      <c r="O435" s="5"/>
      <c r="P435" s="5"/>
    </row>
    <row r="436" spans="1:16" x14ac:dyDescent="0.25">
      <c r="A436" s="10"/>
      <c r="B436" s="10"/>
      <c r="C436" s="10"/>
      <c r="D436" s="12"/>
      <c r="E436" s="10"/>
      <c r="F436" s="10"/>
      <c r="G436" s="10"/>
      <c r="H436" s="5"/>
      <c r="I436" s="5"/>
      <c r="J436" s="5"/>
      <c r="K436" s="5"/>
      <c r="L436" s="5"/>
      <c r="M436" s="5"/>
      <c r="N436" s="5"/>
      <c r="O436" s="5"/>
      <c r="P436" s="5"/>
    </row>
    <row r="437" spans="1:16" x14ac:dyDescent="0.25">
      <c r="A437" s="10"/>
      <c r="B437" s="10"/>
      <c r="C437" s="10"/>
      <c r="D437" s="12"/>
      <c r="E437" s="10"/>
      <c r="F437" s="10"/>
      <c r="G437" s="10"/>
      <c r="H437" s="5"/>
      <c r="I437" s="5"/>
      <c r="J437" s="5"/>
      <c r="K437" s="5"/>
      <c r="L437" s="5"/>
      <c r="M437" s="5"/>
      <c r="N437" s="5"/>
      <c r="O437" s="5"/>
      <c r="P437" s="5"/>
    </row>
    <row r="438" spans="1:16" x14ac:dyDescent="0.25">
      <c r="A438" s="10"/>
      <c r="B438" s="10"/>
      <c r="C438" s="10"/>
      <c r="D438" s="12"/>
      <c r="E438" s="10"/>
      <c r="F438" s="10"/>
      <c r="G438" s="10"/>
      <c r="H438" s="5"/>
      <c r="I438" s="5"/>
      <c r="J438" s="5"/>
      <c r="K438" s="5"/>
      <c r="L438" s="5"/>
      <c r="M438" s="5"/>
      <c r="N438" s="5"/>
      <c r="O438" s="5"/>
      <c r="P438" s="5"/>
    </row>
    <row r="439" spans="1:16" x14ac:dyDescent="0.25">
      <c r="A439" s="10"/>
      <c r="B439" s="10"/>
      <c r="C439" s="10"/>
      <c r="D439" s="12"/>
      <c r="E439" s="10"/>
      <c r="F439" s="10"/>
      <c r="G439" s="10"/>
      <c r="H439" s="5"/>
      <c r="I439" s="5"/>
      <c r="J439" s="5"/>
      <c r="K439" s="5"/>
      <c r="L439" s="5"/>
      <c r="M439" s="5"/>
      <c r="N439" s="5"/>
      <c r="O439" s="5"/>
      <c r="P439" s="5"/>
    </row>
    <row r="440" spans="1:16" x14ac:dyDescent="0.25">
      <c r="A440" s="10"/>
      <c r="B440" s="10"/>
      <c r="C440" s="10"/>
      <c r="D440" s="12"/>
      <c r="E440" s="10"/>
      <c r="F440" s="10"/>
      <c r="G440" s="10"/>
      <c r="H440" s="5"/>
      <c r="I440" s="5"/>
      <c r="J440" s="5"/>
      <c r="K440" s="5"/>
      <c r="L440" s="5"/>
      <c r="M440" s="5"/>
      <c r="N440" s="5"/>
      <c r="O440" s="5"/>
      <c r="P440" s="5"/>
    </row>
    <row r="441" spans="1:16" x14ac:dyDescent="0.25">
      <c r="A441" s="10"/>
      <c r="B441" s="10"/>
      <c r="C441" s="10"/>
      <c r="D441" s="12"/>
      <c r="E441" s="10"/>
      <c r="F441" s="10"/>
      <c r="G441" s="10"/>
      <c r="H441" s="5"/>
      <c r="I441" s="5"/>
      <c r="J441" s="5"/>
      <c r="K441" s="5"/>
      <c r="L441" s="5"/>
      <c r="M441" s="5"/>
      <c r="N441" s="5"/>
      <c r="O441" s="5"/>
      <c r="P441" s="5"/>
    </row>
    <row r="442" spans="1:16" x14ac:dyDescent="0.25">
      <c r="A442" s="10"/>
      <c r="B442" s="10"/>
      <c r="C442" s="10"/>
      <c r="D442" s="12"/>
      <c r="E442" s="10"/>
      <c r="F442" s="10"/>
      <c r="G442" s="10"/>
      <c r="H442" s="5"/>
      <c r="I442" s="5"/>
      <c r="J442" s="5"/>
      <c r="K442" s="5"/>
      <c r="L442" s="5"/>
      <c r="M442" s="5"/>
      <c r="N442" s="5"/>
      <c r="O442" s="5"/>
      <c r="P442" s="5"/>
    </row>
    <row r="443" spans="1:16" x14ac:dyDescent="0.25">
      <c r="A443" s="10"/>
      <c r="B443" s="10"/>
      <c r="C443" s="10"/>
      <c r="D443" s="12"/>
      <c r="E443" s="10"/>
      <c r="F443" s="10"/>
      <c r="G443" s="10"/>
      <c r="H443" s="5"/>
      <c r="I443" s="5"/>
      <c r="J443" s="5"/>
      <c r="K443" s="5"/>
      <c r="L443" s="5"/>
      <c r="M443" s="5"/>
      <c r="N443" s="5"/>
      <c r="O443" s="5"/>
      <c r="P443" s="5"/>
    </row>
    <row r="444" spans="1:16" x14ac:dyDescent="0.25">
      <c r="A444" s="10"/>
      <c r="B444" s="10"/>
      <c r="C444" s="10"/>
      <c r="D444" s="12"/>
      <c r="E444" s="10"/>
      <c r="F444" s="10"/>
      <c r="G444" s="10"/>
      <c r="H444" s="5"/>
      <c r="I444" s="5"/>
      <c r="J444" s="5"/>
      <c r="K444" s="5"/>
      <c r="L444" s="5"/>
      <c r="M444" s="5"/>
      <c r="N444" s="5"/>
      <c r="O444" s="5"/>
      <c r="P444" s="5"/>
    </row>
    <row r="445" spans="1:16" x14ac:dyDescent="0.25">
      <c r="A445" s="10"/>
      <c r="B445" s="10"/>
      <c r="C445" s="10"/>
      <c r="D445" s="12"/>
      <c r="E445" s="10"/>
      <c r="F445" s="10"/>
      <c r="G445" s="10"/>
      <c r="H445" s="5"/>
      <c r="I445" s="5"/>
      <c r="J445" s="5"/>
      <c r="K445" s="5"/>
      <c r="L445" s="5"/>
      <c r="M445" s="5"/>
      <c r="N445" s="5"/>
      <c r="O445" s="5"/>
      <c r="P445" s="5"/>
    </row>
    <row r="446" spans="1:16" x14ac:dyDescent="0.25">
      <c r="A446" s="10"/>
      <c r="B446" s="10"/>
      <c r="C446" s="10"/>
      <c r="D446" s="12"/>
      <c r="E446" s="10"/>
      <c r="F446" s="10"/>
      <c r="G446" s="10"/>
      <c r="H446" s="5"/>
      <c r="I446" s="5"/>
      <c r="J446" s="5"/>
      <c r="K446" s="5"/>
      <c r="L446" s="5"/>
      <c r="M446" s="5"/>
      <c r="N446" s="5"/>
      <c r="O446" s="5"/>
      <c r="P446" s="5"/>
    </row>
    <row r="447" spans="1:16" x14ac:dyDescent="0.25">
      <c r="A447" s="10"/>
      <c r="B447" s="10"/>
      <c r="C447" s="10"/>
      <c r="D447" s="12"/>
      <c r="E447" s="10"/>
      <c r="F447" s="10"/>
      <c r="G447" s="10"/>
      <c r="H447" s="5"/>
      <c r="I447" s="5"/>
      <c r="J447" s="5"/>
      <c r="K447" s="5"/>
      <c r="L447" s="5"/>
      <c r="M447" s="5"/>
      <c r="N447" s="5"/>
      <c r="O447" s="5"/>
      <c r="P447" s="5"/>
    </row>
    <row r="448" spans="1:16" x14ac:dyDescent="0.25">
      <c r="A448" s="10"/>
      <c r="B448" s="10"/>
      <c r="C448" s="10"/>
      <c r="D448" s="12"/>
      <c r="E448" s="10"/>
      <c r="F448" s="10"/>
      <c r="G448" s="10"/>
      <c r="H448" s="5"/>
      <c r="I448" s="5"/>
      <c r="J448" s="5"/>
      <c r="K448" s="5"/>
      <c r="L448" s="5"/>
      <c r="M448" s="5"/>
      <c r="N448" s="5"/>
      <c r="O448" s="5"/>
      <c r="P448" s="5"/>
    </row>
    <row r="449" spans="1:16" x14ac:dyDescent="0.25">
      <c r="A449" s="10"/>
      <c r="B449" s="10"/>
      <c r="C449" s="10"/>
      <c r="D449" s="12"/>
      <c r="E449" s="10"/>
      <c r="F449" s="10"/>
      <c r="G449" s="10"/>
      <c r="H449" s="5"/>
      <c r="I449" s="5"/>
      <c r="J449" s="5"/>
      <c r="K449" s="5"/>
      <c r="L449" s="5"/>
      <c r="M449" s="5"/>
      <c r="N449" s="5"/>
      <c r="O449" s="5"/>
      <c r="P449" s="5"/>
    </row>
    <row r="450" spans="1:16" x14ac:dyDescent="0.25">
      <c r="A450" s="10"/>
      <c r="B450" s="10"/>
      <c r="C450" s="10"/>
      <c r="D450" s="12"/>
      <c r="E450" s="10"/>
      <c r="F450" s="10"/>
      <c r="G450" s="10"/>
      <c r="H450" s="5"/>
      <c r="I450" s="5"/>
      <c r="J450" s="5"/>
      <c r="K450" s="5"/>
      <c r="L450" s="5"/>
      <c r="M450" s="5"/>
      <c r="N450" s="5"/>
      <c r="O450" s="5"/>
      <c r="P450" s="5"/>
    </row>
    <row r="451" spans="1:16" x14ac:dyDescent="0.25">
      <c r="A451" s="10"/>
      <c r="B451" s="10"/>
      <c r="C451" s="10"/>
      <c r="D451" s="12"/>
      <c r="E451" s="10"/>
      <c r="F451" s="10"/>
      <c r="G451" s="10"/>
      <c r="H451" s="5"/>
      <c r="I451" s="5"/>
      <c r="J451" s="5"/>
      <c r="K451" s="5"/>
      <c r="L451" s="5"/>
      <c r="M451" s="5"/>
      <c r="N451" s="5"/>
      <c r="O451" s="5"/>
      <c r="P451" s="5"/>
    </row>
    <row r="452" spans="1:16" x14ac:dyDescent="0.25">
      <c r="A452" s="10"/>
      <c r="B452" s="10"/>
      <c r="C452" s="10"/>
      <c r="D452" s="12"/>
      <c r="E452" s="10"/>
      <c r="F452" s="10"/>
      <c r="G452" s="10"/>
      <c r="H452" s="5"/>
      <c r="I452" s="5"/>
      <c r="J452" s="5"/>
      <c r="K452" s="5"/>
      <c r="L452" s="5"/>
      <c r="M452" s="5"/>
      <c r="N452" s="5"/>
      <c r="O452" s="5"/>
      <c r="P452" s="5"/>
    </row>
    <row r="453" spans="1:16" x14ac:dyDescent="0.25">
      <c r="A453" s="10"/>
      <c r="B453" s="10"/>
      <c r="C453" s="10"/>
      <c r="D453" s="12"/>
      <c r="E453" s="10"/>
      <c r="F453" s="10"/>
      <c r="G453" s="10"/>
      <c r="H453" s="5"/>
      <c r="I453" s="5"/>
      <c r="J453" s="5"/>
      <c r="K453" s="5"/>
      <c r="L453" s="5"/>
      <c r="M453" s="5"/>
      <c r="N453" s="5"/>
      <c r="O453" s="5"/>
      <c r="P453" s="5"/>
    </row>
    <row r="454" spans="1:16" x14ac:dyDescent="0.25">
      <c r="A454" s="10"/>
      <c r="B454" s="10"/>
      <c r="C454" s="10"/>
      <c r="D454" s="12"/>
      <c r="E454" s="10"/>
      <c r="F454" s="10"/>
      <c r="G454" s="10"/>
      <c r="H454" s="5"/>
      <c r="I454" s="5"/>
      <c r="J454" s="5"/>
      <c r="K454" s="5"/>
      <c r="L454" s="5"/>
      <c r="M454" s="5"/>
      <c r="N454" s="5"/>
      <c r="O454" s="5"/>
      <c r="P454" s="5"/>
    </row>
    <row r="455" spans="1:16" x14ac:dyDescent="0.25">
      <c r="A455" s="10"/>
      <c r="B455" s="10"/>
      <c r="C455" s="10"/>
      <c r="D455" s="12"/>
      <c r="E455" s="10"/>
      <c r="F455" s="10"/>
      <c r="G455" s="10"/>
      <c r="H455" s="5"/>
      <c r="I455" s="5"/>
      <c r="J455" s="5"/>
      <c r="K455" s="5"/>
      <c r="L455" s="5"/>
      <c r="M455" s="5"/>
      <c r="N455" s="5"/>
      <c r="O455" s="5"/>
      <c r="P455" s="5"/>
    </row>
    <row r="456" spans="1:16" x14ac:dyDescent="0.25">
      <c r="A456" s="10"/>
      <c r="B456" s="10"/>
      <c r="C456" s="10"/>
      <c r="D456" s="12"/>
      <c r="E456" s="10"/>
      <c r="F456" s="10"/>
      <c r="G456" s="10"/>
      <c r="H456" s="5"/>
      <c r="I456" s="5"/>
      <c r="J456" s="5"/>
      <c r="K456" s="5"/>
      <c r="L456" s="5"/>
      <c r="M456" s="5"/>
      <c r="N456" s="5"/>
      <c r="O456" s="5"/>
      <c r="P456" s="5"/>
    </row>
    <row r="457" spans="1:16" x14ac:dyDescent="0.25">
      <c r="A457" s="10"/>
      <c r="B457" s="10"/>
      <c r="C457" s="10"/>
      <c r="D457" s="12"/>
      <c r="E457" s="10"/>
      <c r="F457" s="10"/>
      <c r="G457" s="10"/>
      <c r="H457" s="5"/>
      <c r="I457" s="5"/>
      <c r="J457" s="5"/>
      <c r="K457" s="5"/>
      <c r="L457" s="5"/>
      <c r="M457" s="5"/>
      <c r="N457" s="5"/>
      <c r="O457" s="5"/>
      <c r="P457" s="5"/>
    </row>
    <row r="458" spans="1:16" x14ac:dyDescent="0.25">
      <c r="A458" s="10"/>
      <c r="B458" s="10"/>
      <c r="C458" s="10"/>
      <c r="D458" s="12"/>
      <c r="E458" s="10"/>
      <c r="F458" s="10"/>
      <c r="G458" s="10"/>
      <c r="H458" s="5"/>
      <c r="I458" s="5"/>
      <c r="J458" s="5"/>
      <c r="K458" s="5"/>
      <c r="L458" s="5"/>
      <c r="M458" s="5"/>
      <c r="N458" s="5"/>
      <c r="O458" s="5"/>
      <c r="P458" s="5"/>
    </row>
    <row r="459" spans="1:16" x14ac:dyDescent="0.25">
      <c r="A459" s="10"/>
      <c r="B459" s="10"/>
      <c r="C459" s="10"/>
      <c r="D459" s="12"/>
      <c r="E459" s="10"/>
      <c r="F459" s="10"/>
      <c r="G459" s="10"/>
      <c r="H459" s="5"/>
      <c r="I459" s="5"/>
      <c r="J459" s="5"/>
      <c r="K459" s="5"/>
      <c r="L459" s="5"/>
      <c r="M459" s="5"/>
      <c r="N459" s="5"/>
      <c r="O459" s="5"/>
      <c r="P459" s="5"/>
    </row>
    <row r="460" spans="1:16" x14ac:dyDescent="0.25">
      <c r="A460" s="10"/>
      <c r="B460" s="10"/>
      <c r="C460" s="10"/>
      <c r="D460" s="12"/>
      <c r="E460" s="10"/>
      <c r="F460" s="10"/>
      <c r="G460" s="10"/>
      <c r="H460" s="5"/>
      <c r="I460" s="5"/>
      <c r="J460" s="5"/>
      <c r="K460" s="5"/>
      <c r="L460" s="5"/>
      <c r="M460" s="5"/>
      <c r="N460" s="5"/>
      <c r="O460" s="5"/>
      <c r="P460" s="5"/>
    </row>
    <row r="461" spans="1:16" x14ac:dyDescent="0.25">
      <c r="A461" s="10"/>
      <c r="B461" s="10"/>
      <c r="C461" s="10"/>
      <c r="D461" s="12"/>
      <c r="E461" s="10"/>
      <c r="F461" s="10"/>
      <c r="G461" s="10"/>
      <c r="H461" s="5"/>
      <c r="I461" s="5"/>
      <c r="J461" s="5"/>
      <c r="K461" s="5"/>
      <c r="L461" s="5"/>
      <c r="M461" s="5"/>
      <c r="N461" s="5"/>
      <c r="O461" s="5"/>
      <c r="P461" s="5"/>
    </row>
    <row r="462" spans="1:16" x14ac:dyDescent="0.25">
      <c r="A462" s="10"/>
      <c r="B462" s="10"/>
      <c r="C462" s="10"/>
      <c r="D462" s="12"/>
      <c r="E462" s="10"/>
      <c r="F462" s="10"/>
      <c r="G462" s="10"/>
      <c r="H462" s="5"/>
      <c r="I462" s="5"/>
      <c r="J462" s="5"/>
      <c r="K462" s="5"/>
      <c r="L462" s="5"/>
      <c r="M462" s="5"/>
      <c r="N462" s="5"/>
      <c r="O462" s="5"/>
      <c r="P462" s="5"/>
    </row>
    <row r="463" spans="1:16" x14ac:dyDescent="0.25">
      <c r="A463" s="10"/>
      <c r="B463" s="10"/>
      <c r="C463" s="10"/>
      <c r="D463" s="12"/>
      <c r="E463" s="10"/>
      <c r="F463" s="10"/>
      <c r="G463" s="10"/>
      <c r="H463" s="5"/>
      <c r="I463" s="5"/>
      <c r="J463" s="5"/>
      <c r="K463" s="5"/>
      <c r="L463" s="5"/>
      <c r="M463" s="5"/>
      <c r="N463" s="5"/>
      <c r="O463" s="5"/>
      <c r="P463" s="5"/>
    </row>
    <row r="464" spans="1:16" x14ac:dyDescent="0.25">
      <c r="A464" s="10"/>
      <c r="B464" s="10"/>
      <c r="C464" s="10"/>
      <c r="D464" s="12"/>
      <c r="E464" s="10"/>
      <c r="F464" s="10"/>
      <c r="G464" s="10"/>
      <c r="H464" s="5"/>
      <c r="I464" s="5"/>
      <c r="J464" s="5"/>
      <c r="K464" s="5"/>
      <c r="L464" s="5"/>
      <c r="M464" s="5"/>
      <c r="N464" s="5"/>
      <c r="O464" s="5"/>
      <c r="P464" s="5"/>
    </row>
    <row r="465" spans="1:16" x14ac:dyDescent="0.25">
      <c r="A465" s="10"/>
      <c r="B465" s="10"/>
      <c r="C465" s="10"/>
      <c r="D465" s="12"/>
      <c r="E465" s="10"/>
      <c r="F465" s="10"/>
      <c r="G465" s="10"/>
      <c r="H465" s="5"/>
      <c r="I465" s="5"/>
      <c r="J465" s="5"/>
      <c r="K465" s="5"/>
      <c r="L465" s="5"/>
      <c r="M465" s="5"/>
      <c r="N465" s="5"/>
      <c r="O465" s="5"/>
      <c r="P465" s="5"/>
    </row>
    <row r="466" spans="1:16" x14ac:dyDescent="0.25">
      <c r="A466" s="10"/>
      <c r="B466" s="10"/>
      <c r="C466" s="10"/>
      <c r="D466" s="12"/>
      <c r="E466" s="10"/>
      <c r="F466" s="10"/>
      <c r="G466" s="10"/>
      <c r="H466" s="5"/>
      <c r="I466" s="5"/>
      <c r="J466" s="5"/>
      <c r="K466" s="5"/>
      <c r="L466" s="5"/>
      <c r="M466" s="5"/>
      <c r="N466" s="5"/>
      <c r="O466" s="5"/>
      <c r="P466" s="5"/>
    </row>
    <row r="467" spans="1:16" x14ac:dyDescent="0.25">
      <c r="A467" s="10"/>
      <c r="B467" s="10"/>
      <c r="C467" s="10"/>
      <c r="D467" s="12"/>
      <c r="E467" s="10"/>
      <c r="F467" s="10"/>
      <c r="G467" s="10"/>
      <c r="H467" s="5"/>
      <c r="I467" s="5"/>
      <c r="J467" s="5"/>
      <c r="K467" s="5"/>
      <c r="L467" s="5"/>
      <c r="M467" s="5"/>
      <c r="N467" s="5"/>
      <c r="O467" s="5"/>
      <c r="P467" s="5"/>
    </row>
    <row r="468" spans="1:16" x14ac:dyDescent="0.25">
      <c r="A468" s="10"/>
      <c r="B468" s="10"/>
      <c r="C468" s="10"/>
      <c r="D468" s="12"/>
      <c r="E468" s="10"/>
      <c r="F468" s="10"/>
      <c r="G468" s="10"/>
      <c r="H468" s="5"/>
      <c r="I468" s="5"/>
      <c r="J468" s="5"/>
      <c r="K468" s="5"/>
      <c r="L468" s="5"/>
      <c r="M468" s="5"/>
      <c r="N468" s="5"/>
      <c r="O468" s="5"/>
      <c r="P468" s="5"/>
    </row>
    <row r="469" spans="1:16" x14ac:dyDescent="0.25">
      <c r="A469" s="10"/>
      <c r="B469" s="10"/>
      <c r="C469" s="10"/>
      <c r="D469" s="12"/>
      <c r="E469" s="10"/>
      <c r="F469" s="10"/>
      <c r="G469" s="10"/>
      <c r="H469" s="5"/>
      <c r="I469" s="5"/>
      <c r="J469" s="5"/>
      <c r="K469" s="5"/>
      <c r="L469" s="5"/>
      <c r="M469" s="5"/>
      <c r="N469" s="5"/>
      <c r="O469" s="5"/>
      <c r="P469" s="5"/>
    </row>
    <row r="470" spans="1:16" x14ac:dyDescent="0.25">
      <c r="A470" s="10"/>
      <c r="B470" s="10"/>
      <c r="C470" s="10"/>
      <c r="D470" s="12"/>
      <c r="E470" s="10"/>
      <c r="F470" s="10"/>
      <c r="G470" s="10"/>
      <c r="H470" s="5"/>
      <c r="I470" s="5"/>
      <c r="J470" s="5"/>
      <c r="K470" s="5"/>
      <c r="L470" s="5"/>
      <c r="M470" s="5"/>
      <c r="N470" s="5"/>
      <c r="O470" s="5"/>
      <c r="P470" s="5"/>
    </row>
    <row r="471" spans="1:16" x14ac:dyDescent="0.25">
      <c r="A471" s="10"/>
      <c r="B471" s="10"/>
      <c r="C471" s="10"/>
      <c r="D471" s="12"/>
      <c r="E471" s="10"/>
      <c r="F471" s="10"/>
      <c r="G471" s="10"/>
      <c r="H471" s="5"/>
      <c r="I471" s="5"/>
      <c r="J471" s="5"/>
      <c r="K471" s="5"/>
      <c r="L471" s="5"/>
      <c r="M471" s="5"/>
      <c r="N471" s="5"/>
      <c r="O471" s="5"/>
      <c r="P471" s="5"/>
    </row>
    <row r="472" spans="1:16" x14ac:dyDescent="0.25">
      <c r="A472" s="10"/>
      <c r="B472" s="10"/>
      <c r="C472" s="10"/>
      <c r="D472" s="12"/>
      <c r="E472" s="10"/>
      <c r="F472" s="10"/>
      <c r="G472" s="10"/>
      <c r="H472" s="5"/>
      <c r="I472" s="5"/>
      <c r="J472" s="5"/>
      <c r="K472" s="5"/>
      <c r="L472" s="5"/>
      <c r="M472" s="5"/>
      <c r="N472" s="5"/>
      <c r="O472" s="5"/>
      <c r="P472" s="5"/>
    </row>
    <row r="473" spans="1:16" x14ac:dyDescent="0.25">
      <c r="A473" s="10"/>
      <c r="B473" s="10"/>
      <c r="C473" s="10"/>
      <c r="D473" s="12"/>
      <c r="E473" s="10"/>
      <c r="F473" s="10"/>
      <c r="G473" s="10"/>
      <c r="H473" s="5"/>
      <c r="I473" s="5"/>
      <c r="J473" s="5"/>
      <c r="K473" s="5"/>
      <c r="L473" s="5"/>
      <c r="M473" s="5"/>
      <c r="N473" s="5"/>
      <c r="O473" s="5"/>
      <c r="P473" s="5"/>
    </row>
    <row r="474" spans="1:16" x14ac:dyDescent="0.25">
      <c r="A474" s="10"/>
      <c r="B474" s="10"/>
      <c r="C474" s="10"/>
      <c r="D474" s="12"/>
      <c r="E474" s="10"/>
      <c r="F474" s="10"/>
      <c r="G474" s="10"/>
      <c r="H474" s="5"/>
      <c r="I474" s="5"/>
      <c r="J474" s="5"/>
      <c r="K474" s="5"/>
      <c r="L474" s="5"/>
      <c r="M474" s="5"/>
      <c r="N474" s="5"/>
      <c r="O474" s="5"/>
      <c r="P474" s="5"/>
    </row>
    <row r="475" spans="1:16" x14ac:dyDescent="0.25">
      <c r="A475" s="10"/>
      <c r="B475" s="10"/>
      <c r="C475" s="10"/>
      <c r="D475" s="12"/>
      <c r="E475" s="10"/>
      <c r="F475" s="10"/>
      <c r="G475" s="10"/>
      <c r="H475" s="5"/>
      <c r="I475" s="5"/>
      <c r="J475" s="5"/>
      <c r="K475" s="5"/>
      <c r="L475" s="5"/>
      <c r="M475" s="5"/>
      <c r="N475" s="5"/>
      <c r="O475" s="5"/>
      <c r="P475" s="5"/>
    </row>
    <row r="476" spans="1:16" x14ac:dyDescent="0.25">
      <c r="A476" s="10"/>
      <c r="B476" s="10"/>
      <c r="C476" s="10"/>
      <c r="D476" s="12"/>
      <c r="E476" s="10"/>
      <c r="F476" s="10"/>
      <c r="G476" s="10"/>
      <c r="H476" s="5"/>
      <c r="I476" s="5"/>
      <c r="J476" s="5"/>
      <c r="K476" s="5"/>
      <c r="L476" s="5"/>
      <c r="M476" s="5"/>
      <c r="N476" s="5"/>
      <c r="O476" s="5"/>
      <c r="P476" s="5"/>
    </row>
    <row r="477" spans="1:16" x14ac:dyDescent="0.25">
      <c r="A477" s="10"/>
      <c r="B477" s="10"/>
      <c r="C477" s="10"/>
      <c r="D477" s="12"/>
      <c r="E477" s="10"/>
      <c r="F477" s="10"/>
      <c r="G477" s="10"/>
      <c r="H477" s="5"/>
      <c r="I477" s="5"/>
      <c r="J477" s="5"/>
      <c r="K477" s="5"/>
      <c r="L477" s="5"/>
      <c r="M477" s="5"/>
      <c r="N477" s="5"/>
      <c r="O477" s="5"/>
      <c r="P477" s="5"/>
    </row>
    <row r="478" spans="1:16" x14ac:dyDescent="0.25">
      <c r="A478" s="10"/>
      <c r="B478" s="10"/>
      <c r="C478" s="10"/>
      <c r="D478" s="12"/>
      <c r="E478" s="10"/>
      <c r="F478" s="10"/>
      <c r="G478" s="10"/>
      <c r="H478" s="5"/>
      <c r="I478" s="5"/>
      <c r="J478" s="5"/>
      <c r="K478" s="5"/>
      <c r="L478" s="5"/>
      <c r="M478" s="5"/>
      <c r="N478" s="5"/>
      <c r="O478" s="5"/>
      <c r="P478" s="5"/>
    </row>
    <row r="479" spans="1:16" x14ac:dyDescent="0.25">
      <c r="A479" s="10"/>
      <c r="B479" s="10"/>
      <c r="C479" s="10"/>
      <c r="D479" s="12"/>
      <c r="E479" s="10"/>
      <c r="F479" s="10"/>
      <c r="G479" s="10"/>
      <c r="H479" s="5"/>
      <c r="I479" s="5"/>
      <c r="J479" s="5"/>
      <c r="K479" s="5"/>
      <c r="L479" s="5"/>
      <c r="M479" s="5"/>
      <c r="N479" s="5"/>
      <c r="O479" s="5"/>
      <c r="P479" s="5"/>
    </row>
    <row r="480" spans="1:16" x14ac:dyDescent="0.25">
      <c r="A480" s="10"/>
      <c r="B480" s="10"/>
      <c r="C480" s="10"/>
      <c r="D480" s="12"/>
      <c r="E480" s="10"/>
      <c r="F480" s="10"/>
      <c r="G480" s="10"/>
      <c r="H480" s="5"/>
      <c r="I480" s="5"/>
      <c r="J480" s="5"/>
      <c r="K480" s="5"/>
      <c r="L480" s="5"/>
      <c r="M480" s="5"/>
      <c r="N480" s="5"/>
      <c r="O480" s="5"/>
      <c r="P480" s="5"/>
    </row>
    <row r="481" spans="1:16" x14ac:dyDescent="0.25">
      <c r="A481" s="10"/>
      <c r="B481" s="10"/>
      <c r="C481" s="10"/>
      <c r="D481" s="12"/>
      <c r="E481" s="10"/>
      <c r="F481" s="10"/>
      <c r="G481" s="10"/>
      <c r="H481" s="5"/>
      <c r="I481" s="5"/>
      <c r="J481" s="5"/>
      <c r="K481" s="5"/>
      <c r="L481" s="5"/>
      <c r="M481" s="5"/>
      <c r="N481" s="5"/>
      <c r="O481" s="5"/>
      <c r="P481" s="5"/>
    </row>
    <row r="482" spans="1:16" x14ac:dyDescent="0.25">
      <c r="A482" s="10"/>
      <c r="B482" s="10"/>
      <c r="C482" s="10"/>
      <c r="D482" s="12"/>
      <c r="E482" s="10"/>
      <c r="F482" s="10"/>
      <c r="G482" s="10"/>
      <c r="H482" s="5"/>
      <c r="I482" s="5"/>
      <c r="J482" s="5"/>
      <c r="K482" s="5"/>
      <c r="L482" s="5"/>
      <c r="M482" s="5"/>
      <c r="N482" s="5"/>
      <c r="O482" s="5"/>
      <c r="P482" s="5"/>
    </row>
    <row r="483" spans="1:16" x14ac:dyDescent="0.25">
      <c r="A483" s="10"/>
      <c r="B483" s="10"/>
      <c r="C483" s="10"/>
      <c r="D483" s="12"/>
      <c r="E483" s="10"/>
      <c r="F483" s="10"/>
      <c r="G483" s="10"/>
      <c r="H483" s="5"/>
      <c r="I483" s="5"/>
      <c r="J483" s="5"/>
      <c r="K483" s="5"/>
      <c r="L483" s="5"/>
      <c r="M483" s="5"/>
      <c r="N483" s="5"/>
      <c r="O483" s="5"/>
      <c r="P483" s="5"/>
    </row>
    <row r="484" spans="1:16" x14ac:dyDescent="0.25">
      <c r="A484" s="10"/>
      <c r="B484" s="10"/>
      <c r="C484" s="10"/>
      <c r="D484" s="12"/>
      <c r="E484" s="10"/>
      <c r="F484" s="10"/>
      <c r="G484" s="10"/>
      <c r="H484" s="5"/>
      <c r="I484" s="5"/>
      <c r="J484" s="5"/>
      <c r="K484" s="5"/>
      <c r="L484" s="5"/>
      <c r="M484" s="5"/>
      <c r="N484" s="5"/>
      <c r="O484" s="5"/>
      <c r="P484" s="5"/>
    </row>
    <row r="485" spans="1:16" x14ac:dyDescent="0.25">
      <c r="A485" s="10"/>
      <c r="B485" s="10"/>
      <c r="C485" s="10"/>
      <c r="D485" s="12"/>
      <c r="E485" s="10"/>
      <c r="F485" s="10"/>
      <c r="G485" s="10"/>
      <c r="H485" s="5"/>
      <c r="I485" s="5"/>
      <c r="J485" s="5"/>
      <c r="K485" s="5"/>
      <c r="L485" s="5"/>
      <c r="M485" s="5"/>
      <c r="N485" s="5"/>
      <c r="O485" s="5"/>
      <c r="P485" s="5"/>
    </row>
    <row r="486" spans="1:16" x14ac:dyDescent="0.25">
      <c r="A486" s="10"/>
      <c r="B486" s="10"/>
      <c r="C486" s="10"/>
      <c r="D486" s="12"/>
      <c r="E486" s="10"/>
      <c r="F486" s="10"/>
      <c r="G486" s="10"/>
      <c r="H486" s="5"/>
      <c r="I486" s="5"/>
      <c r="J486" s="5"/>
      <c r="K486" s="5"/>
      <c r="L486" s="5"/>
      <c r="M486" s="5"/>
      <c r="N486" s="5"/>
      <c r="O486" s="5"/>
      <c r="P486" s="5"/>
    </row>
    <row r="487" spans="1:16" x14ac:dyDescent="0.25">
      <c r="A487" s="10"/>
      <c r="B487" s="10"/>
      <c r="C487" s="10"/>
      <c r="D487" s="12"/>
      <c r="E487" s="10"/>
      <c r="F487" s="10"/>
      <c r="G487" s="10"/>
      <c r="H487" s="5"/>
      <c r="I487" s="5"/>
      <c r="J487" s="5"/>
      <c r="K487" s="5"/>
      <c r="L487" s="5"/>
      <c r="M487" s="5"/>
      <c r="N487" s="5"/>
      <c r="O487" s="5"/>
      <c r="P487" s="5"/>
    </row>
    <row r="488" spans="1:16" x14ac:dyDescent="0.25">
      <c r="A488" s="10"/>
      <c r="B488" s="10"/>
      <c r="C488" s="10"/>
      <c r="D488" s="12"/>
      <c r="E488" s="10"/>
      <c r="F488" s="10"/>
      <c r="G488" s="10"/>
      <c r="H488" s="5"/>
      <c r="I488" s="5"/>
      <c r="J488" s="5"/>
      <c r="K488" s="5"/>
      <c r="L488" s="5"/>
      <c r="M488" s="5"/>
      <c r="N488" s="5"/>
      <c r="O488" s="5"/>
      <c r="P488" s="5"/>
    </row>
    <row r="489" spans="1:16" x14ac:dyDescent="0.25">
      <c r="A489" s="10"/>
      <c r="B489" s="10"/>
      <c r="C489" s="10"/>
      <c r="D489" s="12"/>
      <c r="E489" s="10"/>
      <c r="F489" s="10"/>
      <c r="G489" s="10"/>
      <c r="H489" s="5"/>
      <c r="I489" s="5"/>
      <c r="J489" s="5"/>
      <c r="K489" s="5"/>
      <c r="L489" s="5"/>
      <c r="M489" s="5"/>
      <c r="N489" s="5"/>
      <c r="O489" s="5"/>
      <c r="P489" s="5"/>
    </row>
    <row r="490" spans="1:16" x14ac:dyDescent="0.25">
      <c r="A490" s="10"/>
      <c r="B490" s="10"/>
      <c r="C490" s="10"/>
      <c r="D490" s="12"/>
      <c r="E490" s="10"/>
      <c r="F490" s="10"/>
      <c r="G490" s="10"/>
      <c r="H490" s="5"/>
      <c r="I490" s="5"/>
      <c r="J490" s="5"/>
      <c r="K490" s="5"/>
      <c r="L490" s="5"/>
      <c r="M490" s="5"/>
      <c r="N490" s="5"/>
      <c r="O490" s="5"/>
      <c r="P490" s="5"/>
    </row>
    <row r="491" spans="1:16" x14ac:dyDescent="0.25">
      <c r="A491" s="10"/>
      <c r="B491" s="10"/>
      <c r="C491" s="10"/>
      <c r="D491" s="12"/>
      <c r="E491" s="10"/>
      <c r="F491" s="10"/>
      <c r="G491" s="10"/>
      <c r="H491" s="5"/>
      <c r="I491" s="5"/>
      <c r="J491" s="5"/>
      <c r="K491" s="5"/>
      <c r="L491" s="5"/>
      <c r="M491" s="5"/>
      <c r="N491" s="5"/>
      <c r="O491" s="5"/>
      <c r="P491" s="5"/>
    </row>
    <row r="492" spans="1:16" x14ac:dyDescent="0.25">
      <c r="A492" s="10"/>
      <c r="B492" s="10"/>
      <c r="C492" s="10"/>
      <c r="D492" s="12"/>
      <c r="E492" s="10"/>
      <c r="F492" s="10"/>
      <c r="G492" s="10"/>
      <c r="H492" s="5"/>
      <c r="I492" s="5"/>
      <c r="J492" s="5"/>
      <c r="K492" s="5"/>
      <c r="L492" s="5"/>
      <c r="M492" s="5"/>
      <c r="N492" s="5"/>
      <c r="O492" s="5"/>
      <c r="P492" s="5"/>
    </row>
    <row r="493" spans="1:16" x14ac:dyDescent="0.25">
      <c r="A493" s="10"/>
      <c r="B493" s="10"/>
      <c r="C493" s="10"/>
      <c r="D493" s="12"/>
      <c r="E493" s="10"/>
      <c r="F493" s="10"/>
      <c r="G493" s="10"/>
      <c r="H493" s="5"/>
      <c r="I493" s="5"/>
      <c r="J493" s="5"/>
      <c r="K493" s="5"/>
      <c r="L493" s="5"/>
      <c r="M493" s="5"/>
      <c r="N493" s="5"/>
      <c r="O493" s="5"/>
      <c r="P493" s="5"/>
    </row>
    <row r="494" spans="1:16" x14ac:dyDescent="0.25">
      <c r="A494" s="10"/>
      <c r="B494" s="10"/>
      <c r="C494" s="10"/>
      <c r="D494" s="12"/>
      <c r="E494" s="10"/>
      <c r="F494" s="10"/>
      <c r="G494" s="10"/>
      <c r="H494" s="5"/>
      <c r="I494" s="5"/>
      <c r="J494" s="5"/>
      <c r="K494" s="5"/>
      <c r="L494" s="5"/>
      <c r="M494" s="5"/>
      <c r="N494" s="5"/>
      <c r="O494" s="5"/>
      <c r="P494" s="5"/>
    </row>
    <row r="495" spans="1:16" x14ac:dyDescent="0.25">
      <c r="A495" s="10"/>
      <c r="B495" s="10"/>
      <c r="C495" s="10"/>
      <c r="D495" s="12"/>
      <c r="E495" s="10"/>
      <c r="F495" s="10"/>
      <c r="G495" s="10"/>
      <c r="H495" s="5"/>
      <c r="I495" s="5"/>
      <c r="J495" s="5"/>
      <c r="K495" s="5"/>
      <c r="L495" s="5"/>
      <c r="M495" s="5"/>
      <c r="N495" s="5"/>
      <c r="O495" s="5"/>
      <c r="P495" s="5"/>
    </row>
    <row r="496" spans="1:16" x14ac:dyDescent="0.25">
      <c r="A496" s="10"/>
      <c r="B496" s="10"/>
      <c r="C496" s="10"/>
      <c r="D496" s="12"/>
      <c r="E496" s="10"/>
      <c r="F496" s="10"/>
      <c r="G496" s="10"/>
      <c r="H496" s="5"/>
      <c r="I496" s="5"/>
      <c r="J496" s="5"/>
      <c r="K496" s="5"/>
      <c r="L496" s="5"/>
      <c r="M496" s="5"/>
      <c r="N496" s="5"/>
      <c r="O496" s="5"/>
      <c r="P496" s="5"/>
    </row>
    <row r="497" spans="1:16" x14ac:dyDescent="0.25">
      <c r="A497" s="10"/>
      <c r="B497" s="10"/>
      <c r="C497" s="10"/>
      <c r="D497" s="12"/>
      <c r="E497" s="10"/>
      <c r="F497" s="10"/>
      <c r="G497" s="10"/>
      <c r="H497" s="5"/>
      <c r="I497" s="5"/>
      <c r="J497" s="5"/>
      <c r="K497" s="5"/>
      <c r="L497" s="5"/>
      <c r="M497" s="5"/>
      <c r="N497" s="5"/>
      <c r="O497" s="5"/>
      <c r="P497" s="5"/>
    </row>
    <row r="498" spans="1:16" x14ac:dyDescent="0.25">
      <c r="A498" s="10"/>
      <c r="B498" s="10"/>
      <c r="C498" s="10"/>
      <c r="D498" s="12"/>
      <c r="E498" s="10"/>
      <c r="F498" s="10"/>
      <c r="G498" s="10"/>
      <c r="H498" s="5"/>
      <c r="I498" s="5"/>
      <c r="J498" s="5"/>
      <c r="K498" s="5"/>
      <c r="L498" s="5"/>
      <c r="M498" s="5"/>
      <c r="N498" s="5"/>
      <c r="O498" s="5"/>
      <c r="P498" s="5"/>
    </row>
    <row r="499" spans="1:16" x14ac:dyDescent="0.25">
      <c r="A499" s="10"/>
      <c r="B499" s="10"/>
      <c r="C499" s="10"/>
      <c r="D499" s="12"/>
      <c r="E499" s="10"/>
      <c r="F499" s="10"/>
      <c r="G499" s="10"/>
      <c r="H499" s="5"/>
      <c r="I499" s="5"/>
      <c r="J499" s="5"/>
      <c r="K499" s="5"/>
      <c r="L499" s="5"/>
      <c r="M499" s="5"/>
      <c r="N499" s="5"/>
      <c r="O499" s="5"/>
      <c r="P499" s="5"/>
    </row>
    <row r="500" spans="1:16" x14ac:dyDescent="0.25">
      <c r="A500" s="10"/>
      <c r="B500" s="10"/>
      <c r="C500" s="10"/>
      <c r="D500" s="12"/>
      <c r="E500" s="10"/>
      <c r="F500" s="10"/>
      <c r="G500" s="10"/>
      <c r="H500" s="5"/>
      <c r="I500" s="5"/>
      <c r="J500" s="5"/>
      <c r="K500" s="5"/>
      <c r="L500" s="5"/>
      <c r="M500" s="5"/>
      <c r="N500" s="5"/>
      <c r="O500" s="5"/>
      <c r="P500" s="5"/>
    </row>
    <row r="501" spans="1:16" x14ac:dyDescent="0.25">
      <c r="A501" s="10"/>
      <c r="B501" s="10"/>
      <c r="C501" s="10"/>
      <c r="D501" s="12"/>
      <c r="E501" s="10"/>
      <c r="F501" s="10"/>
      <c r="G501" s="10"/>
      <c r="H501" s="5"/>
      <c r="I501" s="5"/>
      <c r="J501" s="5"/>
      <c r="K501" s="5"/>
      <c r="L501" s="5"/>
      <c r="M501" s="5"/>
      <c r="N501" s="5"/>
      <c r="O501" s="5"/>
      <c r="P501" s="5"/>
    </row>
    <row r="502" spans="1:16" x14ac:dyDescent="0.25">
      <c r="A502" s="10"/>
      <c r="B502" s="10"/>
      <c r="C502" s="10"/>
      <c r="D502" s="12"/>
      <c r="E502" s="10"/>
      <c r="F502" s="10"/>
      <c r="G502" s="10"/>
      <c r="H502" s="5"/>
      <c r="I502" s="5"/>
      <c r="J502" s="5"/>
      <c r="K502" s="5"/>
      <c r="L502" s="5"/>
      <c r="M502" s="5"/>
      <c r="N502" s="5"/>
      <c r="O502" s="5"/>
      <c r="P502" s="5"/>
    </row>
    <row r="503" spans="1:16" x14ac:dyDescent="0.25">
      <c r="A503" s="10"/>
      <c r="B503" s="10"/>
      <c r="C503" s="10"/>
      <c r="D503" s="12"/>
      <c r="E503" s="10"/>
      <c r="F503" s="10"/>
      <c r="G503" s="10"/>
      <c r="H503" s="5"/>
      <c r="I503" s="5"/>
      <c r="J503" s="5"/>
      <c r="K503" s="5"/>
      <c r="L503" s="5"/>
      <c r="M503" s="5"/>
      <c r="N503" s="5"/>
      <c r="O503" s="5"/>
      <c r="P503" s="5"/>
    </row>
    <row r="504" spans="1:16" x14ac:dyDescent="0.25">
      <c r="A504" s="10"/>
      <c r="B504" s="10"/>
      <c r="C504" s="10"/>
      <c r="D504" s="12"/>
      <c r="E504" s="10"/>
      <c r="F504" s="10"/>
      <c r="G504" s="10"/>
      <c r="H504" s="5"/>
      <c r="I504" s="5"/>
      <c r="J504" s="5"/>
      <c r="K504" s="5"/>
      <c r="L504" s="5"/>
      <c r="M504" s="5"/>
      <c r="N504" s="5"/>
      <c r="O504" s="5"/>
      <c r="P504" s="5"/>
    </row>
    <row r="505" spans="1:16" x14ac:dyDescent="0.25">
      <c r="A505" s="10"/>
      <c r="B505" s="10"/>
      <c r="C505" s="10"/>
      <c r="D505" s="12"/>
      <c r="E505" s="10"/>
      <c r="F505" s="10"/>
      <c r="G505" s="10"/>
      <c r="H505" s="5"/>
      <c r="I505" s="5"/>
      <c r="J505" s="5"/>
      <c r="K505" s="5"/>
      <c r="L505" s="5"/>
      <c r="M505" s="5"/>
      <c r="N505" s="5"/>
      <c r="O505" s="5"/>
      <c r="P505" s="5"/>
    </row>
    <row r="506" spans="1:16" x14ac:dyDescent="0.25">
      <c r="A506" s="10"/>
      <c r="B506" s="10"/>
      <c r="C506" s="10"/>
      <c r="D506" s="12"/>
      <c r="E506" s="10"/>
      <c r="F506" s="10"/>
      <c r="G506" s="10"/>
      <c r="H506" s="5"/>
      <c r="I506" s="5"/>
      <c r="J506" s="5"/>
      <c r="K506" s="5"/>
      <c r="L506" s="5"/>
      <c r="M506" s="5"/>
      <c r="N506" s="5"/>
      <c r="O506" s="5"/>
      <c r="P506" s="5"/>
    </row>
    <row r="507" spans="1:16" x14ac:dyDescent="0.25">
      <c r="A507" s="10"/>
      <c r="B507" s="10"/>
      <c r="C507" s="10"/>
      <c r="D507" s="12"/>
      <c r="E507" s="10"/>
      <c r="F507" s="10"/>
      <c r="G507" s="10"/>
      <c r="H507" s="5"/>
      <c r="I507" s="5"/>
      <c r="J507" s="5"/>
      <c r="K507" s="5"/>
      <c r="L507" s="5"/>
      <c r="M507" s="5"/>
      <c r="N507" s="5"/>
      <c r="O507" s="5"/>
      <c r="P507" s="5"/>
    </row>
    <row r="508" spans="1:16" x14ac:dyDescent="0.25">
      <c r="A508" s="10"/>
      <c r="B508" s="10"/>
      <c r="C508" s="10"/>
      <c r="D508" s="12"/>
      <c r="E508" s="10"/>
      <c r="F508" s="10"/>
      <c r="G508" s="10"/>
      <c r="H508" s="5"/>
      <c r="I508" s="5"/>
      <c r="J508" s="5"/>
      <c r="K508" s="5"/>
      <c r="L508" s="5"/>
      <c r="M508" s="5"/>
      <c r="N508" s="5"/>
      <c r="O508" s="5"/>
      <c r="P508" s="5"/>
    </row>
    <row r="509" spans="1:16" x14ac:dyDescent="0.25">
      <c r="A509" s="10"/>
      <c r="B509" s="10"/>
      <c r="C509" s="10"/>
      <c r="D509" s="12"/>
      <c r="E509" s="10"/>
      <c r="F509" s="10"/>
      <c r="G509" s="10"/>
      <c r="H509" s="5"/>
      <c r="I509" s="5"/>
      <c r="J509" s="5"/>
      <c r="K509" s="5"/>
      <c r="L509" s="5"/>
      <c r="M509" s="5"/>
      <c r="N509" s="5"/>
      <c r="O509" s="5"/>
      <c r="P509" s="5"/>
    </row>
    <row r="510" spans="1:16" x14ac:dyDescent="0.25">
      <c r="A510" s="10"/>
      <c r="B510" s="10"/>
      <c r="C510" s="10"/>
      <c r="D510" s="12"/>
      <c r="E510" s="10"/>
      <c r="F510" s="10"/>
      <c r="G510" s="10"/>
      <c r="H510" s="5"/>
      <c r="I510" s="5"/>
      <c r="J510" s="5"/>
      <c r="K510" s="5"/>
      <c r="L510" s="5"/>
      <c r="M510" s="5"/>
      <c r="N510" s="5"/>
      <c r="O510" s="5"/>
      <c r="P510" s="5"/>
    </row>
    <row r="511" spans="1:16" x14ac:dyDescent="0.25">
      <c r="A511" s="10"/>
      <c r="B511" s="10"/>
      <c r="C511" s="10"/>
      <c r="D511" s="12"/>
      <c r="E511" s="10"/>
      <c r="F511" s="10"/>
      <c r="G511" s="10"/>
      <c r="H511" s="5"/>
      <c r="I511" s="5"/>
      <c r="J511" s="5"/>
      <c r="K511" s="5"/>
      <c r="L511" s="5"/>
      <c r="M511" s="5"/>
      <c r="N511" s="5"/>
      <c r="O511" s="5"/>
      <c r="P511" s="5"/>
    </row>
    <row r="512" spans="1:16" x14ac:dyDescent="0.25">
      <c r="A512" s="10"/>
      <c r="B512" s="10"/>
      <c r="C512" s="10"/>
      <c r="D512" s="12"/>
      <c r="E512" s="10"/>
      <c r="F512" s="10"/>
      <c r="G512" s="10"/>
      <c r="H512" s="5"/>
      <c r="I512" s="5"/>
      <c r="J512" s="5"/>
      <c r="K512" s="5"/>
      <c r="L512" s="5"/>
      <c r="M512" s="5"/>
      <c r="N512" s="5"/>
      <c r="O512" s="5"/>
      <c r="P512" s="5"/>
    </row>
    <row r="513" spans="1:16" x14ac:dyDescent="0.25">
      <c r="A513" s="10"/>
      <c r="B513" s="10"/>
      <c r="C513" s="10"/>
      <c r="D513" s="12"/>
      <c r="E513" s="10"/>
      <c r="F513" s="10"/>
      <c r="G513" s="10"/>
      <c r="H513" s="5"/>
      <c r="I513" s="5"/>
      <c r="J513" s="5"/>
      <c r="K513" s="5"/>
      <c r="L513" s="5"/>
      <c r="M513" s="5"/>
      <c r="N513" s="5"/>
      <c r="O513" s="5"/>
      <c r="P513" s="5"/>
    </row>
    <row r="514" spans="1:16" x14ac:dyDescent="0.25">
      <c r="A514" s="10"/>
      <c r="B514" s="10"/>
      <c r="C514" s="10"/>
      <c r="D514" s="12"/>
      <c r="E514" s="10"/>
      <c r="F514" s="10"/>
      <c r="G514" s="10"/>
      <c r="H514" s="5"/>
      <c r="I514" s="5"/>
      <c r="J514" s="5"/>
      <c r="K514" s="5"/>
      <c r="L514" s="5"/>
      <c r="M514" s="5"/>
      <c r="N514" s="5"/>
      <c r="O514" s="5"/>
      <c r="P514" s="5"/>
    </row>
    <row r="515" spans="1:16" x14ac:dyDescent="0.25">
      <c r="A515" s="10"/>
      <c r="B515" s="10"/>
      <c r="C515" s="10"/>
      <c r="D515" s="12"/>
      <c r="E515" s="10"/>
      <c r="F515" s="10"/>
      <c r="G515" s="10"/>
      <c r="H515" s="5"/>
      <c r="I515" s="5"/>
      <c r="J515" s="5"/>
      <c r="K515" s="5"/>
      <c r="L515" s="5"/>
      <c r="M515" s="5"/>
      <c r="N515" s="5"/>
      <c r="O515" s="5"/>
      <c r="P515" s="5"/>
    </row>
    <row r="516" spans="1:16" x14ac:dyDescent="0.25">
      <c r="A516" s="10"/>
      <c r="B516" s="10"/>
      <c r="C516" s="10"/>
      <c r="D516" s="12"/>
      <c r="E516" s="10"/>
      <c r="F516" s="10"/>
      <c r="G516" s="10"/>
      <c r="H516" s="5"/>
      <c r="I516" s="5"/>
      <c r="J516" s="5"/>
      <c r="K516" s="5"/>
      <c r="L516" s="5"/>
      <c r="M516" s="5"/>
      <c r="N516" s="5"/>
      <c r="O516" s="5"/>
      <c r="P516" s="5"/>
    </row>
    <row r="517" spans="1:16" x14ac:dyDescent="0.25">
      <c r="A517" s="10"/>
      <c r="B517" s="10"/>
      <c r="C517" s="10"/>
      <c r="D517" s="12"/>
      <c r="E517" s="10"/>
      <c r="F517" s="10"/>
      <c r="G517" s="10"/>
      <c r="H517" s="5"/>
      <c r="I517" s="5"/>
      <c r="J517" s="5"/>
      <c r="K517" s="5"/>
      <c r="L517" s="5"/>
      <c r="M517" s="5"/>
      <c r="N517" s="5"/>
      <c r="O517" s="5"/>
      <c r="P517" s="5"/>
    </row>
    <row r="518" spans="1:16" x14ac:dyDescent="0.25">
      <c r="A518" s="10"/>
      <c r="B518" s="10"/>
      <c r="C518" s="10"/>
      <c r="D518" s="12"/>
      <c r="E518" s="10"/>
      <c r="F518" s="10"/>
      <c r="G518" s="10"/>
      <c r="H518" s="5"/>
      <c r="I518" s="5"/>
      <c r="J518" s="5"/>
      <c r="K518" s="5"/>
      <c r="L518" s="5"/>
      <c r="M518" s="5"/>
      <c r="N518" s="5"/>
      <c r="O518" s="5"/>
      <c r="P518" s="5"/>
    </row>
    <row r="519" spans="1:16" x14ac:dyDescent="0.25">
      <c r="A519" s="10"/>
      <c r="B519" s="10"/>
      <c r="C519" s="10"/>
      <c r="D519" s="12"/>
      <c r="E519" s="10"/>
      <c r="F519" s="10"/>
      <c r="G519" s="10"/>
      <c r="H519" s="5"/>
      <c r="I519" s="5"/>
      <c r="J519" s="5"/>
      <c r="K519" s="5"/>
      <c r="L519" s="5"/>
      <c r="M519" s="5"/>
      <c r="N519" s="5"/>
      <c r="O519" s="5"/>
      <c r="P519" s="5"/>
    </row>
    <row r="520" spans="1:16" x14ac:dyDescent="0.25">
      <c r="A520" s="10"/>
      <c r="B520" s="10"/>
      <c r="C520" s="10"/>
      <c r="D520" s="12"/>
      <c r="E520" s="10"/>
      <c r="F520" s="10"/>
      <c r="G520" s="10"/>
      <c r="H520" s="5"/>
      <c r="I520" s="5"/>
      <c r="J520" s="5"/>
      <c r="K520" s="5"/>
      <c r="L520" s="5"/>
      <c r="M520" s="5"/>
      <c r="N520" s="5"/>
      <c r="O520" s="5"/>
      <c r="P520" s="5"/>
    </row>
    <row r="521" spans="1:16" x14ac:dyDescent="0.25">
      <c r="A521" s="10"/>
      <c r="B521" s="10"/>
      <c r="C521" s="10"/>
      <c r="D521" s="12"/>
      <c r="E521" s="10"/>
      <c r="F521" s="10"/>
      <c r="G521" s="10"/>
      <c r="H521" s="5"/>
      <c r="I521" s="5"/>
      <c r="J521" s="5"/>
      <c r="K521" s="5"/>
      <c r="L521" s="5"/>
      <c r="M521" s="5"/>
      <c r="N521" s="5"/>
      <c r="O521" s="5"/>
      <c r="P521" s="5"/>
    </row>
    <row r="522" spans="1:16" x14ac:dyDescent="0.25">
      <c r="A522" s="10"/>
      <c r="B522" s="10"/>
      <c r="C522" s="10"/>
      <c r="D522" s="12"/>
      <c r="E522" s="10"/>
      <c r="F522" s="10"/>
      <c r="G522" s="10"/>
      <c r="H522" s="5"/>
      <c r="I522" s="5"/>
      <c r="J522" s="5"/>
      <c r="K522" s="5"/>
      <c r="L522" s="5"/>
      <c r="M522" s="5"/>
      <c r="N522" s="5"/>
      <c r="O522" s="5"/>
      <c r="P522" s="5"/>
    </row>
    <row r="523" spans="1:16" x14ac:dyDescent="0.25">
      <c r="A523" s="10"/>
      <c r="B523" s="10"/>
      <c r="C523" s="10"/>
      <c r="D523" s="12"/>
      <c r="E523" s="10"/>
      <c r="F523" s="10"/>
      <c r="G523" s="10"/>
      <c r="H523" s="5"/>
      <c r="I523" s="5"/>
      <c r="J523" s="5"/>
      <c r="K523" s="5"/>
      <c r="L523" s="5"/>
      <c r="M523" s="5"/>
      <c r="N523" s="5"/>
      <c r="O523" s="5"/>
      <c r="P523" s="5"/>
    </row>
    <row r="524" spans="1:16" x14ac:dyDescent="0.25">
      <c r="A524" s="10"/>
      <c r="B524" s="10"/>
      <c r="C524" s="10"/>
      <c r="D524" s="12"/>
      <c r="E524" s="10"/>
      <c r="F524" s="10"/>
      <c r="G524" s="10"/>
      <c r="H524" s="5"/>
      <c r="I524" s="5"/>
      <c r="J524" s="5"/>
      <c r="K524" s="5"/>
      <c r="L524" s="5"/>
      <c r="M524" s="5"/>
      <c r="N524" s="5"/>
      <c r="O524" s="5"/>
      <c r="P524" s="5"/>
    </row>
    <row r="525" spans="1:16" x14ac:dyDescent="0.25">
      <c r="A525" s="10"/>
      <c r="B525" s="10"/>
      <c r="C525" s="10"/>
      <c r="D525" s="12"/>
      <c r="E525" s="10"/>
      <c r="F525" s="10"/>
      <c r="G525" s="10"/>
      <c r="H525" s="5"/>
      <c r="I525" s="5"/>
      <c r="J525" s="5"/>
      <c r="K525" s="5"/>
      <c r="L525" s="5"/>
      <c r="M525" s="5"/>
      <c r="N525" s="5"/>
      <c r="O525" s="5"/>
      <c r="P525" s="5"/>
    </row>
    <row r="526" spans="1:16" x14ac:dyDescent="0.25">
      <c r="A526" s="10"/>
      <c r="B526" s="10"/>
      <c r="C526" s="10"/>
      <c r="D526" s="12"/>
      <c r="E526" s="10"/>
      <c r="F526" s="10"/>
      <c r="G526" s="10"/>
      <c r="H526" s="5"/>
      <c r="I526" s="5"/>
      <c r="J526" s="5"/>
      <c r="K526" s="5"/>
      <c r="L526" s="5"/>
      <c r="M526" s="5"/>
      <c r="N526" s="5"/>
      <c r="O526" s="5"/>
      <c r="P526" s="5"/>
    </row>
    <row r="527" spans="1:16" x14ac:dyDescent="0.25">
      <c r="A527" s="10"/>
      <c r="B527" s="10"/>
      <c r="C527" s="10"/>
      <c r="D527" s="12"/>
      <c r="E527" s="10"/>
      <c r="F527" s="10"/>
      <c r="G527" s="10"/>
      <c r="H527" s="5"/>
      <c r="I527" s="5"/>
      <c r="J527" s="5"/>
      <c r="K527" s="5"/>
      <c r="L527" s="5"/>
      <c r="M527" s="5"/>
      <c r="N527" s="5"/>
      <c r="O527" s="5"/>
      <c r="P527" s="5"/>
    </row>
    <row r="528" spans="1:16" x14ac:dyDescent="0.25">
      <c r="A528" s="10"/>
      <c r="B528" s="10"/>
      <c r="C528" s="10"/>
      <c r="D528" s="12"/>
      <c r="E528" s="10"/>
      <c r="F528" s="10"/>
      <c r="G528" s="10"/>
      <c r="H528" s="5"/>
      <c r="I528" s="5"/>
      <c r="J528" s="5"/>
      <c r="K528" s="5"/>
      <c r="L528" s="5"/>
      <c r="M528" s="5"/>
      <c r="N528" s="5"/>
      <c r="O528" s="5"/>
      <c r="P528" s="5"/>
    </row>
    <row r="529" spans="1:16" x14ac:dyDescent="0.25">
      <c r="A529" s="10"/>
      <c r="B529" s="10"/>
      <c r="C529" s="10"/>
      <c r="D529" s="12"/>
      <c r="E529" s="10"/>
      <c r="F529" s="10"/>
      <c r="G529" s="10"/>
      <c r="H529" s="5"/>
      <c r="I529" s="5"/>
      <c r="J529" s="5"/>
      <c r="K529" s="5"/>
      <c r="L529" s="5"/>
      <c r="M529" s="5"/>
      <c r="N529" s="5"/>
      <c r="O529" s="5"/>
      <c r="P529" s="5"/>
    </row>
    <row r="530" spans="1:16" x14ac:dyDescent="0.25">
      <c r="A530" s="10"/>
      <c r="B530" s="10"/>
      <c r="C530" s="10"/>
      <c r="D530" s="12"/>
      <c r="E530" s="10"/>
      <c r="F530" s="10"/>
      <c r="G530" s="10"/>
      <c r="H530" s="5"/>
      <c r="I530" s="5"/>
      <c r="J530" s="5"/>
      <c r="K530" s="5"/>
      <c r="L530" s="5"/>
      <c r="M530" s="5"/>
      <c r="N530" s="5"/>
      <c r="O530" s="5"/>
      <c r="P530" s="5"/>
    </row>
    <row r="531" spans="1:16" x14ac:dyDescent="0.25">
      <c r="A531" s="10"/>
      <c r="B531" s="10"/>
      <c r="C531" s="10"/>
      <c r="D531" s="12"/>
      <c r="E531" s="10"/>
      <c r="F531" s="10"/>
      <c r="G531" s="10"/>
      <c r="H531" s="5"/>
      <c r="I531" s="5"/>
      <c r="J531" s="5"/>
      <c r="K531" s="5"/>
      <c r="L531" s="5"/>
      <c r="M531" s="5"/>
      <c r="N531" s="5"/>
      <c r="O531" s="5"/>
      <c r="P531" s="5"/>
    </row>
    <row r="532" spans="1:16" x14ac:dyDescent="0.25">
      <c r="A532" s="10"/>
      <c r="B532" s="10"/>
      <c r="C532" s="10"/>
      <c r="D532" s="12"/>
      <c r="E532" s="10"/>
      <c r="F532" s="10"/>
      <c r="G532" s="10"/>
      <c r="H532" s="5"/>
      <c r="I532" s="5"/>
      <c r="J532" s="5"/>
      <c r="K532" s="5"/>
      <c r="L532" s="5"/>
      <c r="M532" s="5"/>
      <c r="N532" s="5"/>
      <c r="O532" s="5"/>
      <c r="P532" s="5"/>
    </row>
    <row r="533" spans="1:16" x14ac:dyDescent="0.25">
      <c r="A533" s="10"/>
      <c r="B533" s="10"/>
      <c r="C533" s="10"/>
      <c r="D533" s="12"/>
      <c r="E533" s="10"/>
      <c r="F533" s="10"/>
      <c r="G533" s="10"/>
      <c r="H533" s="5"/>
      <c r="I533" s="5"/>
      <c r="J533" s="5"/>
      <c r="K533" s="5"/>
      <c r="L533" s="5"/>
      <c r="M533" s="5"/>
      <c r="N533" s="5"/>
      <c r="O533" s="5"/>
      <c r="P533" s="5"/>
    </row>
    <row r="534" spans="1:16" x14ac:dyDescent="0.25">
      <c r="A534" s="10"/>
      <c r="B534" s="10"/>
      <c r="C534" s="10"/>
      <c r="D534" s="12"/>
      <c r="E534" s="10"/>
      <c r="F534" s="10"/>
      <c r="G534" s="10"/>
      <c r="H534" s="5"/>
      <c r="I534" s="5"/>
      <c r="J534" s="5"/>
      <c r="K534" s="5"/>
      <c r="L534" s="5"/>
      <c r="M534" s="5"/>
      <c r="N534" s="5"/>
      <c r="O534" s="5"/>
      <c r="P534" s="5"/>
    </row>
    <row r="535" spans="1:16" x14ac:dyDescent="0.25">
      <c r="A535" s="10"/>
      <c r="B535" s="10"/>
      <c r="C535" s="10"/>
      <c r="D535" s="12"/>
      <c r="E535" s="10"/>
      <c r="F535" s="10"/>
      <c r="G535" s="10"/>
      <c r="H535" s="5"/>
      <c r="I535" s="5"/>
      <c r="J535" s="5"/>
      <c r="K535" s="5"/>
      <c r="L535" s="5"/>
      <c r="M535" s="5"/>
      <c r="N535" s="5"/>
      <c r="O535" s="5"/>
      <c r="P535" s="5"/>
    </row>
    <row r="536" spans="1:16" x14ac:dyDescent="0.25">
      <c r="A536" s="10"/>
      <c r="B536" s="10"/>
      <c r="C536" s="10"/>
      <c r="D536" s="12"/>
      <c r="E536" s="10"/>
      <c r="F536" s="10"/>
      <c r="G536" s="10"/>
      <c r="H536" s="5"/>
      <c r="I536" s="5"/>
      <c r="J536" s="5"/>
      <c r="K536" s="5"/>
      <c r="L536" s="5"/>
      <c r="M536" s="5"/>
      <c r="N536" s="5"/>
      <c r="O536" s="5"/>
      <c r="P536" s="5"/>
    </row>
    <row r="537" spans="1:16" x14ac:dyDescent="0.25">
      <c r="A537" s="10"/>
      <c r="B537" s="10"/>
      <c r="C537" s="10"/>
      <c r="D537" s="12"/>
      <c r="E537" s="10"/>
      <c r="F537" s="10"/>
      <c r="G537" s="10"/>
      <c r="H537" s="5"/>
      <c r="I537" s="5"/>
      <c r="J537" s="5"/>
      <c r="K537" s="5"/>
      <c r="L537" s="5"/>
      <c r="M537" s="5"/>
      <c r="N537" s="5"/>
      <c r="O537" s="5"/>
      <c r="P537" s="5"/>
    </row>
    <row r="538" spans="1:16" x14ac:dyDescent="0.25">
      <c r="A538" s="10"/>
      <c r="B538" s="10"/>
      <c r="C538" s="10"/>
      <c r="D538" s="12"/>
      <c r="E538" s="10"/>
      <c r="F538" s="10"/>
      <c r="G538" s="10"/>
      <c r="H538" s="5"/>
      <c r="I538" s="5"/>
      <c r="J538" s="5"/>
      <c r="K538" s="5"/>
      <c r="L538" s="5"/>
      <c r="M538" s="5"/>
      <c r="N538" s="5"/>
      <c r="O538" s="5"/>
      <c r="P538" s="5"/>
    </row>
    <row r="539" spans="1:16" x14ac:dyDescent="0.25">
      <c r="A539" s="10"/>
      <c r="B539" s="10"/>
      <c r="C539" s="10"/>
      <c r="D539" s="12"/>
      <c r="E539" s="10"/>
      <c r="F539" s="10"/>
      <c r="G539" s="10"/>
      <c r="H539" s="5"/>
      <c r="I539" s="5"/>
      <c r="J539" s="5"/>
      <c r="K539" s="5"/>
      <c r="L539" s="5"/>
      <c r="M539" s="5"/>
      <c r="N539" s="5"/>
      <c r="O539" s="5"/>
      <c r="P539" s="5"/>
    </row>
    <row r="540" spans="1:16" x14ac:dyDescent="0.25">
      <c r="A540" s="10"/>
      <c r="B540" s="10"/>
      <c r="C540" s="10"/>
      <c r="D540" s="12"/>
      <c r="E540" s="10"/>
      <c r="F540" s="10"/>
      <c r="G540" s="10"/>
      <c r="H540" s="5"/>
      <c r="I540" s="5"/>
      <c r="J540" s="5"/>
      <c r="K540" s="5"/>
      <c r="L540" s="5"/>
      <c r="M540" s="5"/>
      <c r="N540" s="5"/>
      <c r="O540" s="5"/>
      <c r="P540" s="5"/>
    </row>
    <row r="541" spans="1:16" x14ac:dyDescent="0.25">
      <c r="A541" s="10"/>
      <c r="B541" s="10"/>
      <c r="C541" s="10"/>
      <c r="D541" s="12"/>
      <c r="E541" s="10"/>
      <c r="F541" s="10"/>
      <c r="G541" s="10"/>
      <c r="H541" s="5"/>
      <c r="I541" s="5"/>
      <c r="J541" s="5"/>
      <c r="K541" s="5"/>
      <c r="L541" s="5"/>
      <c r="M541" s="5"/>
      <c r="N541" s="5"/>
      <c r="O541" s="5"/>
      <c r="P541" s="5"/>
    </row>
    <row r="542" spans="1:16" x14ac:dyDescent="0.25">
      <c r="A542" s="10"/>
      <c r="B542" s="10"/>
      <c r="C542" s="10"/>
      <c r="D542" s="12"/>
      <c r="E542" s="10"/>
      <c r="F542" s="10"/>
      <c r="G542" s="10"/>
      <c r="H542" s="5"/>
      <c r="I542" s="5"/>
      <c r="J542" s="5"/>
      <c r="K542" s="5"/>
      <c r="L542" s="5"/>
      <c r="M542" s="5"/>
      <c r="N542" s="5"/>
      <c r="O542" s="5"/>
      <c r="P542" s="5"/>
    </row>
    <row r="543" spans="1:16" x14ac:dyDescent="0.25">
      <c r="A543" s="10"/>
      <c r="B543" s="10"/>
      <c r="C543" s="10"/>
      <c r="D543" s="12"/>
      <c r="E543" s="10"/>
      <c r="F543" s="10"/>
      <c r="G543" s="10"/>
      <c r="H543" s="5"/>
      <c r="I543" s="5"/>
      <c r="J543" s="5"/>
      <c r="K543" s="5"/>
      <c r="L543" s="5"/>
      <c r="M543" s="5"/>
      <c r="N543" s="5"/>
      <c r="O543" s="5"/>
      <c r="P543" s="5"/>
    </row>
    <row r="544" spans="1:16" x14ac:dyDescent="0.25">
      <c r="A544" s="10"/>
      <c r="B544" s="10"/>
      <c r="C544" s="10"/>
      <c r="D544" s="12"/>
      <c r="E544" s="10"/>
      <c r="F544" s="10"/>
      <c r="G544" s="10"/>
      <c r="H544" s="5"/>
      <c r="I544" s="5"/>
      <c r="J544" s="5"/>
      <c r="K544" s="5"/>
      <c r="L544" s="5"/>
      <c r="M544" s="5"/>
      <c r="N544" s="5"/>
      <c r="O544" s="5"/>
      <c r="P544" s="5"/>
    </row>
    <row r="545" spans="1:16" x14ac:dyDescent="0.25">
      <c r="A545" s="10"/>
      <c r="B545" s="10"/>
      <c r="C545" s="10"/>
      <c r="D545" s="12"/>
      <c r="E545" s="10"/>
      <c r="F545" s="10"/>
      <c r="G545" s="10"/>
      <c r="H545" s="5"/>
      <c r="I545" s="5"/>
      <c r="J545" s="5"/>
      <c r="K545" s="5"/>
      <c r="L545" s="5"/>
      <c r="M545" s="5"/>
      <c r="N545" s="5"/>
      <c r="O545" s="5"/>
      <c r="P545" s="5"/>
    </row>
    <row r="546" spans="1:16" x14ac:dyDescent="0.25">
      <c r="A546" s="10"/>
      <c r="B546" s="10"/>
      <c r="C546" s="10"/>
      <c r="D546" s="12"/>
      <c r="E546" s="10"/>
      <c r="F546" s="10"/>
      <c r="G546" s="10"/>
      <c r="H546" s="5"/>
      <c r="I546" s="5"/>
      <c r="J546" s="5"/>
      <c r="K546" s="5"/>
      <c r="L546" s="5"/>
      <c r="M546" s="5"/>
      <c r="N546" s="5"/>
      <c r="O546" s="5"/>
      <c r="P546" s="5"/>
    </row>
    <row r="547" spans="1:16" x14ac:dyDescent="0.25">
      <c r="A547" s="10"/>
      <c r="B547" s="10"/>
      <c r="C547" s="10"/>
      <c r="D547" s="12"/>
      <c r="E547" s="10"/>
      <c r="F547" s="10"/>
      <c r="G547" s="10"/>
      <c r="H547" s="5"/>
      <c r="I547" s="5"/>
      <c r="J547" s="5"/>
      <c r="K547" s="5"/>
      <c r="L547" s="5"/>
      <c r="M547" s="5"/>
      <c r="N547" s="5"/>
      <c r="O547" s="5"/>
      <c r="P547" s="5"/>
    </row>
    <row r="548" spans="1:16" x14ac:dyDescent="0.25">
      <c r="A548" s="10"/>
      <c r="B548" s="10"/>
      <c r="C548" s="10"/>
      <c r="D548" s="12"/>
      <c r="E548" s="10"/>
      <c r="F548" s="10"/>
      <c r="G548" s="10"/>
      <c r="H548" s="5"/>
      <c r="I548" s="5"/>
      <c r="J548" s="5"/>
      <c r="K548" s="5"/>
      <c r="L548" s="5"/>
      <c r="M548" s="5"/>
      <c r="N548" s="5"/>
      <c r="O548" s="5"/>
      <c r="P548" s="5"/>
    </row>
    <row r="549" spans="1:16" x14ac:dyDescent="0.25">
      <c r="A549" s="10"/>
      <c r="B549" s="10"/>
      <c r="C549" s="10"/>
      <c r="D549" s="12"/>
      <c r="E549" s="10"/>
      <c r="F549" s="10"/>
      <c r="G549" s="10"/>
      <c r="H549" s="5"/>
      <c r="I549" s="5"/>
      <c r="J549" s="5"/>
      <c r="K549" s="5"/>
      <c r="L549" s="5"/>
      <c r="M549" s="5"/>
      <c r="N549" s="5"/>
      <c r="O549" s="5"/>
      <c r="P549" s="5"/>
    </row>
    <row r="550" spans="1:16" x14ac:dyDescent="0.25">
      <c r="A550" s="10"/>
      <c r="B550" s="10"/>
      <c r="C550" s="10"/>
      <c r="D550" s="12"/>
      <c r="E550" s="10"/>
      <c r="F550" s="10"/>
      <c r="G550" s="10"/>
      <c r="H550" s="5"/>
      <c r="I550" s="5"/>
      <c r="J550" s="5"/>
      <c r="K550" s="5"/>
      <c r="L550" s="5"/>
      <c r="M550" s="5"/>
      <c r="N550" s="5"/>
      <c r="O550" s="5"/>
      <c r="P550" s="5"/>
    </row>
    <row r="551" spans="1:16" x14ac:dyDescent="0.25">
      <c r="A551" s="10"/>
      <c r="B551" s="10"/>
      <c r="C551" s="10"/>
      <c r="D551" s="12"/>
      <c r="E551" s="10"/>
      <c r="F551" s="10"/>
      <c r="G551" s="10"/>
      <c r="H551" s="5"/>
      <c r="I551" s="5"/>
      <c r="J551" s="5"/>
      <c r="K551" s="5"/>
      <c r="L551" s="5"/>
      <c r="M551" s="5"/>
      <c r="N551" s="5"/>
      <c r="O551" s="5"/>
      <c r="P551" s="5"/>
    </row>
    <row r="552" spans="1:16" x14ac:dyDescent="0.25">
      <c r="A552" s="10"/>
      <c r="B552" s="10"/>
      <c r="C552" s="10"/>
      <c r="D552" s="12"/>
      <c r="E552" s="10"/>
      <c r="F552" s="10"/>
      <c r="G552" s="10"/>
      <c r="H552" s="5"/>
      <c r="I552" s="5"/>
      <c r="J552" s="5"/>
      <c r="K552" s="5"/>
      <c r="L552" s="5"/>
      <c r="M552" s="5"/>
      <c r="N552" s="5"/>
      <c r="O552" s="5"/>
      <c r="P552" s="5"/>
    </row>
    <row r="553" spans="1:16" x14ac:dyDescent="0.25">
      <c r="A553" s="10"/>
      <c r="B553" s="10"/>
      <c r="C553" s="10"/>
      <c r="D553" s="12"/>
      <c r="E553" s="10"/>
      <c r="F553" s="10"/>
      <c r="G553" s="10"/>
      <c r="H553" s="5"/>
      <c r="I553" s="5"/>
      <c r="J553" s="5"/>
      <c r="K553" s="5"/>
      <c r="L553" s="5"/>
      <c r="M553" s="5"/>
      <c r="N553" s="5"/>
      <c r="O553" s="5"/>
      <c r="P553" s="5"/>
    </row>
    <row r="554" spans="1:16" x14ac:dyDescent="0.25">
      <c r="A554" s="10"/>
      <c r="B554" s="10"/>
      <c r="C554" s="10"/>
      <c r="D554" s="12"/>
      <c r="E554" s="10"/>
      <c r="F554" s="10"/>
      <c r="G554" s="10"/>
      <c r="H554" s="5"/>
      <c r="I554" s="5"/>
      <c r="J554" s="5"/>
      <c r="K554" s="5"/>
      <c r="L554" s="5"/>
      <c r="M554" s="5"/>
      <c r="N554" s="5"/>
      <c r="O554" s="5"/>
      <c r="P554" s="5"/>
    </row>
    <row r="555" spans="1:16" x14ac:dyDescent="0.25">
      <c r="A555" s="10"/>
      <c r="B555" s="10"/>
      <c r="C555" s="10"/>
      <c r="D555" s="12"/>
      <c r="E555" s="10"/>
      <c r="F555" s="10"/>
      <c r="G555" s="10"/>
      <c r="H555" s="5"/>
      <c r="I555" s="5"/>
      <c r="J555" s="5"/>
      <c r="K555" s="5"/>
      <c r="L555" s="5"/>
      <c r="M555" s="5"/>
      <c r="N555" s="5"/>
      <c r="O555" s="5"/>
      <c r="P555" s="5"/>
    </row>
    <row r="556" spans="1:16" x14ac:dyDescent="0.25">
      <c r="A556" s="10"/>
      <c r="B556" s="10"/>
      <c r="C556" s="10"/>
      <c r="D556" s="12"/>
      <c r="E556" s="10"/>
      <c r="F556" s="10"/>
      <c r="G556" s="10"/>
      <c r="H556" s="5"/>
      <c r="I556" s="5"/>
      <c r="J556" s="5"/>
      <c r="K556" s="5"/>
      <c r="L556" s="5"/>
      <c r="M556" s="5"/>
      <c r="N556" s="5"/>
      <c r="O556" s="5"/>
      <c r="P556" s="5"/>
    </row>
    <row r="557" spans="1:16" x14ac:dyDescent="0.25">
      <c r="A557" s="10"/>
      <c r="B557" s="10"/>
      <c r="C557" s="10"/>
      <c r="D557" s="12"/>
      <c r="E557" s="10"/>
      <c r="F557" s="10"/>
      <c r="G557" s="10"/>
      <c r="H557" s="5"/>
      <c r="I557" s="5"/>
      <c r="J557" s="5"/>
      <c r="K557" s="5"/>
      <c r="L557" s="5"/>
      <c r="M557" s="5"/>
      <c r="N557" s="5"/>
      <c r="O557" s="5"/>
      <c r="P557" s="5"/>
    </row>
    <row r="558" spans="1:16" x14ac:dyDescent="0.25">
      <c r="A558" s="10"/>
      <c r="B558" s="10"/>
      <c r="C558" s="10"/>
      <c r="D558" s="12"/>
      <c r="E558" s="10"/>
      <c r="F558" s="10"/>
      <c r="G558" s="10"/>
      <c r="H558" s="5"/>
      <c r="I558" s="5"/>
      <c r="J558" s="5"/>
      <c r="K558" s="5"/>
      <c r="L558" s="5"/>
      <c r="M558" s="5"/>
      <c r="N558" s="5"/>
      <c r="O558" s="5"/>
      <c r="P558" s="5"/>
    </row>
    <row r="559" spans="1:16" x14ac:dyDescent="0.25">
      <c r="A559" s="10"/>
      <c r="B559" s="10"/>
      <c r="C559" s="10"/>
      <c r="D559" s="12"/>
      <c r="E559" s="10"/>
      <c r="F559" s="10"/>
      <c r="G559" s="10"/>
      <c r="H559" s="5"/>
      <c r="I559" s="5"/>
      <c r="J559" s="5"/>
      <c r="K559" s="5"/>
      <c r="L559" s="5"/>
      <c r="M559" s="5"/>
      <c r="N559" s="5"/>
      <c r="O559" s="5"/>
      <c r="P559" s="5"/>
    </row>
    <row r="560" spans="1:16" x14ac:dyDescent="0.25">
      <c r="A560" s="10"/>
      <c r="B560" s="10"/>
      <c r="C560" s="10"/>
      <c r="D560" s="12"/>
      <c r="E560" s="10"/>
      <c r="F560" s="10"/>
      <c r="G560" s="10"/>
      <c r="H560" s="5"/>
      <c r="I560" s="5"/>
      <c r="J560" s="5"/>
      <c r="K560" s="5"/>
      <c r="L560" s="5"/>
      <c r="M560" s="5"/>
      <c r="N560" s="5"/>
      <c r="O560" s="5"/>
      <c r="P560" s="5"/>
    </row>
    <row r="561" spans="1:16" x14ac:dyDescent="0.25">
      <c r="A561" s="10"/>
      <c r="B561" s="10"/>
      <c r="C561" s="10"/>
      <c r="D561" s="12"/>
      <c r="E561" s="10"/>
      <c r="F561" s="10"/>
      <c r="G561" s="10"/>
      <c r="H561" s="5"/>
      <c r="I561" s="5"/>
      <c r="J561" s="5"/>
      <c r="K561" s="5"/>
      <c r="L561" s="5"/>
      <c r="M561" s="5"/>
      <c r="N561" s="5"/>
      <c r="O561" s="5"/>
      <c r="P561" s="5"/>
    </row>
    <row r="562" spans="1:16" x14ac:dyDescent="0.25">
      <c r="A562" s="10"/>
      <c r="B562" s="10"/>
      <c r="C562" s="10"/>
      <c r="D562" s="12"/>
      <c r="E562" s="10"/>
      <c r="F562" s="10"/>
      <c r="G562" s="10"/>
      <c r="H562" s="5"/>
      <c r="I562" s="5"/>
      <c r="J562" s="5"/>
      <c r="K562" s="5"/>
      <c r="L562" s="5"/>
      <c r="M562" s="5"/>
      <c r="N562" s="5"/>
      <c r="O562" s="5"/>
      <c r="P562" s="5"/>
    </row>
    <row r="563" spans="1:16" x14ac:dyDescent="0.25">
      <c r="A563" s="10"/>
      <c r="B563" s="10"/>
      <c r="C563" s="10"/>
      <c r="D563" s="12"/>
      <c r="E563" s="10"/>
      <c r="F563" s="10"/>
      <c r="G563" s="10"/>
      <c r="H563" s="5"/>
      <c r="I563" s="5"/>
      <c r="J563" s="5"/>
      <c r="K563" s="5"/>
      <c r="L563" s="5"/>
      <c r="M563" s="5"/>
      <c r="N563" s="5"/>
      <c r="O563" s="5"/>
      <c r="P563" s="5"/>
    </row>
    <row r="564" spans="1:16" x14ac:dyDescent="0.25">
      <c r="A564" s="10"/>
      <c r="B564" s="10"/>
      <c r="C564" s="10"/>
      <c r="D564" s="12"/>
      <c r="E564" s="10"/>
      <c r="F564" s="10"/>
      <c r="G564" s="10"/>
      <c r="H564" s="5"/>
      <c r="I564" s="5"/>
      <c r="J564" s="5"/>
      <c r="K564" s="5"/>
      <c r="L564" s="5"/>
      <c r="M564" s="5"/>
      <c r="N564" s="5"/>
      <c r="O564" s="5"/>
      <c r="P564" s="5"/>
    </row>
    <row r="565" spans="1:16" x14ac:dyDescent="0.25">
      <c r="A565" s="10"/>
      <c r="B565" s="10"/>
      <c r="C565" s="10"/>
      <c r="D565" s="12"/>
      <c r="E565" s="10"/>
      <c r="F565" s="10"/>
      <c r="G565" s="10"/>
      <c r="H565" s="5"/>
      <c r="I565" s="5"/>
      <c r="J565" s="5"/>
      <c r="K565" s="5"/>
      <c r="L565" s="5"/>
      <c r="M565" s="5"/>
      <c r="N565" s="5"/>
      <c r="O565" s="5"/>
      <c r="P565" s="5"/>
    </row>
    <row r="566" spans="1:16" x14ac:dyDescent="0.25">
      <c r="A566" s="10"/>
      <c r="B566" s="10"/>
      <c r="C566" s="10"/>
      <c r="D566" s="12"/>
      <c r="E566" s="10"/>
      <c r="F566" s="10"/>
      <c r="G566" s="10"/>
      <c r="H566" s="5"/>
      <c r="I566" s="5"/>
      <c r="J566" s="5"/>
      <c r="K566" s="5"/>
      <c r="L566" s="5"/>
      <c r="M566" s="5"/>
      <c r="N566" s="5"/>
      <c r="O566" s="5"/>
      <c r="P566" s="5"/>
    </row>
    <row r="567" spans="1:16" x14ac:dyDescent="0.25">
      <c r="A567" s="10"/>
      <c r="B567" s="10"/>
      <c r="C567" s="10"/>
      <c r="D567" s="12"/>
      <c r="E567" s="10"/>
      <c r="F567" s="10"/>
      <c r="G567" s="10"/>
      <c r="H567" s="5"/>
      <c r="I567" s="5"/>
      <c r="J567" s="5"/>
      <c r="K567" s="5"/>
      <c r="L567" s="5"/>
      <c r="M567" s="5"/>
      <c r="N567" s="5"/>
      <c r="O567" s="5"/>
      <c r="P567" s="5"/>
    </row>
    <row r="568" spans="1:16" x14ac:dyDescent="0.25">
      <c r="A568" s="10"/>
      <c r="B568" s="10"/>
      <c r="C568" s="10"/>
      <c r="D568" s="12"/>
      <c r="E568" s="10"/>
      <c r="F568" s="10"/>
      <c r="G568" s="10"/>
      <c r="H568" s="5"/>
      <c r="I568" s="5"/>
      <c r="J568" s="5"/>
      <c r="K568" s="5"/>
      <c r="L568" s="5"/>
      <c r="M568" s="5"/>
      <c r="N568" s="5"/>
      <c r="O568" s="5"/>
      <c r="P568" s="5"/>
    </row>
    <row r="569" spans="1:16" x14ac:dyDescent="0.25">
      <c r="A569" s="10"/>
      <c r="B569" s="10"/>
      <c r="C569" s="10"/>
      <c r="D569" s="12"/>
      <c r="E569" s="10"/>
      <c r="F569" s="10"/>
      <c r="G569" s="10"/>
      <c r="H569" s="5"/>
      <c r="I569" s="5"/>
      <c r="J569" s="5"/>
      <c r="K569" s="5"/>
      <c r="L569" s="5"/>
      <c r="M569" s="5"/>
      <c r="N569" s="5"/>
      <c r="O569" s="5"/>
      <c r="P569" s="5"/>
    </row>
    <row r="570" spans="1:16" x14ac:dyDescent="0.25">
      <c r="A570" s="10"/>
      <c r="B570" s="10"/>
      <c r="C570" s="10"/>
      <c r="D570" s="12"/>
      <c r="E570" s="10"/>
      <c r="F570" s="10"/>
      <c r="G570" s="10"/>
      <c r="H570" s="5"/>
      <c r="I570" s="5"/>
      <c r="J570" s="5"/>
      <c r="K570" s="5"/>
      <c r="L570" s="5"/>
      <c r="M570" s="5"/>
      <c r="N570" s="5"/>
      <c r="O570" s="5"/>
      <c r="P570" s="5"/>
    </row>
    <row r="571" spans="1:16" x14ac:dyDescent="0.25">
      <c r="A571" s="10"/>
      <c r="B571" s="10"/>
      <c r="C571" s="10"/>
      <c r="D571" s="12"/>
      <c r="E571" s="10"/>
      <c r="F571" s="10"/>
      <c r="G571" s="10"/>
      <c r="H571" s="5"/>
      <c r="I571" s="5"/>
      <c r="J571" s="5"/>
      <c r="K571" s="5"/>
      <c r="L571" s="5"/>
      <c r="M571" s="5"/>
      <c r="N571" s="5"/>
      <c r="O571" s="5"/>
      <c r="P571" s="5"/>
    </row>
    <row r="572" spans="1:16" x14ac:dyDescent="0.25">
      <c r="A572" s="10"/>
      <c r="B572" s="10"/>
      <c r="C572" s="10"/>
      <c r="D572" s="12"/>
      <c r="E572" s="10"/>
      <c r="F572" s="10"/>
      <c r="G572" s="10"/>
      <c r="H572" s="5"/>
      <c r="I572" s="5"/>
      <c r="J572" s="5"/>
      <c r="K572" s="5"/>
      <c r="L572" s="5"/>
      <c r="M572" s="5"/>
      <c r="N572" s="5"/>
      <c r="O572" s="5"/>
      <c r="P572" s="5"/>
    </row>
    <row r="573" spans="1:16" x14ac:dyDescent="0.25">
      <c r="A573" s="10"/>
      <c r="B573" s="10"/>
      <c r="C573" s="10"/>
      <c r="D573" s="12"/>
      <c r="E573" s="10"/>
      <c r="F573" s="10"/>
      <c r="G573" s="10"/>
      <c r="H573" s="5"/>
      <c r="I573" s="5"/>
      <c r="J573" s="5"/>
      <c r="K573" s="5"/>
      <c r="L573" s="5"/>
      <c r="M573" s="5"/>
      <c r="N573" s="5"/>
      <c r="O573" s="5"/>
      <c r="P573" s="5"/>
    </row>
    <row r="574" spans="1:16" x14ac:dyDescent="0.25">
      <c r="A574" s="10"/>
      <c r="B574" s="10"/>
      <c r="C574" s="10"/>
      <c r="D574" s="12"/>
      <c r="E574" s="10"/>
      <c r="F574" s="10"/>
      <c r="G574" s="10"/>
      <c r="H574" s="5"/>
      <c r="I574" s="5"/>
      <c r="J574" s="5"/>
      <c r="K574" s="5"/>
      <c r="L574" s="5"/>
      <c r="M574" s="5"/>
      <c r="N574" s="5"/>
      <c r="O574" s="5"/>
      <c r="P574" s="5"/>
    </row>
    <row r="575" spans="1:16" x14ac:dyDescent="0.25">
      <c r="A575" s="10"/>
      <c r="B575" s="10"/>
      <c r="C575" s="10"/>
      <c r="D575" s="12"/>
      <c r="E575" s="10"/>
      <c r="F575" s="10"/>
      <c r="G575" s="10"/>
      <c r="H575" s="5"/>
      <c r="I575" s="5"/>
      <c r="J575" s="5"/>
      <c r="K575" s="5"/>
      <c r="L575" s="5"/>
      <c r="M575" s="5"/>
      <c r="N575" s="5"/>
      <c r="O575" s="5"/>
      <c r="P575" s="5"/>
    </row>
    <row r="576" spans="1:16" x14ac:dyDescent="0.25">
      <c r="A576" s="10"/>
      <c r="B576" s="10"/>
      <c r="C576" s="10"/>
      <c r="D576" s="12"/>
      <c r="E576" s="10"/>
      <c r="F576" s="10"/>
      <c r="G576" s="10"/>
      <c r="H576" s="5"/>
      <c r="I576" s="5"/>
      <c r="J576" s="5"/>
      <c r="K576" s="5"/>
      <c r="L576" s="5"/>
      <c r="M576" s="5"/>
      <c r="N576" s="5"/>
      <c r="O576" s="5"/>
      <c r="P576" s="5"/>
    </row>
    <row r="577" spans="1:16" x14ac:dyDescent="0.25">
      <c r="A577" s="10"/>
      <c r="B577" s="10"/>
      <c r="C577" s="10"/>
      <c r="D577" s="12"/>
      <c r="E577" s="10"/>
      <c r="F577" s="10"/>
      <c r="G577" s="10"/>
      <c r="H577" s="5"/>
      <c r="I577" s="5"/>
      <c r="J577" s="5"/>
      <c r="K577" s="5"/>
      <c r="L577" s="5"/>
      <c r="M577" s="5"/>
      <c r="N577" s="5"/>
      <c r="O577" s="5"/>
      <c r="P577" s="5"/>
    </row>
    <row r="578" spans="1:16" x14ac:dyDescent="0.25">
      <c r="A578" s="10"/>
      <c r="B578" s="10"/>
      <c r="C578" s="10"/>
      <c r="D578" s="12"/>
      <c r="E578" s="10"/>
      <c r="F578" s="10"/>
      <c r="G578" s="10"/>
      <c r="H578" s="5"/>
      <c r="I578" s="5"/>
      <c r="J578" s="5"/>
      <c r="K578" s="5"/>
      <c r="L578" s="5"/>
      <c r="M578" s="5"/>
      <c r="N578" s="5"/>
      <c r="O578" s="5"/>
      <c r="P578" s="5"/>
    </row>
    <row r="579" spans="1:16" x14ac:dyDescent="0.25">
      <c r="A579" s="10"/>
      <c r="B579" s="10"/>
      <c r="C579" s="10"/>
      <c r="D579" s="12"/>
      <c r="E579" s="10"/>
      <c r="F579" s="10"/>
      <c r="G579" s="10"/>
      <c r="H579" s="5"/>
      <c r="I579" s="5"/>
      <c r="J579" s="5"/>
      <c r="K579" s="5"/>
      <c r="L579" s="5"/>
      <c r="M579" s="5"/>
      <c r="N579" s="5"/>
      <c r="O579" s="5"/>
      <c r="P579" s="5"/>
    </row>
    <row r="580" spans="1:16" x14ac:dyDescent="0.25">
      <c r="A580" s="10"/>
      <c r="B580" s="10"/>
      <c r="C580" s="10"/>
      <c r="D580" s="12"/>
      <c r="E580" s="10"/>
      <c r="F580" s="10"/>
      <c r="G580" s="10"/>
      <c r="H580" s="5"/>
      <c r="I580" s="5"/>
      <c r="J580" s="5"/>
      <c r="K580" s="5"/>
      <c r="L580" s="5"/>
      <c r="M580" s="5"/>
      <c r="N580" s="5"/>
      <c r="O580" s="5"/>
      <c r="P580" s="5"/>
    </row>
    <row r="581" spans="1:16" x14ac:dyDescent="0.25">
      <c r="A581" s="10"/>
      <c r="B581" s="10"/>
      <c r="C581" s="10"/>
      <c r="D581" s="12"/>
      <c r="E581" s="10"/>
      <c r="F581" s="10"/>
      <c r="G581" s="10"/>
      <c r="H581" s="5"/>
      <c r="I581" s="5"/>
      <c r="J581" s="5"/>
      <c r="K581" s="5"/>
      <c r="L581" s="5"/>
      <c r="M581" s="5"/>
      <c r="N581" s="5"/>
      <c r="O581" s="5"/>
      <c r="P581" s="5"/>
    </row>
    <row r="582" spans="1:16" x14ac:dyDescent="0.25">
      <c r="A582" s="10"/>
      <c r="B582" s="10"/>
      <c r="C582" s="10"/>
      <c r="D582" s="12"/>
      <c r="E582" s="10"/>
      <c r="F582" s="10"/>
      <c r="G582" s="10"/>
      <c r="H582" s="5"/>
      <c r="I582" s="5"/>
      <c r="J582" s="5"/>
      <c r="K582" s="5"/>
      <c r="L582" s="5"/>
      <c r="M582" s="5"/>
      <c r="N582" s="5"/>
      <c r="O582" s="5"/>
      <c r="P582" s="5"/>
    </row>
    <row r="583" spans="1:16" x14ac:dyDescent="0.25">
      <c r="A583" s="10"/>
      <c r="B583" s="10"/>
      <c r="C583" s="10"/>
      <c r="D583" s="12"/>
      <c r="E583" s="10"/>
      <c r="F583" s="10"/>
      <c r="G583" s="10"/>
      <c r="H583" s="5"/>
      <c r="I583" s="5"/>
      <c r="J583" s="5"/>
      <c r="K583" s="5"/>
      <c r="L583" s="5"/>
      <c r="M583" s="5"/>
      <c r="N583" s="5"/>
      <c r="O583" s="5"/>
      <c r="P583" s="5"/>
    </row>
    <row r="584" spans="1:16" x14ac:dyDescent="0.25">
      <c r="A584" s="10"/>
      <c r="B584" s="10"/>
      <c r="C584" s="10"/>
      <c r="D584" s="12"/>
      <c r="E584" s="10"/>
      <c r="F584" s="10"/>
      <c r="G584" s="10"/>
      <c r="H584" s="5"/>
      <c r="I584" s="5"/>
      <c r="J584" s="5"/>
      <c r="K584" s="5"/>
      <c r="L584" s="5"/>
      <c r="M584" s="5"/>
      <c r="N584" s="5"/>
      <c r="O584" s="5"/>
      <c r="P584" s="5"/>
    </row>
    <row r="585" spans="1:16" x14ac:dyDescent="0.25">
      <c r="A585" s="10"/>
      <c r="B585" s="10"/>
      <c r="C585" s="10"/>
      <c r="D585" s="12"/>
      <c r="E585" s="10"/>
      <c r="F585" s="10"/>
      <c r="G585" s="10"/>
      <c r="H585" s="5"/>
      <c r="I585" s="5"/>
      <c r="J585" s="5"/>
      <c r="K585" s="5"/>
      <c r="L585" s="5"/>
      <c r="M585" s="5"/>
      <c r="N585" s="5"/>
      <c r="O585" s="5"/>
      <c r="P585" s="5"/>
    </row>
    <row r="586" spans="1:16" x14ac:dyDescent="0.25">
      <c r="A586" s="10"/>
      <c r="B586" s="10"/>
      <c r="C586" s="10"/>
      <c r="D586" s="12"/>
      <c r="E586" s="10"/>
      <c r="F586" s="10"/>
      <c r="G586" s="10"/>
      <c r="H586" s="5"/>
      <c r="I586" s="5"/>
      <c r="J586" s="5"/>
      <c r="K586" s="5"/>
      <c r="L586" s="5"/>
      <c r="M586" s="5"/>
      <c r="N586" s="5"/>
      <c r="O586" s="5"/>
      <c r="P586" s="5"/>
    </row>
    <row r="587" spans="1:16" x14ac:dyDescent="0.25">
      <c r="A587" s="10"/>
      <c r="B587" s="10"/>
      <c r="C587" s="10"/>
      <c r="D587" s="12"/>
      <c r="E587" s="10"/>
      <c r="F587" s="10"/>
      <c r="G587" s="10"/>
      <c r="H587" s="5"/>
      <c r="I587" s="5"/>
      <c r="J587" s="5"/>
      <c r="K587" s="5"/>
      <c r="L587" s="5"/>
      <c r="M587" s="5"/>
      <c r="N587" s="5"/>
      <c r="O587" s="5"/>
      <c r="P587" s="5"/>
    </row>
    <row r="588" spans="1:16" x14ac:dyDescent="0.25">
      <c r="A588" s="10"/>
      <c r="B588" s="10"/>
      <c r="C588" s="10"/>
      <c r="D588" s="12"/>
      <c r="E588" s="10"/>
      <c r="F588" s="10"/>
      <c r="G588" s="10"/>
      <c r="H588" s="5"/>
      <c r="I588" s="5"/>
      <c r="J588" s="5"/>
      <c r="K588" s="5"/>
      <c r="L588" s="5"/>
      <c r="M588" s="5"/>
      <c r="N588" s="5"/>
      <c r="O588" s="5"/>
      <c r="P588" s="5"/>
    </row>
    <row r="589" spans="1:16" x14ac:dyDescent="0.25">
      <c r="A589" s="10"/>
      <c r="B589" s="10"/>
      <c r="C589" s="10"/>
      <c r="D589" s="12"/>
      <c r="E589" s="10"/>
      <c r="F589" s="10"/>
      <c r="G589" s="10"/>
      <c r="H589" s="5"/>
      <c r="I589" s="5"/>
      <c r="J589" s="5"/>
      <c r="K589" s="5"/>
      <c r="L589" s="5"/>
      <c r="M589" s="5"/>
      <c r="N589" s="5"/>
      <c r="O589" s="5"/>
      <c r="P589" s="5"/>
    </row>
    <row r="590" spans="1:16" x14ac:dyDescent="0.25">
      <c r="A590" s="10"/>
      <c r="B590" s="10"/>
      <c r="C590" s="10"/>
      <c r="D590" s="12"/>
      <c r="E590" s="10"/>
      <c r="F590" s="10"/>
      <c r="G590" s="10"/>
      <c r="H590" s="5"/>
      <c r="I590" s="5"/>
      <c r="J590" s="5"/>
      <c r="K590" s="5"/>
      <c r="L590" s="5"/>
      <c r="M590" s="5"/>
      <c r="N590" s="5"/>
      <c r="O590" s="5"/>
      <c r="P590" s="5"/>
    </row>
    <row r="591" spans="1:16" x14ac:dyDescent="0.25">
      <c r="A591" s="10"/>
      <c r="B591" s="10"/>
      <c r="C591" s="10"/>
      <c r="D591" s="12"/>
      <c r="E591" s="10"/>
      <c r="F591" s="10"/>
      <c r="G591" s="10"/>
      <c r="H591" s="5"/>
      <c r="I591" s="5"/>
      <c r="J591" s="5"/>
      <c r="K591" s="5"/>
      <c r="L591" s="5"/>
      <c r="M591" s="5"/>
      <c r="N591" s="5"/>
      <c r="O591" s="5"/>
      <c r="P591" s="5"/>
    </row>
    <row r="592" spans="1:16" x14ac:dyDescent="0.25">
      <c r="A592" s="10"/>
      <c r="B592" s="10"/>
      <c r="C592" s="10"/>
      <c r="D592" s="12"/>
      <c r="E592" s="10"/>
      <c r="F592" s="10"/>
      <c r="G592" s="10"/>
      <c r="H592" s="5"/>
      <c r="I592" s="5"/>
      <c r="J592" s="5"/>
      <c r="K592" s="5"/>
      <c r="L592" s="5"/>
      <c r="M592" s="5"/>
      <c r="N592" s="5"/>
      <c r="O592" s="5"/>
      <c r="P592" s="5"/>
    </row>
    <row r="593" spans="1:16" x14ac:dyDescent="0.25">
      <c r="A593" s="10"/>
      <c r="B593" s="10"/>
      <c r="C593" s="10"/>
      <c r="D593" s="12"/>
      <c r="E593" s="10"/>
      <c r="F593" s="10"/>
      <c r="G593" s="10"/>
      <c r="H593" s="5"/>
      <c r="I593" s="5"/>
      <c r="J593" s="5"/>
      <c r="K593" s="5"/>
      <c r="L593" s="5"/>
      <c r="M593" s="5"/>
      <c r="N593" s="5"/>
      <c r="O593" s="5"/>
      <c r="P593" s="5"/>
    </row>
    <row r="594" spans="1:16" x14ac:dyDescent="0.25">
      <c r="A594" s="10"/>
      <c r="B594" s="10"/>
      <c r="C594" s="10"/>
      <c r="D594" s="12"/>
      <c r="E594" s="10"/>
      <c r="F594" s="10"/>
      <c r="G594" s="10"/>
      <c r="H594" s="5"/>
      <c r="I594" s="5"/>
      <c r="J594" s="5"/>
      <c r="K594" s="5"/>
      <c r="L594" s="5"/>
      <c r="M594" s="5"/>
      <c r="N594" s="5"/>
      <c r="O594" s="5"/>
      <c r="P594" s="5"/>
    </row>
    <row r="595" spans="1:16" x14ac:dyDescent="0.25">
      <c r="A595" s="10"/>
      <c r="B595" s="10"/>
      <c r="C595" s="10"/>
      <c r="D595" s="12"/>
      <c r="E595" s="10"/>
      <c r="F595" s="10"/>
      <c r="G595" s="10"/>
      <c r="H595" s="5"/>
      <c r="I595" s="5"/>
      <c r="J595" s="5"/>
      <c r="K595" s="5"/>
      <c r="L595" s="5"/>
      <c r="M595" s="5"/>
      <c r="N595" s="5"/>
      <c r="O595" s="5"/>
      <c r="P595" s="5"/>
    </row>
    <row r="596" spans="1:16" x14ac:dyDescent="0.25">
      <c r="A596" s="10"/>
      <c r="B596" s="10"/>
      <c r="C596" s="10"/>
      <c r="D596" s="12"/>
      <c r="E596" s="10"/>
      <c r="F596" s="10"/>
      <c r="G596" s="10"/>
      <c r="H596" s="5"/>
      <c r="I596" s="5"/>
      <c r="J596" s="5"/>
      <c r="K596" s="5"/>
      <c r="L596" s="5"/>
      <c r="M596" s="5"/>
      <c r="N596" s="5"/>
      <c r="O596" s="5"/>
      <c r="P596" s="5"/>
    </row>
    <row r="597" spans="1:16" x14ac:dyDescent="0.25">
      <c r="A597" s="10"/>
      <c r="B597" s="10"/>
      <c r="C597" s="10"/>
      <c r="D597" s="12"/>
      <c r="E597" s="10"/>
      <c r="F597" s="10"/>
      <c r="G597" s="10"/>
      <c r="H597" s="5"/>
      <c r="I597" s="5"/>
      <c r="J597" s="5"/>
      <c r="K597" s="5"/>
      <c r="L597" s="5"/>
      <c r="M597" s="5"/>
      <c r="N597" s="5"/>
      <c r="O597" s="5"/>
      <c r="P597" s="5"/>
    </row>
    <row r="598" spans="1:16" x14ac:dyDescent="0.25">
      <c r="A598" s="10"/>
      <c r="B598" s="10"/>
      <c r="C598" s="10"/>
      <c r="D598" s="12"/>
      <c r="E598" s="10"/>
      <c r="F598" s="10"/>
      <c r="G598" s="10"/>
      <c r="H598" s="5"/>
      <c r="I598" s="5"/>
      <c r="J598" s="5"/>
      <c r="K598" s="5"/>
      <c r="L598" s="5"/>
      <c r="M598" s="5"/>
      <c r="N598" s="5"/>
      <c r="O598" s="5"/>
      <c r="P598" s="5"/>
    </row>
    <row r="599" spans="1:16" x14ac:dyDescent="0.25">
      <c r="A599" s="10"/>
      <c r="B599" s="10"/>
      <c r="C599" s="10"/>
      <c r="D599" s="12"/>
      <c r="E599" s="10"/>
      <c r="F599" s="10"/>
      <c r="G599" s="10"/>
      <c r="H599" s="5"/>
      <c r="I599" s="5"/>
      <c r="J599" s="5"/>
      <c r="K599" s="5"/>
      <c r="L599" s="5"/>
      <c r="M599" s="5"/>
      <c r="N599" s="5"/>
      <c r="O599" s="5"/>
      <c r="P599" s="5"/>
    </row>
    <row r="600" spans="1:16" x14ac:dyDescent="0.25">
      <c r="A600" s="10"/>
      <c r="B600" s="10"/>
      <c r="C600" s="10"/>
      <c r="D600" s="12"/>
      <c r="E600" s="10"/>
      <c r="F600" s="10"/>
      <c r="G600" s="10"/>
      <c r="H600" s="5"/>
      <c r="I600" s="5"/>
      <c r="J600" s="5"/>
      <c r="K600" s="5"/>
      <c r="L600" s="5"/>
      <c r="M600" s="5"/>
      <c r="N600" s="5"/>
      <c r="O600" s="5"/>
      <c r="P600" s="5"/>
    </row>
    <row r="601" spans="1:16" x14ac:dyDescent="0.25">
      <c r="A601" s="10"/>
      <c r="B601" s="10"/>
      <c r="C601" s="10"/>
      <c r="D601" s="12"/>
      <c r="E601" s="10"/>
      <c r="F601" s="10"/>
      <c r="G601" s="10"/>
      <c r="H601" s="5"/>
      <c r="I601" s="5"/>
      <c r="J601" s="5"/>
      <c r="K601" s="5"/>
      <c r="L601" s="5"/>
      <c r="M601" s="5"/>
      <c r="N601" s="5"/>
      <c r="O601" s="5"/>
      <c r="P601" s="5"/>
    </row>
    <row r="602" spans="1:16" x14ac:dyDescent="0.25">
      <c r="A602" s="10"/>
      <c r="B602" s="10"/>
      <c r="C602" s="10"/>
      <c r="D602" s="12"/>
      <c r="E602" s="10"/>
      <c r="F602" s="10"/>
      <c r="G602" s="10"/>
      <c r="H602" s="5"/>
      <c r="I602" s="5"/>
      <c r="J602" s="5"/>
      <c r="K602" s="5"/>
      <c r="L602" s="5"/>
      <c r="M602" s="5"/>
      <c r="N602" s="5"/>
      <c r="O602" s="5"/>
      <c r="P602" s="5"/>
    </row>
    <row r="603" spans="1:16" x14ac:dyDescent="0.25">
      <c r="A603" s="10"/>
      <c r="B603" s="10"/>
      <c r="C603" s="10"/>
      <c r="D603" s="12"/>
      <c r="E603" s="10"/>
      <c r="F603" s="10"/>
      <c r="G603" s="10"/>
      <c r="H603" s="5"/>
      <c r="I603" s="5"/>
      <c r="J603" s="5"/>
      <c r="K603" s="5"/>
      <c r="L603" s="5"/>
      <c r="M603" s="5"/>
      <c r="N603" s="5"/>
      <c r="O603" s="5"/>
      <c r="P603" s="5"/>
    </row>
    <row r="604" spans="1:16" x14ac:dyDescent="0.25">
      <c r="A604" s="10"/>
      <c r="B604" s="10"/>
      <c r="C604" s="10"/>
      <c r="D604" s="12"/>
      <c r="E604" s="10"/>
      <c r="F604" s="10"/>
      <c r="G604" s="10"/>
      <c r="H604" s="5"/>
      <c r="I604" s="5"/>
      <c r="J604" s="5"/>
      <c r="K604" s="5"/>
      <c r="L604" s="5"/>
      <c r="M604" s="5"/>
      <c r="N604" s="5"/>
      <c r="O604" s="5"/>
      <c r="P604" s="5"/>
    </row>
    <row r="605" spans="1:16" x14ac:dyDescent="0.25">
      <c r="A605" s="10"/>
      <c r="B605" s="10"/>
      <c r="C605" s="10"/>
      <c r="D605" s="12"/>
      <c r="E605" s="10"/>
      <c r="F605" s="10"/>
      <c r="G605" s="10"/>
      <c r="H605" s="5"/>
      <c r="I605" s="5"/>
      <c r="J605" s="5"/>
      <c r="K605" s="5"/>
      <c r="L605" s="5"/>
      <c r="M605" s="5"/>
      <c r="N605" s="5"/>
      <c r="O605" s="5"/>
      <c r="P605" s="5"/>
    </row>
    <row r="606" spans="1:16" x14ac:dyDescent="0.25">
      <c r="A606" s="10"/>
      <c r="B606" s="10"/>
      <c r="C606" s="10"/>
      <c r="D606" s="12"/>
      <c r="E606" s="10"/>
      <c r="F606" s="10"/>
      <c r="G606" s="10"/>
      <c r="H606" s="5"/>
      <c r="I606" s="5"/>
      <c r="J606" s="5"/>
      <c r="K606" s="5"/>
      <c r="L606" s="5"/>
      <c r="M606" s="5"/>
      <c r="N606" s="5"/>
      <c r="O606" s="5"/>
      <c r="P606" s="5"/>
    </row>
    <row r="607" spans="1:16" x14ac:dyDescent="0.25">
      <c r="A607" s="10"/>
      <c r="B607" s="10"/>
      <c r="C607" s="10"/>
      <c r="D607" s="12"/>
      <c r="E607" s="10"/>
      <c r="F607" s="10"/>
      <c r="G607" s="10"/>
      <c r="H607" s="5"/>
      <c r="I607" s="5"/>
      <c r="J607" s="5"/>
      <c r="K607" s="5"/>
      <c r="L607" s="5"/>
      <c r="M607" s="5"/>
      <c r="N607" s="5"/>
      <c r="O607" s="5"/>
      <c r="P607" s="5"/>
    </row>
    <row r="608" spans="1:16" x14ac:dyDescent="0.25">
      <c r="A608" s="10"/>
      <c r="B608" s="10"/>
      <c r="C608" s="10"/>
      <c r="D608" s="12"/>
      <c r="E608" s="10"/>
      <c r="F608" s="10"/>
      <c r="G608" s="10"/>
      <c r="H608" s="5"/>
      <c r="I608" s="5"/>
      <c r="J608" s="5"/>
      <c r="K608" s="5"/>
      <c r="L608" s="5"/>
      <c r="M608" s="5"/>
      <c r="N608" s="5"/>
      <c r="O608" s="5"/>
      <c r="P608" s="5"/>
    </row>
    <row r="609" spans="1:16" x14ac:dyDescent="0.25">
      <c r="A609" s="10"/>
      <c r="B609" s="10"/>
      <c r="C609" s="10"/>
      <c r="D609" s="12"/>
      <c r="E609" s="10"/>
      <c r="F609" s="10"/>
      <c r="G609" s="10"/>
      <c r="H609" s="5"/>
      <c r="I609" s="5"/>
      <c r="J609" s="5"/>
      <c r="K609" s="5"/>
      <c r="L609" s="5"/>
      <c r="M609" s="5"/>
      <c r="N609" s="5"/>
      <c r="O609" s="5"/>
      <c r="P609" s="5"/>
    </row>
    <row r="610" spans="1:16" x14ac:dyDescent="0.25">
      <c r="A610" s="10"/>
      <c r="B610" s="10"/>
      <c r="C610" s="10"/>
      <c r="D610" s="12"/>
      <c r="E610" s="10"/>
      <c r="F610" s="10"/>
      <c r="G610" s="10"/>
      <c r="H610" s="5"/>
      <c r="I610" s="5"/>
      <c r="J610" s="5"/>
      <c r="K610" s="5"/>
      <c r="L610" s="5"/>
      <c r="M610" s="5"/>
      <c r="N610" s="5"/>
      <c r="O610" s="5"/>
      <c r="P610" s="5"/>
    </row>
    <row r="611" spans="1:16" x14ac:dyDescent="0.25">
      <c r="A611" s="10"/>
      <c r="B611" s="10"/>
      <c r="C611" s="10"/>
      <c r="D611" s="12"/>
      <c r="E611" s="10"/>
      <c r="F611" s="10"/>
      <c r="G611" s="10"/>
      <c r="H611" s="5"/>
      <c r="I611" s="5"/>
      <c r="J611" s="5"/>
      <c r="K611" s="5"/>
      <c r="L611" s="5"/>
      <c r="M611" s="5"/>
      <c r="N611" s="5"/>
      <c r="O611" s="5"/>
      <c r="P611" s="5"/>
    </row>
    <row r="612" spans="1:16" x14ac:dyDescent="0.25">
      <c r="A612" s="10"/>
      <c r="B612" s="10"/>
      <c r="C612" s="10"/>
      <c r="D612" s="12"/>
      <c r="E612" s="10"/>
      <c r="F612" s="10"/>
      <c r="G612" s="10"/>
      <c r="H612" s="5"/>
      <c r="I612" s="5"/>
      <c r="J612" s="5"/>
      <c r="K612" s="5"/>
      <c r="L612" s="5"/>
      <c r="M612" s="5"/>
      <c r="N612" s="5"/>
      <c r="O612" s="5"/>
      <c r="P612" s="5"/>
    </row>
    <row r="613" spans="1:16" x14ac:dyDescent="0.25">
      <c r="A613" s="10"/>
      <c r="B613" s="10"/>
      <c r="C613" s="10"/>
      <c r="D613" s="12"/>
      <c r="E613" s="10"/>
      <c r="F613" s="10"/>
      <c r="G613" s="10"/>
      <c r="H613" s="5"/>
      <c r="I613" s="5"/>
      <c r="J613" s="5"/>
      <c r="K613" s="5"/>
      <c r="L613" s="5"/>
      <c r="M613" s="5"/>
      <c r="N613" s="5"/>
      <c r="O613" s="5"/>
      <c r="P613" s="5"/>
    </row>
    <row r="614" spans="1:16" x14ac:dyDescent="0.25">
      <c r="A614" s="10"/>
      <c r="B614" s="10"/>
      <c r="C614" s="10"/>
      <c r="D614" s="12"/>
      <c r="E614" s="10"/>
      <c r="F614" s="10"/>
      <c r="G614" s="10"/>
      <c r="H614" s="5"/>
      <c r="I614" s="5"/>
      <c r="J614" s="5"/>
      <c r="K614" s="5"/>
      <c r="L614" s="5"/>
      <c r="M614" s="5"/>
      <c r="N614" s="5"/>
      <c r="O614" s="5"/>
      <c r="P614" s="5"/>
    </row>
    <row r="615" spans="1:16" x14ac:dyDescent="0.25">
      <c r="A615" s="10"/>
      <c r="B615" s="10"/>
      <c r="C615" s="10"/>
      <c r="D615" s="12"/>
      <c r="E615" s="10"/>
      <c r="F615" s="10"/>
      <c r="G615" s="10"/>
      <c r="H615" s="5"/>
      <c r="I615" s="5"/>
      <c r="J615" s="5"/>
      <c r="K615" s="5"/>
      <c r="L615" s="5"/>
      <c r="M615" s="5"/>
      <c r="N615" s="5"/>
      <c r="O615" s="5"/>
      <c r="P615" s="5"/>
    </row>
    <row r="616" spans="1:16" x14ac:dyDescent="0.25">
      <c r="A616" s="10"/>
      <c r="B616" s="10"/>
      <c r="C616" s="10"/>
      <c r="D616" s="12"/>
      <c r="E616" s="10"/>
      <c r="F616" s="10"/>
      <c r="G616" s="10"/>
      <c r="H616" s="5"/>
      <c r="I616" s="5"/>
      <c r="J616" s="5"/>
      <c r="K616" s="5"/>
      <c r="L616" s="5"/>
      <c r="M616" s="5"/>
      <c r="N616" s="5"/>
      <c r="O616" s="5"/>
      <c r="P616" s="5"/>
    </row>
    <row r="617" spans="1:16" x14ac:dyDescent="0.25">
      <c r="A617" s="10"/>
      <c r="B617" s="10"/>
      <c r="C617" s="10"/>
      <c r="D617" s="12"/>
      <c r="E617" s="10"/>
      <c r="F617" s="10"/>
      <c r="G617" s="10"/>
      <c r="H617" s="5"/>
      <c r="I617" s="5"/>
      <c r="J617" s="5"/>
      <c r="K617" s="5"/>
      <c r="L617" s="5"/>
      <c r="M617" s="5"/>
      <c r="N617" s="5"/>
      <c r="O617" s="5"/>
      <c r="P617" s="5"/>
    </row>
    <row r="618" spans="1:16" x14ac:dyDescent="0.25">
      <c r="A618" s="10"/>
      <c r="B618" s="10"/>
      <c r="C618" s="10"/>
      <c r="D618" s="12"/>
      <c r="E618" s="10"/>
      <c r="F618" s="10"/>
      <c r="G618" s="10"/>
      <c r="H618" s="5"/>
      <c r="I618" s="5"/>
      <c r="J618" s="5"/>
      <c r="K618" s="5"/>
      <c r="L618" s="5"/>
      <c r="M618" s="5"/>
      <c r="N618" s="5"/>
      <c r="O618" s="5"/>
      <c r="P618" s="5"/>
    </row>
    <row r="619" spans="1:16" x14ac:dyDescent="0.25">
      <c r="A619" s="10"/>
      <c r="B619" s="10"/>
      <c r="C619" s="10"/>
      <c r="D619" s="12"/>
      <c r="E619" s="10"/>
      <c r="F619" s="10"/>
      <c r="G619" s="10"/>
      <c r="H619" s="5"/>
      <c r="I619" s="5"/>
      <c r="J619" s="5"/>
      <c r="K619" s="5"/>
      <c r="L619" s="5"/>
      <c r="M619" s="5"/>
      <c r="N619" s="5"/>
      <c r="O619" s="5"/>
      <c r="P619" s="5"/>
    </row>
    <row r="620" spans="1:16" x14ac:dyDescent="0.25">
      <c r="A620" s="10"/>
      <c r="B620" s="10"/>
      <c r="C620" s="10"/>
      <c r="D620" s="12"/>
      <c r="E620" s="10"/>
      <c r="F620" s="10"/>
      <c r="G620" s="10"/>
      <c r="H620" s="5"/>
      <c r="I620" s="5"/>
      <c r="J620" s="5"/>
      <c r="K620" s="5"/>
      <c r="L620" s="5"/>
      <c r="M620" s="5"/>
      <c r="N620" s="5"/>
      <c r="O620" s="5"/>
      <c r="P620" s="5"/>
    </row>
    <row r="621" spans="1:16" x14ac:dyDescent="0.25">
      <c r="A621" s="10"/>
      <c r="B621" s="10"/>
      <c r="C621" s="10"/>
      <c r="D621" s="12"/>
      <c r="E621" s="10"/>
      <c r="F621" s="10"/>
      <c r="G621" s="10"/>
      <c r="H621" s="5"/>
      <c r="I621" s="5"/>
      <c r="J621" s="5"/>
      <c r="K621" s="5"/>
      <c r="L621" s="5"/>
      <c r="M621" s="5"/>
      <c r="N621" s="5"/>
      <c r="O621" s="5"/>
      <c r="P621" s="5"/>
    </row>
    <row r="622" spans="1:16" x14ac:dyDescent="0.25">
      <c r="A622" s="10"/>
      <c r="B622" s="10"/>
      <c r="C622" s="10"/>
      <c r="D622" s="12"/>
      <c r="E622" s="10"/>
      <c r="F622" s="10"/>
      <c r="G622" s="10"/>
      <c r="H622" s="5"/>
      <c r="I622" s="5"/>
      <c r="J622" s="5"/>
      <c r="K622" s="5"/>
      <c r="L622" s="5"/>
      <c r="M622" s="5"/>
      <c r="N622" s="5"/>
      <c r="O622" s="5"/>
      <c r="P622" s="5"/>
    </row>
    <row r="623" spans="1:16" x14ac:dyDescent="0.25">
      <c r="A623" s="10"/>
      <c r="B623" s="10"/>
      <c r="C623" s="10"/>
      <c r="D623" s="12"/>
      <c r="E623" s="10"/>
      <c r="F623" s="10"/>
      <c r="G623" s="10"/>
      <c r="H623" s="5"/>
      <c r="I623" s="5"/>
      <c r="J623" s="5"/>
      <c r="K623" s="5"/>
      <c r="L623" s="5"/>
      <c r="M623" s="5"/>
      <c r="N623" s="5"/>
      <c r="O623" s="5"/>
      <c r="P623" s="5"/>
    </row>
    <row r="624" spans="1:16" x14ac:dyDescent="0.25">
      <c r="A624" s="10"/>
      <c r="B624" s="10"/>
      <c r="C624" s="10"/>
      <c r="D624" s="12"/>
      <c r="E624" s="10"/>
      <c r="F624" s="10"/>
      <c r="G624" s="10"/>
      <c r="H624" s="5"/>
      <c r="I624" s="5"/>
      <c r="J624" s="5"/>
      <c r="K624" s="5"/>
      <c r="L624" s="5"/>
      <c r="M624" s="5"/>
      <c r="N624" s="5"/>
      <c r="O624" s="5"/>
      <c r="P624" s="5"/>
    </row>
    <row r="625" spans="1:16" x14ac:dyDescent="0.25">
      <c r="A625" s="10"/>
      <c r="B625" s="10"/>
      <c r="C625" s="10"/>
      <c r="D625" s="12"/>
      <c r="E625" s="10"/>
      <c r="F625" s="10"/>
      <c r="G625" s="10"/>
      <c r="H625" s="5"/>
      <c r="I625" s="5"/>
      <c r="J625" s="5"/>
      <c r="K625" s="5"/>
      <c r="L625" s="5"/>
      <c r="M625" s="5"/>
      <c r="N625" s="5"/>
      <c r="O625" s="5"/>
      <c r="P625" s="5"/>
    </row>
    <row r="626" spans="1:16" x14ac:dyDescent="0.25">
      <c r="A626" s="10"/>
      <c r="B626" s="10"/>
      <c r="C626" s="10"/>
      <c r="D626" s="12"/>
      <c r="E626" s="10"/>
      <c r="F626" s="10"/>
      <c r="G626" s="10"/>
      <c r="H626" s="5"/>
      <c r="I626" s="5"/>
      <c r="J626" s="5"/>
      <c r="K626" s="5"/>
      <c r="L626" s="5"/>
      <c r="M626" s="5"/>
      <c r="N626" s="5"/>
      <c r="O626" s="5"/>
      <c r="P626" s="5"/>
    </row>
    <row r="627" spans="1:16" x14ac:dyDescent="0.25">
      <c r="A627" s="10"/>
      <c r="B627" s="10"/>
      <c r="C627" s="10"/>
      <c r="D627" s="12"/>
      <c r="E627" s="10"/>
      <c r="F627" s="10"/>
      <c r="G627" s="10"/>
      <c r="H627" s="5"/>
      <c r="I627" s="5"/>
      <c r="J627" s="5"/>
      <c r="K627" s="5"/>
      <c r="L627" s="5"/>
      <c r="M627" s="5"/>
      <c r="N627" s="5"/>
      <c r="O627" s="5"/>
      <c r="P627" s="5"/>
    </row>
    <row r="628" spans="1:16" x14ac:dyDescent="0.25">
      <c r="A628" s="10"/>
      <c r="B628" s="10"/>
      <c r="C628" s="10"/>
      <c r="D628" s="12"/>
      <c r="E628" s="10"/>
      <c r="F628" s="10"/>
      <c r="G628" s="10"/>
      <c r="H628" s="5"/>
      <c r="I628" s="5"/>
      <c r="J628" s="5"/>
      <c r="K628" s="5"/>
      <c r="L628" s="5"/>
      <c r="M628" s="5"/>
      <c r="N628" s="5"/>
      <c r="O628" s="5"/>
      <c r="P628" s="5"/>
    </row>
    <row r="629" spans="1:16" x14ac:dyDescent="0.25">
      <c r="A629" s="10"/>
      <c r="B629" s="10"/>
      <c r="C629" s="10"/>
      <c r="D629" s="12"/>
      <c r="E629" s="10"/>
      <c r="F629" s="10"/>
      <c r="G629" s="10"/>
      <c r="H629" s="5"/>
      <c r="I629" s="5"/>
      <c r="J629" s="5"/>
      <c r="K629" s="5"/>
      <c r="L629" s="5"/>
      <c r="M629" s="5"/>
      <c r="N629" s="5"/>
      <c r="O629" s="5"/>
      <c r="P629" s="5"/>
    </row>
    <row r="630" spans="1:16" x14ac:dyDescent="0.25">
      <c r="A630" s="10"/>
      <c r="B630" s="10"/>
      <c r="C630" s="10"/>
      <c r="D630" s="12"/>
      <c r="E630" s="10"/>
      <c r="F630" s="10"/>
      <c r="G630" s="10"/>
      <c r="H630" s="5"/>
      <c r="I630" s="5"/>
      <c r="J630" s="5"/>
      <c r="K630" s="5"/>
      <c r="L630" s="5"/>
      <c r="M630" s="5"/>
      <c r="N630" s="5"/>
      <c r="O630" s="5"/>
      <c r="P630" s="5"/>
    </row>
    <row r="631" spans="1:16" x14ac:dyDescent="0.25">
      <c r="A631" s="10"/>
      <c r="B631" s="10"/>
      <c r="C631" s="10"/>
      <c r="D631" s="12"/>
      <c r="E631" s="10"/>
      <c r="F631" s="10"/>
      <c r="G631" s="10"/>
      <c r="H631" s="5"/>
      <c r="I631" s="5"/>
      <c r="J631" s="5"/>
      <c r="K631" s="5"/>
      <c r="L631" s="5"/>
      <c r="M631" s="5"/>
      <c r="N631" s="5"/>
      <c r="O631" s="5"/>
      <c r="P631" s="5"/>
    </row>
    <row r="632" spans="1:16" x14ac:dyDescent="0.25">
      <c r="A632" s="10"/>
      <c r="B632" s="10"/>
      <c r="C632" s="10"/>
      <c r="D632" s="12"/>
      <c r="E632" s="10"/>
      <c r="F632" s="10"/>
      <c r="G632" s="10"/>
      <c r="H632" s="5"/>
      <c r="I632" s="5"/>
      <c r="J632" s="5"/>
      <c r="K632" s="5"/>
      <c r="L632" s="5"/>
      <c r="M632" s="5"/>
      <c r="N632" s="5"/>
      <c r="O632" s="5"/>
      <c r="P632" s="5"/>
    </row>
    <row r="633" spans="1:16" x14ac:dyDescent="0.25">
      <c r="A633" s="10"/>
      <c r="B633" s="10"/>
      <c r="C633" s="10"/>
      <c r="D633" s="12"/>
      <c r="E633" s="10"/>
      <c r="F633" s="10"/>
      <c r="G633" s="10"/>
      <c r="H633" s="5"/>
      <c r="I633" s="5"/>
      <c r="J633" s="5"/>
      <c r="K633" s="5"/>
      <c r="L633" s="5"/>
      <c r="M633" s="5"/>
      <c r="N633" s="5"/>
      <c r="O633" s="5"/>
      <c r="P633" s="5"/>
    </row>
    <row r="634" spans="1:16" x14ac:dyDescent="0.25">
      <c r="A634" s="10"/>
      <c r="B634" s="10"/>
      <c r="C634" s="10"/>
      <c r="D634" s="12"/>
      <c r="E634" s="10"/>
      <c r="F634" s="10"/>
      <c r="G634" s="10"/>
      <c r="H634" s="5"/>
      <c r="I634" s="5"/>
      <c r="J634" s="5"/>
      <c r="K634" s="5"/>
      <c r="L634" s="5"/>
      <c r="M634" s="5"/>
      <c r="N634" s="5"/>
      <c r="O634" s="5"/>
      <c r="P634" s="5"/>
    </row>
    <row r="635" spans="1:16" x14ac:dyDescent="0.25">
      <c r="A635" s="10"/>
      <c r="B635" s="10"/>
      <c r="C635" s="10"/>
      <c r="D635" s="12"/>
      <c r="E635" s="10"/>
      <c r="F635" s="10"/>
      <c r="G635" s="10"/>
      <c r="H635" s="5"/>
      <c r="I635" s="5"/>
      <c r="J635" s="5"/>
      <c r="K635" s="5"/>
      <c r="L635" s="5"/>
      <c r="M635" s="5"/>
      <c r="N635" s="5"/>
      <c r="O635" s="5"/>
      <c r="P635" s="5"/>
    </row>
    <row r="636" spans="1:16" x14ac:dyDescent="0.25">
      <c r="A636" s="10"/>
      <c r="B636" s="10"/>
      <c r="C636" s="10"/>
      <c r="D636" s="12"/>
      <c r="E636" s="10"/>
      <c r="F636" s="10"/>
      <c r="G636" s="10"/>
      <c r="H636" s="5"/>
      <c r="I636" s="5"/>
      <c r="J636" s="5"/>
      <c r="K636" s="5"/>
      <c r="L636" s="5"/>
      <c r="M636" s="5"/>
      <c r="N636" s="5"/>
      <c r="O636" s="5"/>
      <c r="P636" s="5"/>
    </row>
    <row r="637" spans="1:16" x14ac:dyDescent="0.25">
      <c r="A637" s="10"/>
      <c r="B637" s="10"/>
      <c r="C637" s="10"/>
      <c r="D637" s="12"/>
      <c r="E637" s="10"/>
      <c r="F637" s="10"/>
      <c r="G637" s="10"/>
      <c r="H637" s="5"/>
      <c r="I637" s="5"/>
      <c r="J637" s="5"/>
      <c r="K637" s="5"/>
      <c r="L637" s="5"/>
      <c r="M637" s="5"/>
      <c r="N637" s="5"/>
      <c r="O637" s="5"/>
      <c r="P637" s="5"/>
    </row>
    <row r="638" spans="1:16" x14ac:dyDescent="0.25">
      <c r="A638" s="10"/>
      <c r="B638" s="10"/>
      <c r="C638" s="10"/>
      <c r="D638" s="12"/>
      <c r="E638" s="10"/>
      <c r="F638" s="10"/>
      <c r="G638" s="10"/>
      <c r="H638" s="5"/>
      <c r="I638" s="5"/>
      <c r="J638" s="5"/>
      <c r="K638" s="5"/>
      <c r="L638" s="5"/>
      <c r="M638" s="5"/>
      <c r="N638" s="5"/>
      <c r="O638" s="5"/>
      <c r="P638" s="5"/>
    </row>
    <row r="639" spans="1:16" x14ac:dyDescent="0.25">
      <c r="A639" s="10"/>
      <c r="B639" s="10"/>
      <c r="C639" s="10"/>
      <c r="D639" s="12"/>
      <c r="E639" s="10"/>
      <c r="F639" s="10"/>
      <c r="G639" s="10"/>
      <c r="H639" s="5"/>
      <c r="I639" s="5"/>
      <c r="J639" s="5"/>
      <c r="K639" s="5"/>
      <c r="L639" s="5"/>
      <c r="M639" s="5"/>
      <c r="N639" s="5"/>
      <c r="O639" s="5"/>
      <c r="P639" s="5"/>
    </row>
    <row r="640" spans="1:16" x14ac:dyDescent="0.25">
      <c r="A640" s="10"/>
      <c r="B640" s="10"/>
      <c r="C640" s="10"/>
      <c r="D640" s="12"/>
      <c r="E640" s="10"/>
      <c r="F640" s="10"/>
      <c r="G640" s="10"/>
      <c r="H640" s="5"/>
      <c r="I640" s="5"/>
      <c r="J640" s="5"/>
      <c r="K640" s="5"/>
      <c r="L640" s="5"/>
      <c r="M640" s="5"/>
      <c r="N640" s="5"/>
      <c r="O640" s="5"/>
      <c r="P640" s="5"/>
    </row>
    <row r="641" spans="1:16" x14ac:dyDescent="0.25">
      <c r="A641" s="10"/>
      <c r="B641" s="10"/>
      <c r="C641" s="10"/>
      <c r="D641" s="12"/>
      <c r="E641" s="10"/>
      <c r="F641" s="10"/>
      <c r="G641" s="10"/>
      <c r="H641" s="5"/>
      <c r="I641" s="5"/>
      <c r="J641" s="5"/>
      <c r="K641" s="5"/>
      <c r="L641" s="5"/>
      <c r="M641" s="5"/>
      <c r="N641" s="5"/>
      <c r="O641" s="5"/>
      <c r="P641" s="5"/>
    </row>
    <row r="642" spans="1:16" x14ac:dyDescent="0.25">
      <c r="A642" s="10"/>
      <c r="B642" s="10"/>
      <c r="C642" s="10"/>
      <c r="D642" s="12"/>
      <c r="E642" s="10"/>
      <c r="F642" s="10"/>
      <c r="G642" s="10"/>
      <c r="H642" s="5"/>
      <c r="I642" s="5"/>
      <c r="J642" s="5"/>
      <c r="K642" s="5"/>
      <c r="L642" s="5"/>
      <c r="M642" s="5"/>
      <c r="N642" s="5"/>
      <c r="O642" s="5"/>
      <c r="P642" s="5"/>
    </row>
    <row r="643" spans="1:16" x14ac:dyDescent="0.25">
      <c r="A643" s="10"/>
      <c r="B643" s="10"/>
      <c r="C643" s="10"/>
      <c r="D643" s="12"/>
      <c r="E643" s="10"/>
      <c r="F643" s="10"/>
      <c r="G643" s="10"/>
      <c r="H643" s="5"/>
      <c r="I643" s="5"/>
      <c r="J643" s="5"/>
      <c r="K643" s="5"/>
      <c r="L643" s="5"/>
      <c r="M643" s="5"/>
      <c r="N643" s="5"/>
      <c r="O643" s="5"/>
      <c r="P643" s="5"/>
    </row>
    <row r="644" spans="1:16" x14ac:dyDescent="0.25">
      <c r="A644" s="10"/>
      <c r="B644" s="10"/>
      <c r="C644" s="10"/>
      <c r="D644" s="12"/>
      <c r="E644" s="10"/>
      <c r="F644" s="10"/>
      <c r="G644" s="10"/>
      <c r="H644" s="5"/>
      <c r="I644" s="5"/>
      <c r="J644" s="5"/>
      <c r="K644" s="5"/>
      <c r="L644" s="5"/>
      <c r="M644" s="5"/>
      <c r="N644" s="5"/>
      <c r="O644" s="5"/>
      <c r="P644" s="5"/>
    </row>
    <row r="645" spans="1:16" x14ac:dyDescent="0.25">
      <c r="A645" s="10"/>
      <c r="B645" s="10"/>
      <c r="C645" s="10"/>
      <c r="D645" s="12"/>
      <c r="E645" s="10"/>
      <c r="F645" s="10"/>
      <c r="G645" s="10"/>
      <c r="H645" s="5"/>
      <c r="I645" s="5"/>
      <c r="J645" s="5"/>
      <c r="K645" s="5"/>
      <c r="L645" s="5"/>
      <c r="M645" s="5"/>
      <c r="N645" s="5"/>
      <c r="O645" s="5"/>
      <c r="P645" s="5"/>
    </row>
    <row r="646" spans="1:16" x14ac:dyDescent="0.25">
      <c r="A646" s="10"/>
      <c r="B646" s="10"/>
      <c r="C646" s="10"/>
      <c r="D646" s="12"/>
      <c r="E646" s="10"/>
      <c r="F646" s="10"/>
      <c r="G646" s="10"/>
      <c r="H646" s="5"/>
      <c r="I646" s="5"/>
      <c r="J646" s="5"/>
      <c r="K646" s="5"/>
      <c r="L646" s="5"/>
      <c r="M646" s="5"/>
      <c r="N646" s="5"/>
      <c r="O646" s="5"/>
      <c r="P646" s="5"/>
    </row>
    <row r="647" spans="1:16" x14ac:dyDescent="0.25">
      <c r="A647" s="10"/>
      <c r="B647" s="10"/>
      <c r="C647" s="10"/>
      <c r="D647" s="12"/>
      <c r="E647" s="10"/>
      <c r="F647" s="10"/>
      <c r="G647" s="10"/>
      <c r="H647" s="5"/>
      <c r="I647" s="5"/>
      <c r="J647" s="5"/>
      <c r="K647" s="5"/>
      <c r="L647" s="5"/>
      <c r="M647" s="5"/>
      <c r="N647" s="5"/>
      <c r="O647" s="5"/>
      <c r="P647" s="5"/>
    </row>
    <row r="648" spans="1:16" x14ac:dyDescent="0.25">
      <c r="A648" s="10"/>
      <c r="B648" s="10"/>
      <c r="C648" s="10"/>
      <c r="D648" s="12"/>
      <c r="E648" s="10"/>
      <c r="F648" s="10"/>
      <c r="G648" s="10"/>
      <c r="H648" s="5"/>
      <c r="I648" s="5"/>
      <c r="J648" s="5"/>
      <c r="K648" s="5"/>
      <c r="L648" s="5"/>
      <c r="M648" s="5"/>
      <c r="N648" s="5"/>
      <c r="O648" s="5"/>
      <c r="P648" s="5"/>
    </row>
    <row r="649" spans="1:16" x14ac:dyDescent="0.25">
      <c r="A649" s="10"/>
      <c r="B649" s="10"/>
      <c r="C649" s="10"/>
      <c r="D649" s="12"/>
      <c r="E649" s="10"/>
      <c r="F649" s="10"/>
      <c r="G649" s="10"/>
      <c r="H649" s="5"/>
      <c r="I649" s="5"/>
      <c r="J649" s="5"/>
      <c r="K649" s="5"/>
      <c r="L649" s="5"/>
      <c r="M649" s="5"/>
      <c r="N649" s="5"/>
      <c r="O649" s="5"/>
      <c r="P649" s="5"/>
    </row>
    <row r="650" spans="1:16" x14ac:dyDescent="0.25">
      <c r="A650" s="10"/>
      <c r="B650" s="10"/>
      <c r="C650" s="10"/>
      <c r="D650" s="12"/>
      <c r="E650" s="10"/>
      <c r="F650" s="10"/>
      <c r="G650" s="10"/>
      <c r="H650" s="5"/>
      <c r="I650" s="5"/>
      <c r="J650" s="5"/>
      <c r="K650" s="5"/>
      <c r="L650" s="5"/>
      <c r="M650" s="5"/>
      <c r="N650" s="5"/>
      <c r="O650" s="5"/>
      <c r="P650" s="5"/>
    </row>
    <row r="651" spans="1:16" x14ac:dyDescent="0.25">
      <c r="A651" s="10"/>
      <c r="B651" s="10"/>
      <c r="C651" s="10"/>
      <c r="D651" s="12"/>
      <c r="E651" s="10"/>
      <c r="F651" s="10"/>
      <c r="G651" s="10"/>
      <c r="H651" s="5"/>
      <c r="I651" s="5"/>
      <c r="J651" s="5"/>
      <c r="K651" s="5"/>
      <c r="L651" s="5"/>
      <c r="M651" s="5"/>
      <c r="N651" s="5"/>
      <c r="O651" s="5"/>
      <c r="P651" s="5"/>
    </row>
    <row r="652" spans="1:16" x14ac:dyDescent="0.25">
      <c r="A652" s="10"/>
      <c r="B652" s="10"/>
      <c r="C652" s="10"/>
      <c r="D652" s="12"/>
      <c r="E652" s="10"/>
      <c r="F652" s="10"/>
      <c r="G652" s="10"/>
      <c r="H652" s="5"/>
      <c r="I652" s="5"/>
      <c r="J652" s="5"/>
      <c r="K652" s="5"/>
      <c r="L652" s="5"/>
      <c r="M652" s="5"/>
      <c r="N652" s="5"/>
      <c r="O652" s="5"/>
      <c r="P652" s="5"/>
    </row>
    <row r="653" spans="1:16" x14ac:dyDescent="0.25">
      <c r="A653" s="10"/>
      <c r="B653" s="10"/>
      <c r="C653" s="10"/>
      <c r="D653" s="12"/>
      <c r="E653" s="10"/>
      <c r="F653" s="10"/>
      <c r="G653" s="10"/>
      <c r="H653" s="5"/>
      <c r="I653" s="5"/>
      <c r="J653" s="5"/>
      <c r="K653" s="5"/>
      <c r="L653" s="5"/>
      <c r="M653" s="5"/>
      <c r="N653" s="5"/>
      <c r="O653" s="5"/>
      <c r="P653" s="5"/>
    </row>
    <row r="654" spans="1:16" x14ac:dyDescent="0.25">
      <c r="A654" s="10"/>
      <c r="B654" s="10"/>
      <c r="C654" s="10"/>
      <c r="D654" s="12"/>
      <c r="E654" s="10"/>
      <c r="F654" s="10"/>
      <c r="G654" s="10"/>
      <c r="H654" s="5"/>
      <c r="I654" s="5"/>
      <c r="J654" s="5"/>
      <c r="K654" s="5"/>
      <c r="L654" s="5"/>
      <c r="M654" s="5"/>
      <c r="N654" s="5"/>
      <c r="O654" s="5"/>
      <c r="P654" s="5"/>
    </row>
    <row r="655" spans="1:16" x14ac:dyDescent="0.25">
      <c r="A655" s="10"/>
      <c r="B655" s="10"/>
      <c r="C655" s="10"/>
      <c r="D655" s="12"/>
      <c r="E655" s="10"/>
      <c r="F655" s="10"/>
      <c r="G655" s="10"/>
      <c r="H655" s="5"/>
      <c r="I655" s="5"/>
      <c r="J655" s="5"/>
      <c r="K655" s="5"/>
      <c r="L655" s="5"/>
      <c r="M655" s="5"/>
      <c r="N655" s="5"/>
      <c r="O655" s="5"/>
      <c r="P655" s="5"/>
    </row>
    <row r="656" spans="1:16" x14ac:dyDescent="0.25">
      <c r="A656" s="10"/>
      <c r="B656" s="10"/>
      <c r="C656" s="10"/>
      <c r="D656" s="12"/>
      <c r="E656" s="10"/>
      <c r="F656" s="10"/>
      <c r="G656" s="10"/>
      <c r="H656" s="5"/>
      <c r="I656" s="5"/>
      <c r="J656" s="5"/>
      <c r="K656" s="5"/>
      <c r="L656" s="5"/>
      <c r="M656" s="5"/>
      <c r="N656" s="5"/>
      <c r="O656" s="5"/>
      <c r="P656" s="5"/>
    </row>
    <row r="657" spans="1:16" x14ac:dyDescent="0.25">
      <c r="A657" s="10"/>
      <c r="B657" s="10"/>
      <c r="C657" s="10"/>
      <c r="D657" s="12"/>
      <c r="E657" s="10"/>
      <c r="F657" s="10"/>
      <c r="G657" s="10"/>
      <c r="H657" s="5"/>
      <c r="I657" s="5"/>
      <c r="J657" s="5"/>
      <c r="K657" s="5"/>
      <c r="L657" s="5"/>
      <c r="M657" s="5"/>
      <c r="N657" s="5"/>
      <c r="O657" s="5"/>
      <c r="P657" s="5"/>
    </row>
    <row r="658" spans="1:16" x14ac:dyDescent="0.25">
      <c r="A658" s="10"/>
      <c r="B658" s="10"/>
      <c r="C658" s="10"/>
      <c r="D658" s="12"/>
      <c r="E658" s="10"/>
      <c r="F658" s="10"/>
      <c r="G658" s="10"/>
      <c r="H658" s="5"/>
      <c r="I658" s="5"/>
      <c r="J658" s="5"/>
      <c r="K658" s="5"/>
      <c r="L658" s="5"/>
      <c r="M658" s="5"/>
      <c r="N658" s="5"/>
      <c r="O658" s="5"/>
      <c r="P658" s="5"/>
    </row>
    <row r="659" spans="1:16" x14ac:dyDescent="0.25">
      <c r="A659" s="10"/>
      <c r="B659" s="10"/>
      <c r="C659" s="10"/>
      <c r="D659" s="12"/>
      <c r="E659" s="10"/>
      <c r="F659" s="10"/>
      <c r="G659" s="10"/>
      <c r="H659" s="5"/>
      <c r="I659" s="5"/>
      <c r="J659" s="5"/>
      <c r="K659" s="5"/>
      <c r="L659" s="5"/>
      <c r="M659" s="5"/>
      <c r="N659" s="5"/>
      <c r="O659" s="5"/>
      <c r="P659" s="5"/>
    </row>
    <row r="660" spans="1:16" x14ac:dyDescent="0.25">
      <c r="A660" s="10"/>
      <c r="B660" s="10"/>
      <c r="C660" s="10"/>
      <c r="D660" s="12"/>
      <c r="E660" s="10"/>
      <c r="F660" s="10"/>
      <c r="G660" s="10"/>
      <c r="H660" s="5"/>
      <c r="I660" s="5"/>
      <c r="J660" s="5"/>
      <c r="K660" s="5"/>
      <c r="L660" s="5"/>
      <c r="M660" s="5"/>
      <c r="N660" s="5"/>
      <c r="O660" s="5"/>
      <c r="P660" s="5"/>
    </row>
    <row r="661" spans="1:16" x14ac:dyDescent="0.25">
      <c r="A661" s="10"/>
      <c r="B661" s="10"/>
      <c r="C661" s="10"/>
      <c r="D661" s="12"/>
      <c r="E661" s="10"/>
      <c r="F661" s="10"/>
      <c r="G661" s="10"/>
      <c r="H661" s="5"/>
      <c r="I661" s="5"/>
      <c r="J661" s="5"/>
      <c r="K661" s="5"/>
      <c r="L661" s="5"/>
      <c r="M661" s="5"/>
      <c r="N661" s="5"/>
      <c r="O661" s="5"/>
      <c r="P661" s="5"/>
    </row>
    <row r="662" spans="1:16" x14ac:dyDescent="0.25">
      <c r="A662" s="10"/>
      <c r="B662" s="10"/>
      <c r="C662" s="10"/>
      <c r="D662" s="12"/>
      <c r="E662" s="10"/>
      <c r="F662" s="10"/>
      <c r="G662" s="10"/>
      <c r="H662" s="5"/>
      <c r="I662" s="5"/>
      <c r="J662" s="5"/>
      <c r="K662" s="5"/>
      <c r="L662" s="5"/>
      <c r="M662" s="5"/>
      <c r="N662" s="5"/>
      <c r="O662" s="5"/>
      <c r="P662" s="5"/>
    </row>
    <row r="663" spans="1:16" x14ac:dyDescent="0.25">
      <c r="A663" s="10"/>
      <c r="B663" s="10"/>
      <c r="C663" s="10"/>
      <c r="D663" s="12"/>
      <c r="E663" s="10"/>
      <c r="F663" s="10"/>
      <c r="G663" s="10"/>
      <c r="H663" s="5"/>
      <c r="I663" s="5"/>
      <c r="J663" s="5"/>
      <c r="K663" s="5"/>
      <c r="L663" s="5"/>
      <c r="M663" s="5"/>
      <c r="N663" s="5"/>
      <c r="O663" s="5"/>
      <c r="P663" s="5"/>
    </row>
    <row r="664" spans="1:16" x14ac:dyDescent="0.25">
      <c r="A664" s="10"/>
      <c r="B664" s="10"/>
      <c r="C664" s="10"/>
      <c r="D664" s="12"/>
      <c r="E664" s="10"/>
      <c r="F664" s="10"/>
      <c r="G664" s="10"/>
      <c r="H664" s="5"/>
      <c r="I664" s="5"/>
      <c r="J664" s="5"/>
      <c r="K664" s="5"/>
      <c r="L664" s="5"/>
      <c r="M664" s="5"/>
      <c r="N664" s="5"/>
      <c r="O664" s="5"/>
      <c r="P664" s="5"/>
    </row>
    <row r="665" spans="1:16" x14ac:dyDescent="0.25">
      <c r="A665" s="10"/>
      <c r="B665" s="10"/>
      <c r="C665" s="10"/>
      <c r="D665" s="12"/>
      <c r="E665" s="10"/>
      <c r="F665" s="10"/>
      <c r="G665" s="10"/>
      <c r="H665" s="5"/>
      <c r="I665" s="5"/>
      <c r="J665" s="5"/>
      <c r="K665" s="5"/>
      <c r="L665" s="5"/>
      <c r="M665" s="5"/>
      <c r="N665" s="5"/>
      <c r="O665" s="5"/>
      <c r="P665" s="5"/>
    </row>
    <row r="666" spans="1:16" x14ac:dyDescent="0.25">
      <c r="A666" s="10"/>
      <c r="B666" s="10"/>
      <c r="C666" s="10"/>
      <c r="D666" s="12"/>
      <c r="E666" s="10"/>
      <c r="F666" s="10"/>
      <c r="G666" s="10"/>
      <c r="H666" s="5"/>
      <c r="I666" s="5"/>
      <c r="J666" s="5"/>
      <c r="K666" s="5"/>
      <c r="L666" s="5"/>
      <c r="M666" s="5"/>
      <c r="N666" s="5"/>
      <c r="O666" s="5"/>
      <c r="P666" s="5"/>
    </row>
    <row r="667" spans="1:16" x14ac:dyDescent="0.25">
      <c r="A667" s="10"/>
      <c r="B667" s="10"/>
      <c r="C667" s="10"/>
      <c r="D667" s="12"/>
      <c r="E667" s="10"/>
      <c r="F667" s="10"/>
      <c r="G667" s="10"/>
      <c r="H667" s="5"/>
      <c r="I667" s="5"/>
      <c r="J667" s="5"/>
      <c r="K667" s="5"/>
      <c r="L667" s="5"/>
      <c r="M667" s="5"/>
      <c r="N667" s="5"/>
      <c r="O667" s="5"/>
      <c r="P667" s="5"/>
    </row>
    <row r="668" spans="1:16" x14ac:dyDescent="0.25">
      <c r="A668" s="10"/>
      <c r="B668" s="10"/>
      <c r="C668" s="10"/>
      <c r="D668" s="12"/>
      <c r="E668" s="10"/>
      <c r="F668" s="10"/>
      <c r="G668" s="10"/>
      <c r="H668" s="5"/>
      <c r="I668" s="5"/>
      <c r="J668" s="5"/>
      <c r="K668" s="5"/>
      <c r="L668" s="5"/>
      <c r="M668" s="5"/>
      <c r="N668" s="5"/>
      <c r="O668" s="5"/>
      <c r="P668" s="5"/>
    </row>
    <row r="669" spans="1:16" x14ac:dyDescent="0.25">
      <c r="A669" s="10"/>
      <c r="B669" s="10"/>
      <c r="C669" s="10"/>
      <c r="D669" s="12"/>
      <c r="E669" s="10"/>
      <c r="F669" s="10"/>
      <c r="G669" s="10"/>
      <c r="H669" s="5"/>
      <c r="I669" s="5"/>
      <c r="J669" s="5"/>
      <c r="K669" s="5"/>
      <c r="L669" s="5"/>
      <c r="M669" s="5"/>
      <c r="N669" s="5"/>
      <c r="O669" s="5"/>
      <c r="P669" s="5"/>
    </row>
    <row r="670" spans="1:16" x14ac:dyDescent="0.25">
      <c r="A670" s="10"/>
      <c r="B670" s="10"/>
      <c r="C670" s="10"/>
      <c r="D670" s="12"/>
      <c r="E670" s="10"/>
      <c r="F670" s="10"/>
      <c r="G670" s="10"/>
      <c r="H670" s="5"/>
      <c r="I670" s="5"/>
      <c r="J670" s="5"/>
      <c r="K670" s="5"/>
      <c r="L670" s="5"/>
      <c r="M670" s="5"/>
      <c r="N670" s="5"/>
      <c r="O670" s="5"/>
      <c r="P670" s="5"/>
    </row>
    <row r="671" spans="1:16" x14ac:dyDescent="0.25">
      <c r="A671" s="10"/>
      <c r="B671" s="10"/>
      <c r="C671" s="10"/>
      <c r="D671" s="12"/>
      <c r="E671" s="10"/>
      <c r="F671" s="10"/>
      <c r="G671" s="10"/>
      <c r="H671" s="5"/>
      <c r="I671" s="5"/>
      <c r="J671" s="5"/>
      <c r="K671" s="5"/>
      <c r="L671" s="5"/>
      <c r="M671" s="5"/>
      <c r="N671" s="5"/>
      <c r="O671" s="5"/>
      <c r="P671" s="5"/>
    </row>
    <row r="672" spans="1:16" x14ac:dyDescent="0.25">
      <c r="A672" s="10"/>
      <c r="B672" s="10"/>
      <c r="C672" s="10"/>
      <c r="D672" s="12"/>
      <c r="E672" s="10"/>
      <c r="F672" s="10"/>
      <c r="G672" s="10"/>
      <c r="H672" s="5"/>
      <c r="I672" s="5"/>
      <c r="J672" s="5"/>
      <c r="K672" s="5"/>
      <c r="L672" s="5"/>
      <c r="M672" s="5"/>
      <c r="N672" s="5"/>
      <c r="O672" s="5"/>
      <c r="P672" s="5"/>
    </row>
    <row r="673" spans="1:16" x14ac:dyDescent="0.25">
      <c r="A673" s="10"/>
      <c r="B673" s="10"/>
      <c r="C673" s="10"/>
      <c r="D673" s="12"/>
      <c r="E673" s="10"/>
      <c r="F673" s="10"/>
      <c r="G673" s="10"/>
      <c r="H673" s="5"/>
      <c r="I673" s="5"/>
      <c r="J673" s="5"/>
      <c r="K673" s="5"/>
      <c r="L673" s="5"/>
      <c r="M673" s="5"/>
      <c r="N673" s="5"/>
      <c r="O673" s="5"/>
      <c r="P673" s="5"/>
    </row>
    <row r="674" spans="1:16" x14ac:dyDescent="0.25">
      <c r="A674" s="10"/>
      <c r="B674" s="10"/>
      <c r="C674" s="10"/>
      <c r="D674" s="12"/>
      <c r="E674" s="10"/>
      <c r="F674" s="10"/>
      <c r="G674" s="10"/>
      <c r="H674" s="5"/>
      <c r="I674" s="5"/>
      <c r="J674" s="5"/>
      <c r="K674" s="5"/>
      <c r="L674" s="5"/>
      <c r="M674" s="5"/>
      <c r="N674" s="5"/>
      <c r="O674" s="5"/>
      <c r="P674" s="5"/>
    </row>
    <row r="675" spans="1:16" x14ac:dyDescent="0.25">
      <c r="A675" s="10"/>
      <c r="B675" s="10"/>
      <c r="C675" s="10"/>
      <c r="D675" s="12"/>
      <c r="E675" s="10"/>
      <c r="F675" s="10"/>
      <c r="G675" s="10"/>
      <c r="H675" s="5"/>
      <c r="I675" s="5"/>
      <c r="J675" s="5"/>
      <c r="K675" s="5"/>
      <c r="L675" s="5"/>
      <c r="M675" s="5"/>
      <c r="N675" s="5"/>
      <c r="O675" s="5"/>
      <c r="P675" s="5"/>
    </row>
    <row r="676" spans="1:16" x14ac:dyDescent="0.25">
      <c r="A676" s="10"/>
      <c r="B676" s="10"/>
      <c r="C676" s="10"/>
      <c r="D676" s="12"/>
      <c r="E676" s="10"/>
      <c r="F676" s="10"/>
      <c r="G676" s="10"/>
      <c r="H676" s="5"/>
      <c r="I676" s="5"/>
      <c r="J676" s="5"/>
      <c r="K676" s="5"/>
      <c r="L676" s="5"/>
      <c r="M676" s="5"/>
      <c r="N676" s="5"/>
      <c r="O676" s="5"/>
      <c r="P676" s="5"/>
    </row>
    <row r="677" spans="1:16" x14ac:dyDescent="0.25">
      <c r="A677" s="10"/>
      <c r="B677" s="10"/>
      <c r="C677" s="10"/>
      <c r="D677" s="12"/>
      <c r="E677" s="10"/>
      <c r="F677" s="10"/>
      <c r="G677" s="10"/>
      <c r="H677" s="5"/>
      <c r="I677" s="5"/>
      <c r="J677" s="5"/>
      <c r="K677" s="5"/>
      <c r="L677" s="5"/>
      <c r="M677" s="5"/>
      <c r="N677" s="5"/>
      <c r="O677" s="5"/>
      <c r="P677" s="5"/>
    </row>
    <row r="678" spans="1:16" x14ac:dyDescent="0.25">
      <c r="A678" s="10"/>
      <c r="B678" s="10"/>
      <c r="C678" s="10"/>
      <c r="D678" s="12"/>
      <c r="E678" s="10"/>
      <c r="F678" s="10"/>
      <c r="G678" s="10"/>
      <c r="H678" s="5"/>
      <c r="I678" s="5"/>
      <c r="J678" s="5"/>
      <c r="K678" s="5"/>
      <c r="L678" s="5"/>
      <c r="M678" s="5"/>
      <c r="N678" s="5"/>
      <c r="O678" s="5"/>
      <c r="P678" s="5"/>
    </row>
    <row r="679" spans="1:16" x14ac:dyDescent="0.25">
      <c r="A679" s="10"/>
      <c r="B679" s="10"/>
      <c r="C679" s="10"/>
      <c r="D679" s="12"/>
      <c r="E679" s="10"/>
      <c r="F679" s="10"/>
      <c r="G679" s="10"/>
      <c r="H679" s="5"/>
      <c r="I679" s="5"/>
      <c r="J679" s="5"/>
      <c r="K679" s="5"/>
      <c r="L679" s="5"/>
      <c r="M679" s="5"/>
      <c r="N679" s="5"/>
      <c r="O679" s="5"/>
      <c r="P679" s="5"/>
    </row>
    <row r="680" spans="1:16" x14ac:dyDescent="0.25">
      <c r="A680" s="10"/>
      <c r="B680" s="10"/>
      <c r="C680" s="10"/>
      <c r="D680" s="12"/>
      <c r="E680" s="10"/>
      <c r="F680" s="10"/>
      <c r="G680" s="10"/>
      <c r="H680" s="5"/>
      <c r="I680" s="5"/>
      <c r="J680" s="5"/>
      <c r="K680" s="5"/>
      <c r="L680" s="5"/>
      <c r="M680" s="5"/>
      <c r="N680" s="5"/>
      <c r="O680" s="5"/>
      <c r="P680" s="5"/>
    </row>
    <row r="681" spans="1:16" x14ac:dyDescent="0.25">
      <c r="A681" s="10"/>
      <c r="B681" s="10"/>
      <c r="C681" s="10"/>
      <c r="D681" s="12"/>
      <c r="E681" s="10"/>
      <c r="F681" s="10"/>
      <c r="G681" s="10"/>
      <c r="H681" s="5"/>
      <c r="I681" s="5"/>
      <c r="J681" s="5"/>
      <c r="K681" s="5"/>
      <c r="L681" s="5"/>
      <c r="M681" s="5"/>
      <c r="N681" s="5"/>
      <c r="O681" s="5"/>
      <c r="P681" s="5"/>
    </row>
    <row r="682" spans="1:16" x14ac:dyDescent="0.25">
      <c r="A682" s="10"/>
      <c r="B682" s="10"/>
      <c r="C682" s="10"/>
      <c r="D682" s="12"/>
      <c r="E682" s="10"/>
      <c r="F682" s="10"/>
      <c r="G682" s="10"/>
      <c r="H682" s="5"/>
      <c r="I682" s="5"/>
      <c r="J682" s="5"/>
      <c r="K682" s="5"/>
      <c r="L682" s="5"/>
      <c r="M682" s="5"/>
      <c r="N682" s="5"/>
      <c r="O682" s="5"/>
      <c r="P682" s="5"/>
    </row>
    <row r="683" spans="1:16" x14ac:dyDescent="0.25">
      <c r="A683" s="10"/>
      <c r="B683" s="10"/>
      <c r="C683" s="10"/>
      <c r="D683" s="12"/>
      <c r="E683" s="10"/>
      <c r="F683" s="10"/>
      <c r="G683" s="10"/>
      <c r="H683" s="5"/>
      <c r="I683" s="5"/>
      <c r="J683" s="5"/>
      <c r="K683" s="5"/>
      <c r="L683" s="5"/>
      <c r="M683" s="5"/>
      <c r="N683" s="5"/>
      <c r="O683" s="5"/>
      <c r="P683" s="5"/>
    </row>
    <row r="684" spans="1:16" x14ac:dyDescent="0.25">
      <c r="A684" s="10"/>
      <c r="B684" s="10"/>
      <c r="C684" s="10"/>
      <c r="D684" s="12"/>
      <c r="E684" s="10"/>
      <c r="F684" s="10"/>
      <c r="G684" s="10"/>
      <c r="H684" s="5"/>
      <c r="I684" s="5"/>
      <c r="J684" s="5"/>
      <c r="K684" s="5"/>
      <c r="L684" s="5"/>
      <c r="M684" s="5"/>
      <c r="N684" s="5"/>
      <c r="O684" s="5"/>
      <c r="P684" s="5"/>
    </row>
    <row r="685" spans="1:16" x14ac:dyDescent="0.25">
      <c r="A685" s="10"/>
      <c r="B685" s="10"/>
      <c r="C685" s="10"/>
      <c r="D685" s="12"/>
      <c r="E685" s="10"/>
      <c r="F685" s="10"/>
      <c r="G685" s="10"/>
      <c r="H685" s="5"/>
      <c r="I685" s="5"/>
      <c r="J685" s="5"/>
      <c r="K685" s="5"/>
      <c r="L685" s="5"/>
      <c r="M685" s="5"/>
      <c r="N685" s="5"/>
      <c r="O685" s="5"/>
      <c r="P685" s="5"/>
    </row>
    <row r="686" spans="1:16" x14ac:dyDescent="0.25">
      <c r="A686" s="10"/>
      <c r="B686" s="10"/>
      <c r="C686" s="10"/>
      <c r="D686" s="12"/>
      <c r="E686" s="10"/>
      <c r="F686" s="10"/>
      <c r="G686" s="10"/>
      <c r="H686" s="5"/>
      <c r="I686" s="5"/>
      <c r="J686" s="5"/>
      <c r="K686" s="5"/>
      <c r="L686" s="5"/>
      <c r="M686" s="5"/>
      <c r="N686" s="5"/>
      <c r="O686" s="5"/>
      <c r="P686" s="5"/>
    </row>
    <row r="687" spans="1:16" x14ac:dyDescent="0.25">
      <c r="A687" s="10"/>
      <c r="B687" s="10"/>
      <c r="C687" s="10"/>
      <c r="D687" s="12"/>
      <c r="E687" s="10"/>
      <c r="F687" s="10"/>
      <c r="G687" s="10"/>
      <c r="H687" s="5"/>
      <c r="I687" s="5"/>
      <c r="J687" s="5"/>
      <c r="K687" s="5"/>
      <c r="L687" s="5"/>
      <c r="M687" s="5"/>
      <c r="N687" s="5"/>
      <c r="O687" s="5"/>
      <c r="P687" s="5"/>
    </row>
    <row r="688" spans="1:16" x14ac:dyDescent="0.25">
      <c r="A688" s="10"/>
      <c r="B688" s="10"/>
      <c r="C688" s="10"/>
      <c r="D688" s="12"/>
      <c r="E688" s="10"/>
      <c r="F688" s="10"/>
      <c r="G688" s="10"/>
      <c r="H688" s="5"/>
      <c r="I688" s="5"/>
      <c r="J688" s="5"/>
      <c r="K688" s="5"/>
      <c r="L688" s="5"/>
      <c r="M688" s="5"/>
      <c r="N688" s="5"/>
      <c r="O688" s="5"/>
      <c r="P688" s="5"/>
    </row>
    <row r="689" spans="1:16" x14ac:dyDescent="0.25">
      <c r="A689" s="10"/>
      <c r="B689" s="10"/>
      <c r="C689" s="10"/>
      <c r="D689" s="12"/>
      <c r="E689" s="10"/>
      <c r="F689" s="10"/>
      <c r="G689" s="10"/>
      <c r="H689" s="5"/>
      <c r="I689" s="5"/>
      <c r="J689" s="5"/>
      <c r="K689" s="5"/>
      <c r="L689" s="5"/>
      <c r="M689" s="5"/>
      <c r="N689" s="5"/>
      <c r="O689" s="5"/>
      <c r="P689" s="5"/>
    </row>
    <row r="690" spans="1:16" x14ac:dyDescent="0.25">
      <c r="A690" s="10"/>
      <c r="B690" s="10"/>
      <c r="C690" s="10"/>
      <c r="D690" s="12"/>
      <c r="E690" s="10"/>
      <c r="F690" s="10"/>
      <c r="G690" s="10"/>
      <c r="H690" s="5"/>
      <c r="I690" s="5"/>
      <c r="J690" s="5"/>
      <c r="K690" s="5"/>
      <c r="L690" s="5"/>
      <c r="M690" s="5"/>
      <c r="N690" s="5"/>
      <c r="O690" s="5"/>
      <c r="P690" s="5"/>
    </row>
    <row r="691" spans="1:16" x14ac:dyDescent="0.25">
      <c r="A691" s="10"/>
      <c r="B691" s="10"/>
      <c r="C691" s="10"/>
      <c r="D691" s="12"/>
      <c r="E691" s="10"/>
      <c r="F691" s="10"/>
      <c r="G691" s="10"/>
      <c r="H691" s="5"/>
      <c r="I691" s="5"/>
      <c r="J691" s="5"/>
      <c r="K691" s="5"/>
      <c r="L691" s="5"/>
      <c r="M691" s="5"/>
      <c r="N691" s="5"/>
      <c r="O691" s="5"/>
      <c r="P691" s="5"/>
    </row>
    <row r="692" spans="1:16" x14ac:dyDescent="0.25">
      <c r="A692" s="10"/>
      <c r="B692" s="10"/>
      <c r="C692" s="10"/>
      <c r="D692" s="12"/>
      <c r="E692" s="10"/>
      <c r="F692" s="10"/>
      <c r="G692" s="10"/>
      <c r="H692" s="5"/>
      <c r="I692" s="5"/>
      <c r="J692" s="5"/>
      <c r="K692" s="5"/>
      <c r="L692" s="5"/>
      <c r="M692" s="5"/>
      <c r="N692" s="5"/>
      <c r="O692" s="5"/>
      <c r="P692" s="5"/>
    </row>
    <row r="693" spans="1:16" x14ac:dyDescent="0.25">
      <c r="A693" s="10"/>
      <c r="B693" s="10"/>
      <c r="C693" s="10"/>
      <c r="D693" s="12"/>
      <c r="E693" s="10"/>
      <c r="F693" s="10"/>
      <c r="G693" s="10"/>
      <c r="H693" s="5"/>
      <c r="I693" s="5"/>
      <c r="J693" s="5"/>
      <c r="K693" s="5"/>
      <c r="L693" s="5"/>
      <c r="M693" s="5"/>
      <c r="N693" s="5"/>
      <c r="O693" s="5"/>
      <c r="P693" s="5"/>
    </row>
    <row r="694" spans="1:16" x14ac:dyDescent="0.25">
      <c r="A694" s="10"/>
      <c r="B694" s="10"/>
      <c r="C694" s="10"/>
      <c r="D694" s="12"/>
      <c r="E694" s="10"/>
      <c r="F694" s="10"/>
      <c r="G694" s="10"/>
      <c r="H694" s="5"/>
      <c r="I694" s="5"/>
      <c r="J694" s="5"/>
      <c r="K694" s="5"/>
      <c r="L694" s="5"/>
      <c r="M694" s="5"/>
      <c r="N694" s="5"/>
      <c r="O694" s="5"/>
      <c r="P694" s="5"/>
    </row>
    <row r="695" spans="1:16" x14ac:dyDescent="0.25">
      <c r="A695" s="10"/>
      <c r="B695" s="10"/>
      <c r="C695" s="10"/>
      <c r="D695" s="12"/>
      <c r="E695" s="10"/>
      <c r="F695" s="10"/>
      <c r="G695" s="10"/>
      <c r="H695" s="5"/>
      <c r="I695" s="5"/>
      <c r="J695" s="5"/>
      <c r="K695" s="5"/>
      <c r="L695" s="5"/>
      <c r="M695" s="5"/>
      <c r="N695" s="5"/>
      <c r="O695" s="5"/>
      <c r="P695" s="5"/>
    </row>
    <row r="696" spans="1:16" x14ac:dyDescent="0.25">
      <c r="A696" s="10"/>
      <c r="B696" s="10"/>
      <c r="C696" s="10"/>
      <c r="D696" s="12"/>
      <c r="E696" s="10"/>
      <c r="F696" s="10"/>
      <c r="G696" s="10"/>
      <c r="H696" s="5"/>
      <c r="I696" s="5"/>
      <c r="J696" s="5"/>
      <c r="K696" s="5"/>
      <c r="L696" s="5"/>
      <c r="M696" s="5"/>
      <c r="N696" s="5"/>
      <c r="O696" s="5"/>
      <c r="P696" s="5"/>
    </row>
    <row r="697" spans="1:16" x14ac:dyDescent="0.25">
      <c r="A697" s="10"/>
      <c r="B697" s="10"/>
      <c r="C697" s="10"/>
      <c r="D697" s="12"/>
      <c r="E697" s="10"/>
      <c r="F697" s="10"/>
      <c r="G697" s="10"/>
      <c r="H697" s="5"/>
      <c r="I697" s="5"/>
      <c r="J697" s="5"/>
      <c r="K697" s="5"/>
      <c r="L697" s="5"/>
      <c r="M697" s="5"/>
      <c r="N697" s="5"/>
      <c r="O697" s="5"/>
      <c r="P697" s="5"/>
    </row>
    <row r="698" spans="1:16" x14ac:dyDescent="0.25">
      <c r="A698" s="10"/>
      <c r="B698" s="10"/>
      <c r="C698" s="10"/>
      <c r="D698" s="12"/>
      <c r="E698" s="10"/>
      <c r="F698" s="10"/>
      <c r="G698" s="10"/>
      <c r="H698" s="5"/>
      <c r="I698" s="5"/>
      <c r="J698" s="5"/>
      <c r="K698" s="5"/>
      <c r="L698" s="5"/>
      <c r="M698" s="5"/>
      <c r="N698" s="5"/>
      <c r="O698" s="5"/>
      <c r="P698" s="5"/>
    </row>
    <row r="699" spans="1:16" x14ac:dyDescent="0.25">
      <c r="A699" s="10"/>
      <c r="B699" s="10"/>
      <c r="C699" s="10"/>
      <c r="D699" s="12"/>
      <c r="E699" s="10"/>
      <c r="F699" s="10"/>
      <c r="G699" s="10"/>
      <c r="H699" s="5"/>
      <c r="I699" s="5"/>
      <c r="J699" s="5"/>
      <c r="K699" s="5"/>
      <c r="L699" s="5"/>
      <c r="M699" s="5"/>
      <c r="N699" s="5"/>
      <c r="O699" s="5"/>
      <c r="P699" s="5"/>
    </row>
    <row r="700" spans="1:16" x14ac:dyDescent="0.25">
      <c r="A700" s="10"/>
      <c r="B700" s="10"/>
      <c r="C700" s="10"/>
      <c r="D700" s="12"/>
      <c r="E700" s="10"/>
      <c r="F700" s="10"/>
      <c r="G700" s="10"/>
      <c r="H700" s="5"/>
      <c r="I700" s="5"/>
      <c r="J700" s="5"/>
      <c r="K700" s="5"/>
      <c r="L700" s="5"/>
      <c r="M700" s="5"/>
      <c r="N700" s="5"/>
      <c r="O700" s="5"/>
      <c r="P700" s="5"/>
    </row>
    <row r="701" spans="1:16" x14ac:dyDescent="0.25">
      <c r="A701" s="10"/>
      <c r="B701" s="10"/>
      <c r="C701" s="10"/>
      <c r="D701" s="12"/>
      <c r="E701" s="10"/>
      <c r="F701" s="10"/>
      <c r="G701" s="10"/>
      <c r="H701" s="5"/>
      <c r="I701" s="5"/>
      <c r="J701" s="5"/>
      <c r="K701" s="5"/>
      <c r="L701" s="5"/>
      <c r="M701" s="5"/>
      <c r="N701" s="5"/>
      <c r="O701" s="5"/>
      <c r="P701" s="5"/>
    </row>
    <row r="702" spans="1:16" x14ac:dyDescent="0.25">
      <c r="A702" s="10"/>
      <c r="B702" s="10"/>
      <c r="C702" s="10"/>
      <c r="D702" s="12"/>
      <c r="E702" s="10"/>
      <c r="F702" s="10"/>
      <c r="G702" s="10"/>
      <c r="H702" s="5"/>
      <c r="I702" s="5"/>
      <c r="J702" s="5"/>
      <c r="K702" s="5"/>
      <c r="L702" s="5"/>
      <c r="M702" s="5"/>
      <c r="N702" s="5"/>
      <c r="O702" s="5"/>
      <c r="P702" s="5"/>
    </row>
    <row r="703" spans="1:16" x14ac:dyDescent="0.25">
      <c r="A703" s="10"/>
      <c r="B703" s="10"/>
      <c r="C703" s="10"/>
      <c r="D703" s="12"/>
      <c r="E703" s="10"/>
      <c r="F703" s="10"/>
      <c r="G703" s="10"/>
      <c r="H703" s="5"/>
      <c r="I703" s="5"/>
      <c r="J703" s="5"/>
      <c r="K703" s="5"/>
      <c r="L703" s="5"/>
      <c r="M703" s="5"/>
      <c r="N703" s="5"/>
      <c r="O703" s="5"/>
      <c r="P703" s="5"/>
    </row>
    <row r="704" spans="1:16" x14ac:dyDescent="0.25">
      <c r="A704" s="10"/>
      <c r="B704" s="10"/>
      <c r="C704" s="10"/>
      <c r="D704" s="12"/>
      <c r="E704" s="10"/>
      <c r="F704" s="10"/>
      <c r="G704" s="10"/>
      <c r="H704" s="5"/>
      <c r="I704" s="5"/>
      <c r="J704" s="5"/>
      <c r="K704" s="5"/>
      <c r="L704" s="5"/>
      <c r="M704" s="5"/>
      <c r="N704" s="5"/>
      <c r="O704" s="5"/>
      <c r="P704" s="5"/>
    </row>
    <row r="705" spans="1:16" x14ac:dyDescent="0.25">
      <c r="A705" s="10"/>
      <c r="B705" s="10"/>
      <c r="C705" s="10"/>
      <c r="D705" s="12"/>
      <c r="E705" s="10"/>
      <c r="F705" s="10"/>
      <c r="G705" s="10"/>
      <c r="H705" s="5"/>
      <c r="I705" s="5"/>
      <c r="J705" s="5"/>
      <c r="K705" s="5"/>
      <c r="L705" s="5"/>
      <c r="M705" s="5"/>
      <c r="N705" s="5"/>
      <c r="O705" s="5"/>
      <c r="P705" s="5"/>
    </row>
    <row r="706" spans="1:16" x14ac:dyDescent="0.25">
      <c r="A706" s="10"/>
      <c r="B706" s="10"/>
      <c r="C706" s="10"/>
      <c r="D706" s="12"/>
      <c r="E706" s="10"/>
      <c r="F706" s="10"/>
      <c r="G706" s="10"/>
      <c r="H706" s="5"/>
      <c r="I706" s="5"/>
      <c r="J706" s="5"/>
      <c r="K706" s="5"/>
      <c r="L706" s="5"/>
      <c r="M706" s="5"/>
      <c r="N706" s="5"/>
      <c r="O706" s="5"/>
      <c r="P706" s="5"/>
    </row>
    <row r="707" spans="1:16" x14ac:dyDescent="0.25">
      <c r="A707" s="10"/>
      <c r="B707" s="10"/>
      <c r="C707" s="10"/>
      <c r="D707" s="12"/>
      <c r="E707" s="10"/>
      <c r="F707" s="10"/>
      <c r="G707" s="10"/>
      <c r="H707" s="5"/>
      <c r="I707" s="5"/>
      <c r="J707" s="5"/>
      <c r="K707" s="5"/>
      <c r="L707" s="5"/>
      <c r="M707" s="5"/>
      <c r="N707" s="5"/>
      <c r="O707" s="5"/>
      <c r="P707" s="5"/>
    </row>
    <row r="708" spans="1:16" x14ac:dyDescent="0.25">
      <c r="A708" s="10"/>
      <c r="B708" s="10"/>
      <c r="C708" s="10"/>
      <c r="D708" s="12"/>
      <c r="E708" s="10"/>
      <c r="F708" s="10"/>
      <c r="G708" s="10"/>
      <c r="H708" s="5"/>
      <c r="I708" s="5"/>
      <c r="J708" s="5"/>
      <c r="K708" s="5"/>
      <c r="L708" s="5"/>
      <c r="M708" s="5"/>
      <c r="N708" s="5"/>
      <c r="O708" s="5"/>
      <c r="P708" s="5"/>
    </row>
    <row r="709" spans="1:16" x14ac:dyDescent="0.25">
      <c r="A709" s="10"/>
      <c r="B709" s="10"/>
      <c r="C709" s="10"/>
      <c r="D709" s="12"/>
      <c r="E709" s="10"/>
      <c r="F709" s="10"/>
      <c r="G709" s="10"/>
      <c r="H709" s="5"/>
      <c r="I709" s="5"/>
      <c r="J709" s="5"/>
      <c r="K709" s="5"/>
      <c r="L709" s="5"/>
      <c r="M709" s="5"/>
      <c r="N709" s="5"/>
      <c r="O709" s="5"/>
      <c r="P709" s="5"/>
    </row>
    <row r="710" spans="1:16" x14ac:dyDescent="0.25">
      <c r="A710" s="10"/>
      <c r="B710" s="10"/>
      <c r="C710" s="10"/>
      <c r="D710" s="12"/>
      <c r="E710" s="10"/>
      <c r="F710" s="10"/>
      <c r="G710" s="10"/>
      <c r="H710" s="5"/>
      <c r="I710" s="5"/>
      <c r="J710" s="5"/>
      <c r="K710" s="5"/>
      <c r="L710" s="5"/>
      <c r="M710" s="5"/>
      <c r="N710" s="5"/>
      <c r="O710" s="5"/>
      <c r="P710" s="5"/>
    </row>
    <row r="711" spans="1:16" x14ac:dyDescent="0.25">
      <c r="A711" s="10"/>
      <c r="B711" s="10"/>
      <c r="C711" s="10"/>
      <c r="D711" s="12"/>
      <c r="E711" s="10"/>
      <c r="F711" s="10"/>
      <c r="G711" s="10"/>
      <c r="H711" s="5"/>
      <c r="I711" s="5"/>
      <c r="J711" s="5"/>
      <c r="K711" s="5"/>
      <c r="L711" s="5"/>
      <c r="M711" s="5"/>
      <c r="N711" s="5"/>
      <c r="O711" s="5"/>
      <c r="P711" s="5"/>
    </row>
    <row r="712" spans="1:16" x14ac:dyDescent="0.25">
      <c r="A712" s="10"/>
      <c r="B712" s="10"/>
      <c r="C712" s="10"/>
      <c r="D712" s="12"/>
      <c r="E712" s="10"/>
      <c r="F712" s="10"/>
      <c r="G712" s="10"/>
      <c r="H712" s="5"/>
      <c r="I712" s="5"/>
      <c r="J712" s="5"/>
      <c r="K712" s="5"/>
      <c r="L712" s="5"/>
      <c r="M712" s="5"/>
      <c r="N712" s="5"/>
      <c r="O712" s="5"/>
      <c r="P712" s="5"/>
    </row>
    <row r="713" spans="1:16" x14ac:dyDescent="0.25">
      <c r="A713" s="10"/>
      <c r="B713" s="10"/>
      <c r="C713" s="10"/>
      <c r="D713" s="12"/>
      <c r="E713" s="10"/>
      <c r="F713" s="10"/>
      <c r="G713" s="10"/>
      <c r="H713" s="5"/>
      <c r="I713" s="5"/>
      <c r="J713" s="5"/>
      <c r="K713" s="5"/>
      <c r="L713" s="5"/>
      <c r="M713" s="5"/>
      <c r="N713" s="5"/>
      <c r="O713" s="5"/>
      <c r="P713" s="5"/>
    </row>
    <row r="714" spans="1:16" x14ac:dyDescent="0.25">
      <c r="A714" s="10"/>
      <c r="B714" s="10"/>
      <c r="C714" s="10"/>
      <c r="D714" s="12"/>
      <c r="E714" s="10"/>
      <c r="F714" s="10"/>
      <c r="G714" s="10"/>
      <c r="H714" s="5"/>
      <c r="I714" s="5"/>
      <c r="J714" s="5"/>
      <c r="K714" s="5"/>
      <c r="L714" s="5"/>
      <c r="M714" s="5"/>
      <c r="N714" s="5"/>
      <c r="O714" s="5"/>
      <c r="P714" s="5"/>
    </row>
    <row r="715" spans="1:16" x14ac:dyDescent="0.25">
      <c r="A715" s="10"/>
      <c r="B715" s="10"/>
      <c r="C715" s="10"/>
      <c r="D715" s="12"/>
      <c r="E715" s="10"/>
      <c r="F715" s="10"/>
      <c r="G715" s="10"/>
      <c r="H715" s="5"/>
      <c r="I715" s="5"/>
      <c r="J715" s="5"/>
      <c r="K715" s="5"/>
      <c r="L715" s="5"/>
      <c r="M715" s="5"/>
      <c r="N715" s="5"/>
      <c r="O715" s="5"/>
      <c r="P715" s="5"/>
    </row>
    <row r="716" spans="1:16" x14ac:dyDescent="0.25">
      <c r="A716" s="10"/>
      <c r="B716" s="10"/>
      <c r="C716" s="10"/>
      <c r="D716" s="12"/>
      <c r="E716" s="10"/>
      <c r="F716" s="10"/>
      <c r="G716" s="10"/>
      <c r="H716" s="5"/>
      <c r="I716" s="5"/>
      <c r="J716" s="5"/>
      <c r="K716" s="5"/>
      <c r="L716" s="5"/>
      <c r="M716" s="5"/>
      <c r="N716" s="5"/>
      <c r="O716" s="5"/>
      <c r="P716" s="5"/>
    </row>
    <row r="717" spans="1:16" x14ac:dyDescent="0.25">
      <c r="A717" s="10"/>
      <c r="B717" s="10"/>
      <c r="C717" s="10"/>
      <c r="D717" s="12"/>
      <c r="E717" s="10"/>
      <c r="F717" s="10"/>
      <c r="G717" s="10"/>
      <c r="H717" s="5"/>
      <c r="I717" s="5"/>
      <c r="J717" s="5"/>
      <c r="K717" s="5"/>
      <c r="L717" s="5"/>
      <c r="M717" s="5"/>
      <c r="N717" s="5"/>
      <c r="O717" s="5"/>
      <c r="P717" s="5"/>
    </row>
    <row r="718" spans="1:16" x14ac:dyDescent="0.25">
      <c r="A718" s="10"/>
      <c r="B718" s="10"/>
      <c r="C718" s="10"/>
      <c r="D718" s="12"/>
      <c r="E718" s="10"/>
      <c r="F718" s="10"/>
      <c r="G718" s="10"/>
      <c r="H718" s="5"/>
      <c r="I718" s="5"/>
      <c r="J718" s="5"/>
      <c r="K718" s="5"/>
      <c r="L718" s="5"/>
      <c r="M718" s="5"/>
      <c r="N718" s="5"/>
      <c r="O718" s="5"/>
      <c r="P718" s="5"/>
    </row>
    <row r="719" spans="1:16" x14ac:dyDescent="0.25">
      <c r="A719" s="10"/>
      <c r="B719" s="10"/>
      <c r="C719" s="10"/>
      <c r="D719" s="12"/>
      <c r="E719" s="10"/>
      <c r="F719" s="10"/>
      <c r="G719" s="10"/>
      <c r="H719" s="5"/>
      <c r="I719" s="5"/>
      <c r="J719" s="5"/>
      <c r="K719" s="5"/>
      <c r="L719" s="5"/>
      <c r="M719" s="5"/>
      <c r="N719" s="5"/>
      <c r="O719" s="5"/>
      <c r="P719" s="5"/>
    </row>
    <row r="720" spans="1:16" x14ac:dyDescent="0.25">
      <c r="A720" s="10"/>
      <c r="B720" s="10"/>
      <c r="C720" s="10"/>
      <c r="D720" s="12"/>
      <c r="E720" s="10"/>
      <c r="F720" s="10"/>
      <c r="G720" s="10"/>
      <c r="H720" s="5"/>
      <c r="I720" s="5"/>
      <c r="J720" s="5"/>
      <c r="K720" s="5"/>
      <c r="L720" s="5"/>
      <c r="M720" s="5"/>
      <c r="N720" s="5"/>
      <c r="O720" s="5"/>
      <c r="P720" s="5"/>
    </row>
    <row r="721" spans="1:16" x14ac:dyDescent="0.25">
      <c r="A721" s="10"/>
      <c r="B721" s="10"/>
      <c r="C721" s="10"/>
      <c r="D721" s="12"/>
      <c r="E721" s="10"/>
      <c r="F721" s="10"/>
      <c r="G721" s="10"/>
      <c r="H721" s="5"/>
      <c r="I721" s="5"/>
      <c r="J721" s="5"/>
      <c r="K721" s="5"/>
      <c r="L721" s="5"/>
      <c r="M721" s="5"/>
      <c r="N721" s="5"/>
      <c r="O721" s="5"/>
      <c r="P721" s="5"/>
    </row>
    <row r="722" spans="1:16" x14ac:dyDescent="0.25">
      <c r="A722" s="10"/>
      <c r="B722" s="10"/>
      <c r="C722" s="10"/>
      <c r="D722" s="12"/>
      <c r="E722" s="10"/>
      <c r="F722" s="10"/>
      <c r="G722" s="10"/>
      <c r="H722" s="5"/>
      <c r="I722" s="5"/>
      <c r="J722" s="5"/>
      <c r="K722" s="5"/>
      <c r="L722" s="5"/>
      <c r="M722" s="5"/>
      <c r="N722" s="5"/>
      <c r="O722" s="5"/>
      <c r="P722" s="5"/>
    </row>
    <row r="723" spans="1:16" x14ac:dyDescent="0.25">
      <c r="A723" s="10"/>
      <c r="B723" s="10"/>
      <c r="C723" s="10"/>
      <c r="D723" s="12"/>
      <c r="E723" s="10"/>
      <c r="F723" s="10"/>
      <c r="G723" s="10"/>
      <c r="H723" s="5"/>
      <c r="I723" s="5"/>
      <c r="J723" s="5"/>
      <c r="K723" s="5"/>
      <c r="L723" s="5"/>
      <c r="M723" s="5"/>
      <c r="N723" s="5"/>
      <c r="O723" s="5"/>
      <c r="P723" s="5"/>
    </row>
    <row r="724" spans="1:16" x14ac:dyDescent="0.25">
      <c r="A724" s="10"/>
      <c r="B724" s="10"/>
      <c r="C724" s="10"/>
      <c r="D724" s="12"/>
      <c r="E724" s="10"/>
      <c r="F724" s="10"/>
      <c r="G724" s="10"/>
      <c r="H724" s="5"/>
      <c r="I724" s="5"/>
      <c r="J724" s="5"/>
      <c r="K724" s="5"/>
      <c r="L724" s="5"/>
      <c r="M724" s="5"/>
      <c r="N724" s="5"/>
      <c r="O724" s="5"/>
      <c r="P724" s="5"/>
    </row>
    <row r="725" spans="1:16" x14ac:dyDescent="0.25">
      <c r="A725" s="10"/>
      <c r="B725" s="10"/>
      <c r="C725" s="10"/>
      <c r="D725" s="12"/>
      <c r="E725" s="10"/>
      <c r="F725" s="10"/>
      <c r="G725" s="10"/>
      <c r="H725" s="5"/>
      <c r="I725" s="5"/>
      <c r="J725" s="5"/>
      <c r="K725" s="5"/>
      <c r="L725" s="5"/>
      <c r="M725" s="5"/>
      <c r="N725" s="5"/>
      <c r="O725" s="5"/>
      <c r="P725" s="5"/>
    </row>
    <row r="726" spans="1:16" x14ac:dyDescent="0.25">
      <c r="A726" s="10"/>
      <c r="B726" s="10"/>
      <c r="C726" s="10"/>
      <c r="D726" s="12"/>
      <c r="E726" s="10"/>
      <c r="F726" s="10"/>
      <c r="G726" s="10"/>
      <c r="H726" s="5"/>
      <c r="I726" s="5"/>
      <c r="J726" s="5"/>
      <c r="K726" s="5"/>
      <c r="L726" s="5"/>
      <c r="M726" s="5"/>
      <c r="N726" s="5"/>
      <c r="O726" s="5"/>
      <c r="P726" s="5"/>
    </row>
    <row r="727" spans="1:16" x14ac:dyDescent="0.25">
      <c r="A727" s="10"/>
      <c r="B727" s="10"/>
      <c r="C727" s="10"/>
      <c r="D727" s="12"/>
      <c r="E727" s="10"/>
      <c r="F727" s="10"/>
      <c r="G727" s="10"/>
      <c r="H727" s="5"/>
      <c r="I727" s="5"/>
      <c r="J727" s="5"/>
      <c r="K727" s="5"/>
      <c r="L727" s="5"/>
      <c r="M727" s="5"/>
      <c r="N727" s="5"/>
      <c r="O727" s="5"/>
      <c r="P727" s="5"/>
    </row>
    <row r="728" spans="1:16" x14ac:dyDescent="0.25">
      <c r="A728" s="10"/>
      <c r="B728" s="10"/>
      <c r="C728" s="10"/>
      <c r="D728" s="12"/>
      <c r="E728" s="10"/>
      <c r="F728" s="10"/>
      <c r="G728" s="10"/>
      <c r="H728" s="5"/>
      <c r="I728" s="5"/>
      <c r="J728" s="5"/>
      <c r="K728" s="5"/>
      <c r="L728" s="5"/>
      <c r="M728" s="5"/>
      <c r="N728" s="5"/>
      <c r="O728" s="5"/>
      <c r="P728" s="5"/>
    </row>
    <row r="729" spans="1:16" x14ac:dyDescent="0.25">
      <c r="A729" s="10"/>
      <c r="B729" s="10"/>
      <c r="C729" s="10"/>
      <c r="D729" s="12"/>
      <c r="E729" s="10"/>
      <c r="F729" s="10"/>
      <c r="G729" s="10"/>
      <c r="H729" s="5"/>
      <c r="I729" s="5"/>
      <c r="J729" s="5"/>
      <c r="K729" s="5"/>
      <c r="L729" s="5"/>
      <c r="M729" s="5"/>
      <c r="N729" s="5"/>
      <c r="O729" s="5"/>
      <c r="P729" s="5"/>
    </row>
    <row r="730" spans="1:16" x14ac:dyDescent="0.25">
      <c r="A730" s="10"/>
      <c r="B730" s="10"/>
      <c r="C730" s="10"/>
      <c r="D730" s="12"/>
      <c r="E730" s="10"/>
      <c r="F730" s="10"/>
      <c r="G730" s="10"/>
      <c r="H730" s="5"/>
      <c r="I730" s="5"/>
      <c r="J730" s="5"/>
      <c r="K730" s="5"/>
      <c r="L730" s="5"/>
      <c r="M730" s="5"/>
      <c r="N730" s="5"/>
      <c r="O730" s="5"/>
      <c r="P730" s="5"/>
    </row>
    <row r="731" spans="1:16" x14ac:dyDescent="0.25">
      <c r="A731" s="10"/>
      <c r="B731" s="10"/>
      <c r="C731" s="10"/>
      <c r="D731" s="12"/>
      <c r="E731" s="10"/>
      <c r="F731" s="10"/>
      <c r="G731" s="10"/>
      <c r="H731" s="5"/>
      <c r="I731" s="5"/>
      <c r="J731" s="5"/>
      <c r="K731" s="5"/>
      <c r="L731" s="5"/>
      <c r="M731" s="5"/>
      <c r="N731" s="5"/>
      <c r="O731" s="5"/>
      <c r="P731" s="5"/>
    </row>
    <row r="732" spans="1:16" x14ac:dyDescent="0.25">
      <c r="A732" s="10"/>
      <c r="B732" s="10"/>
      <c r="C732" s="10"/>
      <c r="D732" s="12"/>
      <c r="E732" s="10"/>
      <c r="F732" s="10"/>
      <c r="G732" s="10"/>
      <c r="H732" s="5"/>
      <c r="I732" s="5"/>
      <c r="J732" s="5"/>
      <c r="K732" s="5"/>
      <c r="L732" s="5"/>
      <c r="M732" s="5"/>
      <c r="N732" s="5"/>
      <c r="O732" s="5"/>
      <c r="P732" s="5"/>
    </row>
    <row r="733" spans="1:16" x14ac:dyDescent="0.25">
      <c r="A733" s="10"/>
      <c r="B733" s="10"/>
      <c r="C733" s="10"/>
      <c r="D733" s="12"/>
      <c r="E733" s="10"/>
      <c r="F733" s="10"/>
      <c r="G733" s="10"/>
      <c r="H733" s="5"/>
      <c r="I733" s="5"/>
      <c r="J733" s="5"/>
      <c r="K733" s="5"/>
      <c r="L733" s="5"/>
      <c r="M733" s="5"/>
      <c r="N733" s="5"/>
      <c r="O733" s="5"/>
      <c r="P733" s="5"/>
    </row>
    <row r="734" spans="1:16" x14ac:dyDescent="0.25">
      <c r="A734" s="10"/>
      <c r="B734" s="10"/>
      <c r="C734" s="10"/>
      <c r="D734" s="12"/>
      <c r="E734" s="10"/>
      <c r="F734" s="10"/>
      <c r="G734" s="10"/>
      <c r="H734" s="5"/>
      <c r="I734" s="5"/>
      <c r="J734" s="5"/>
      <c r="K734" s="5"/>
      <c r="L734" s="5"/>
      <c r="M734" s="5"/>
      <c r="N734" s="5"/>
      <c r="O734" s="5"/>
      <c r="P734" s="5"/>
    </row>
    <row r="735" spans="1:16" x14ac:dyDescent="0.25">
      <c r="A735" s="10"/>
      <c r="B735" s="10"/>
      <c r="C735" s="10"/>
      <c r="D735" s="12"/>
      <c r="E735" s="10"/>
      <c r="F735" s="10"/>
      <c r="G735" s="10"/>
      <c r="H735" s="5"/>
      <c r="I735" s="5"/>
      <c r="J735" s="5"/>
      <c r="K735" s="5"/>
      <c r="L735" s="5"/>
      <c r="M735" s="5"/>
      <c r="N735" s="5"/>
      <c r="O735" s="5"/>
      <c r="P735" s="5"/>
    </row>
    <row r="736" spans="1:16" x14ac:dyDescent="0.25">
      <c r="A736" s="10"/>
      <c r="B736" s="10"/>
      <c r="C736" s="10"/>
      <c r="D736" s="12"/>
      <c r="E736" s="10"/>
      <c r="F736" s="10"/>
      <c r="G736" s="10"/>
      <c r="H736" s="5"/>
      <c r="I736" s="5"/>
      <c r="J736" s="5"/>
      <c r="K736" s="5"/>
      <c r="L736" s="5"/>
      <c r="M736" s="5"/>
      <c r="N736" s="5"/>
      <c r="O736" s="5"/>
      <c r="P736" s="5"/>
    </row>
    <row r="737" spans="1:16" x14ac:dyDescent="0.25">
      <c r="A737" s="10"/>
      <c r="B737" s="10"/>
      <c r="C737" s="10"/>
      <c r="D737" s="12"/>
      <c r="E737" s="10"/>
      <c r="F737" s="10"/>
      <c r="G737" s="10"/>
      <c r="H737" s="5"/>
      <c r="I737" s="5"/>
      <c r="J737" s="5"/>
      <c r="K737" s="5"/>
      <c r="L737" s="5"/>
      <c r="M737" s="5"/>
      <c r="N737" s="5"/>
      <c r="O737" s="5"/>
      <c r="P737" s="5"/>
    </row>
    <row r="738" spans="1:16" x14ac:dyDescent="0.25">
      <c r="A738" s="10"/>
      <c r="B738" s="10"/>
      <c r="C738" s="10"/>
      <c r="D738" s="12"/>
      <c r="E738" s="10"/>
      <c r="F738" s="10"/>
      <c r="G738" s="10"/>
      <c r="H738" s="5"/>
      <c r="I738" s="5"/>
      <c r="J738" s="5"/>
      <c r="K738" s="5"/>
      <c r="L738" s="5"/>
      <c r="M738" s="5"/>
      <c r="N738" s="5"/>
      <c r="O738" s="5"/>
      <c r="P738" s="5"/>
    </row>
    <row r="739" spans="1:16" x14ac:dyDescent="0.25">
      <c r="A739" s="10"/>
      <c r="B739" s="10"/>
      <c r="C739" s="10"/>
      <c r="D739" s="12"/>
      <c r="E739" s="10"/>
      <c r="F739" s="10"/>
      <c r="G739" s="10"/>
      <c r="H739" s="5"/>
      <c r="I739" s="5"/>
      <c r="J739" s="5"/>
      <c r="K739" s="5"/>
      <c r="L739" s="5"/>
      <c r="M739" s="5"/>
      <c r="N739" s="5"/>
      <c r="O739" s="5"/>
      <c r="P739" s="5"/>
    </row>
    <row r="740" spans="1:16" x14ac:dyDescent="0.25">
      <c r="A740" s="10"/>
      <c r="B740" s="10"/>
      <c r="C740" s="10"/>
      <c r="D740" s="12"/>
      <c r="E740" s="10"/>
      <c r="F740" s="10"/>
      <c r="G740" s="10"/>
      <c r="H740" s="5"/>
      <c r="I740" s="5"/>
      <c r="J740" s="5"/>
      <c r="K740" s="5"/>
      <c r="L740" s="5"/>
      <c r="M740" s="5"/>
      <c r="N740" s="5"/>
      <c r="O740" s="5"/>
      <c r="P740" s="5"/>
    </row>
    <row r="741" spans="1:16" x14ac:dyDescent="0.25">
      <c r="A741" s="10"/>
      <c r="B741" s="10"/>
      <c r="C741" s="10"/>
      <c r="D741" s="12"/>
      <c r="E741" s="10"/>
      <c r="F741" s="10"/>
      <c r="G741" s="10"/>
      <c r="H741" s="5"/>
      <c r="I741" s="5"/>
      <c r="J741" s="5"/>
      <c r="K741" s="5"/>
      <c r="L741" s="5"/>
      <c r="M741" s="5"/>
      <c r="N741" s="5"/>
      <c r="O741" s="5"/>
      <c r="P741" s="5"/>
    </row>
    <row r="742" spans="1:16" x14ac:dyDescent="0.25">
      <c r="A742" s="10"/>
      <c r="B742" s="10"/>
      <c r="C742" s="10"/>
      <c r="D742" s="12"/>
      <c r="E742" s="10"/>
      <c r="F742" s="10"/>
      <c r="G742" s="10"/>
      <c r="H742" s="5"/>
      <c r="I742" s="5"/>
      <c r="J742" s="5"/>
      <c r="K742" s="5"/>
      <c r="L742" s="5"/>
      <c r="M742" s="5"/>
      <c r="N742" s="5"/>
      <c r="O742" s="5"/>
      <c r="P742" s="5"/>
    </row>
    <row r="743" spans="1:16" x14ac:dyDescent="0.25">
      <c r="A743" s="10"/>
      <c r="B743" s="10"/>
      <c r="C743" s="10"/>
      <c r="D743" s="12"/>
      <c r="E743" s="10"/>
      <c r="F743" s="10"/>
      <c r="G743" s="10"/>
      <c r="H743" s="5"/>
      <c r="I743" s="5"/>
      <c r="J743" s="5"/>
      <c r="K743" s="5"/>
      <c r="L743" s="5"/>
      <c r="M743" s="5"/>
      <c r="N743" s="5"/>
      <c r="O743" s="5"/>
      <c r="P743" s="5"/>
    </row>
    <row r="744" spans="1:16" x14ac:dyDescent="0.25">
      <c r="A744" s="10"/>
      <c r="B744" s="10"/>
      <c r="C744" s="10"/>
      <c r="D744" s="12"/>
      <c r="E744" s="10"/>
      <c r="F744" s="10"/>
      <c r="G744" s="10"/>
      <c r="H744" s="5"/>
      <c r="I744" s="5"/>
      <c r="J744" s="5"/>
      <c r="K744" s="5"/>
      <c r="L744" s="5"/>
      <c r="M744" s="5"/>
      <c r="N744" s="5"/>
      <c r="O744" s="5"/>
      <c r="P744" s="5"/>
    </row>
    <row r="745" spans="1:16" x14ac:dyDescent="0.25">
      <c r="A745" s="10"/>
      <c r="B745" s="10"/>
      <c r="C745" s="10"/>
      <c r="D745" s="12"/>
      <c r="E745" s="10"/>
      <c r="F745" s="10"/>
      <c r="G745" s="10"/>
      <c r="H745" s="5"/>
      <c r="I745" s="5"/>
      <c r="J745" s="5"/>
      <c r="K745" s="5"/>
      <c r="L745" s="5"/>
      <c r="M745" s="5"/>
      <c r="N745" s="5"/>
      <c r="O745" s="5"/>
      <c r="P745" s="5"/>
    </row>
    <row r="746" spans="1:16" x14ac:dyDescent="0.25">
      <c r="A746" s="10"/>
      <c r="B746" s="10"/>
      <c r="C746" s="10"/>
      <c r="D746" s="12"/>
      <c r="E746" s="10"/>
      <c r="F746" s="10"/>
      <c r="G746" s="10"/>
      <c r="H746" s="5"/>
      <c r="I746" s="5"/>
      <c r="J746" s="5"/>
      <c r="K746" s="5"/>
      <c r="L746" s="5"/>
      <c r="M746" s="5"/>
      <c r="N746" s="5"/>
      <c r="O746" s="5"/>
      <c r="P746" s="5"/>
    </row>
    <row r="747" spans="1:16" x14ac:dyDescent="0.25">
      <c r="A747" s="10"/>
      <c r="B747" s="10"/>
      <c r="C747" s="10"/>
      <c r="D747" s="12"/>
      <c r="E747" s="10"/>
      <c r="F747" s="10"/>
      <c r="G747" s="10"/>
      <c r="H747" s="5"/>
      <c r="I747" s="5"/>
      <c r="J747" s="5"/>
      <c r="K747" s="5"/>
      <c r="L747" s="5"/>
      <c r="M747" s="5"/>
      <c r="N747" s="5"/>
      <c r="O747" s="5"/>
      <c r="P747" s="5"/>
    </row>
    <row r="748" spans="1:16" x14ac:dyDescent="0.25">
      <c r="A748" s="10"/>
      <c r="B748" s="10"/>
      <c r="C748" s="10"/>
      <c r="D748" s="12"/>
      <c r="E748" s="10"/>
      <c r="F748" s="10"/>
      <c r="G748" s="10"/>
      <c r="H748" s="5"/>
      <c r="I748" s="5"/>
      <c r="J748" s="5"/>
      <c r="K748" s="5"/>
      <c r="L748" s="5"/>
      <c r="M748" s="5"/>
      <c r="N748" s="5"/>
      <c r="O748" s="5"/>
      <c r="P748" s="5"/>
    </row>
    <row r="749" spans="1:16" x14ac:dyDescent="0.25">
      <c r="A749" s="10"/>
      <c r="B749" s="10"/>
      <c r="C749" s="10"/>
      <c r="D749" s="12"/>
      <c r="E749" s="10"/>
      <c r="F749" s="10"/>
      <c r="G749" s="10"/>
      <c r="H749" s="5"/>
      <c r="I749" s="5"/>
      <c r="J749" s="5"/>
      <c r="K749" s="5"/>
      <c r="L749" s="5"/>
      <c r="M749" s="5"/>
      <c r="N749" s="5"/>
      <c r="O749" s="5"/>
      <c r="P749" s="5"/>
    </row>
    <row r="750" spans="1:16" x14ac:dyDescent="0.25">
      <c r="A750" s="10"/>
      <c r="B750" s="10"/>
      <c r="C750" s="10"/>
      <c r="D750" s="12"/>
      <c r="E750" s="10"/>
      <c r="F750" s="10"/>
      <c r="G750" s="10"/>
      <c r="H750" s="5"/>
      <c r="I750" s="5"/>
      <c r="J750" s="5"/>
      <c r="K750" s="5"/>
      <c r="L750" s="5"/>
      <c r="M750" s="5"/>
      <c r="N750" s="5"/>
      <c r="O750" s="5"/>
      <c r="P750" s="5"/>
    </row>
    <row r="751" spans="1:16" x14ac:dyDescent="0.25">
      <c r="A751" s="10"/>
      <c r="B751" s="10"/>
      <c r="C751" s="10"/>
      <c r="D751" s="12"/>
      <c r="E751" s="10"/>
      <c r="F751" s="10"/>
      <c r="G751" s="10"/>
      <c r="H751" s="5"/>
      <c r="I751" s="5"/>
      <c r="J751" s="5"/>
      <c r="K751" s="5"/>
      <c r="L751" s="5"/>
      <c r="M751" s="5"/>
      <c r="N751" s="5"/>
      <c r="O751" s="5"/>
      <c r="P751" s="5"/>
    </row>
    <row r="752" spans="1:16" x14ac:dyDescent="0.25">
      <c r="A752" s="10"/>
      <c r="B752" s="10"/>
      <c r="C752" s="10"/>
      <c r="D752" s="12"/>
      <c r="E752" s="10"/>
      <c r="F752" s="10"/>
      <c r="G752" s="10"/>
      <c r="H752" s="5"/>
      <c r="I752" s="5"/>
      <c r="J752" s="5"/>
      <c r="K752" s="5"/>
      <c r="L752" s="5"/>
      <c r="M752" s="5"/>
      <c r="N752" s="5"/>
      <c r="O752" s="5"/>
      <c r="P752" s="5"/>
    </row>
    <row r="753" spans="1:16" x14ac:dyDescent="0.25">
      <c r="A753" s="10"/>
      <c r="B753" s="10"/>
      <c r="C753" s="10"/>
      <c r="D753" s="12"/>
      <c r="E753" s="10"/>
      <c r="F753" s="10"/>
      <c r="G753" s="10"/>
      <c r="H753" s="5"/>
      <c r="I753" s="5"/>
      <c r="J753" s="5"/>
      <c r="K753" s="5"/>
      <c r="L753" s="5"/>
      <c r="M753" s="5"/>
      <c r="N753" s="5"/>
      <c r="O753" s="5"/>
      <c r="P753" s="5"/>
    </row>
    <row r="754" spans="1:16" x14ac:dyDescent="0.25">
      <c r="A754" s="10"/>
      <c r="B754" s="10"/>
      <c r="C754" s="10"/>
      <c r="D754" s="12"/>
      <c r="E754" s="10"/>
      <c r="F754" s="10"/>
      <c r="G754" s="10"/>
      <c r="H754" s="5"/>
      <c r="I754" s="5"/>
      <c r="J754" s="5"/>
      <c r="K754" s="5"/>
      <c r="L754" s="5"/>
      <c r="M754" s="5"/>
      <c r="N754" s="5"/>
      <c r="O754" s="5"/>
      <c r="P754" s="5"/>
    </row>
    <row r="755" spans="1:16" x14ac:dyDescent="0.25">
      <c r="A755" s="10"/>
      <c r="B755" s="10"/>
      <c r="C755" s="10"/>
      <c r="D755" s="12"/>
      <c r="E755" s="10"/>
      <c r="F755" s="10"/>
      <c r="G755" s="10"/>
      <c r="H755" s="5"/>
      <c r="I755" s="5"/>
      <c r="J755" s="5"/>
      <c r="K755" s="5"/>
      <c r="L755" s="5"/>
      <c r="M755" s="5"/>
      <c r="N755" s="5"/>
      <c r="O755" s="5"/>
      <c r="P755" s="5"/>
    </row>
    <row r="756" spans="1:16" x14ac:dyDescent="0.25">
      <c r="A756" s="10"/>
      <c r="B756" s="10"/>
      <c r="C756" s="10"/>
      <c r="D756" s="12"/>
      <c r="E756" s="10"/>
      <c r="F756" s="10"/>
      <c r="G756" s="10"/>
      <c r="H756" s="5"/>
      <c r="I756" s="5"/>
      <c r="J756" s="5"/>
      <c r="K756" s="5"/>
      <c r="L756" s="5"/>
      <c r="M756" s="5"/>
      <c r="N756" s="5"/>
      <c r="O756" s="5"/>
      <c r="P756" s="5"/>
    </row>
    <row r="757" spans="1:16" x14ac:dyDescent="0.25">
      <c r="A757" s="10"/>
      <c r="B757" s="10"/>
      <c r="C757" s="10"/>
      <c r="D757" s="12"/>
      <c r="E757" s="10"/>
      <c r="F757" s="10"/>
      <c r="G757" s="10"/>
      <c r="H757" s="5"/>
      <c r="I757" s="5"/>
      <c r="J757" s="5"/>
      <c r="K757" s="5"/>
      <c r="L757" s="5"/>
      <c r="M757" s="5"/>
      <c r="N757" s="5"/>
      <c r="O757" s="5"/>
      <c r="P757" s="5"/>
    </row>
    <row r="758" spans="1:16" x14ac:dyDescent="0.25">
      <c r="A758" s="10"/>
      <c r="B758" s="10"/>
      <c r="C758" s="10"/>
      <c r="D758" s="12"/>
      <c r="E758" s="10"/>
      <c r="F758" s="10"/>
      <c r="G758" s="10"/>
      <c r="H758" s="5"/>
      <c r="I758" s="5"/>
      <c r="J758" s="5"/>
      <c r="K758" s="5"/>
      <c r="L758" s="5"/>
      <c r="M758" s="5"/>
      <c r="N758" s="5"/>
      <c r="O758" s="5"/>
      <c r="P758" s="5"/>
    </row>
    <row r="759" spans="1:16" x14ac:dyDescent="0.25">
      <c r="A759" s="10"/>
      <c r="B759" s="10"/>
      <c r="C759" s="10"/>
      <c r="D759" s="12"/>
      <c r="E759" s="10"/>
      <c r="F759" s="10"/>
      <c r="G759" s="10"/>
      <c r="H759" s="5"/>
      <c r="I759" s="5"/>
      <c r="J759" s="5"/>
      <c r="K759" s="5"/>
      <c r="L759" s="5"/>
      <c r="M759" s="5"/>
      <c r="N759" s="5"/>
      <c r="O759" s="5"/>
      <c r="P759" s="5"/>
    </row>
    <row r="760" spans="1:16" x14ac:dyDescent="0.25">
      <c r="A760" s="10"/>
      <c r="B760" s="10"/>
      <c r="C760" s="10"/>
      <c r="D760" s="12"/>
      <c r="E760" s="10"/>
      <c r="F760" s="10"/>
      <c r="G760" s="10"/>
      <c r="H760" s="5"/>
      <c r="I760" s="5"/>
      <c r="J760" s="5"/>
      <c r="K760" s="5"/>
      <c r="L760" s="5"/>
      <c r="M760" s="5"/>
      <c r="N760" s="5"/>
      <c r="O760" s="5"/>
      <c r="P760" s="5"/>
    </row>
    <row r="761" spans="1:16" x14ac:dyDescent="0.25">
      <c r="A761" s="10"/>
      <c r="B761" s="10"/>
      <c r="C761" s="10"/>
      <c r="D761" s="12"/>
      <c r="E761" s="10"/>
      <c r="F761" s="10"/>
      <c r="G761" s="10"/>
      <c r="H761" s="5"/>
      <c r="I761" s="5"/>
      <c r="J761" s="5"/>
      <c r="K761" s="5"/>
      <c r="L761" s="5"/>
      <c r="M761" s="5"/>
      <c r="N761" s="5"/>
      <c r="O761" s="5"/>
      <c r="P761" s="5"/>
    </row>
    <row r="762" spans="1:16" x14ac:dyDescent="0.25">
      <c r="A762" s="10"/>
      <c r="B762" s="10"/>
      <c r="C762" s="10"/>
      <c r="D762" s="12"/>
      <c r="E762" s="10"/>
      <c r="F762" s="10"/>
      <c r="G762" s="10"/>
      <c r="H762" s="5"/>
      <c r="I762" s="5"/>
      <c r="J762" s="5"/>
      <c r="K762" s="5"/>
      <c r="L762" s="5"/>
      <c r="M762" s="5"/>
      <c r="N762" s="5"/>
      <c r="O762" s="5"/>
      <c r="P762" s="5"/>
    </row>
    <row r="763" spans="1:16" x14ac:dyDescent="0.25">
      <c r="A763" s="10"/>
      <c r="B763" s="10"/>
      <c r="C763" s="10"/>
      <c r="D763" s="12"/>
      <c r="E763" s="10"/>
      <c r="F763" s="10"/>
      <c r="G763" s="10"/>
      <c r="H763" s="5"/>
      <c r="I763" s="5"/>
      <c r="J763" s="5"/>
      <c r="K763" s="5"/>
      <c r="L763" s="5"/>
      <c r="M763" s="5"/>
      <c r="N763" s="5"/>
      <c r="O763" s="5"/>
      <c r="P763" s="5"/>
    </row>
    <row r="764" spans="1:16" x14ac:dyDescent="0.25">
      <c r="A764" s="10"/>
      <c r="B764" s="10"/>
      <c r="C764" s="10"/>
      <c r="D764" s="12"/>
      <c r="E764" s="10"/>
      <c r="F764" s="10"/>
      <c r="G764" s="10"/>
      <c r="H764" s="5"/>
      <c r="I764" s="5"/>
      <c r="J764" s="5"/>
      <c r="K764" s="5"/>
      <c r="L764" s="5"/>
      <c r="M764" s="5"/>
      <c r="N764" s="5"/>
      <c r="O764" s="5"/>
      <c r="P764" s="5"/>
    </row>
    <row r="765" spans="1:16" x14ac:dyDescent="0.25">
      <c r="A765" s="10"/>
      <c r="B765" s="10"/>
      <c r="C765" s="10"/>
      <c r="D765" s="12"/>
      <c r="E765" s="10"/>
      <c r="F765" s="10"/>
      <c r="G765" s="10"/>
      <c r="H765" s="5"/>
      <c r="I765" s="5"/>
      <c r="J765" s="5"/>
      <c r="K765" s="5"/>
      <c r="L765" s="5"/>
      <c r="M765" s="5"/>
      <c r="N765" s="5"/>
      <c r="O765" s="5"/>
      <c r="P765" s="5"/>
    </row>
    <row r="766" spans="1:16" x14ac:dyDescent="0.25">
      <c r="A766" s="10"/>
      <c r="B766" s="10"/>
      <c r="C766" s="10"/>
      <c r="D766" s="12"/>
      <c r="E766" s="10"/>
      <c r="F766" s="10"/>
      <c r="G766" s="10"/>
      <c r="H766" s="5"/>
      <c r="I766" s="5"/>
      <c r="J766" s="5"/>
      <c r="K766" s="5"/>
      <c r="L766" s="5"/>
      <c r="M766" s="5"/>
      <c r="N766" s="5"/>
      <c r="O766" s="5"/>
      <c r="P766" s="5"/>
    </row>
    <row r="767" spans="1:16" x14ac:dyDescent="0.25">
      <c r="A767" s="10"/>
      <c r="B767" s="10"/>
      <c r="C767" s="10"/>
      <c r="D767" s="12"/>
      <c r="E767" s="10"/>
      <c r="F767" s="10"/>
      <c r="G767" s="10"/>
      <c r="H767" s="5"/>
      <c r="I767" s="5"/>
      <c r="J767" s="5"/>
      <c r="K767" s="5"/>
      <c r="L767" s="5"/>
      <c r="M767" s="5"/>
      <c r="N767" s="5"/>
      <c r="O767" s="5"/>
      <c r="P767" s="5"/>
    </row>
    <row r="768" spans="1:16" x14ac:dyDescent="0.25">
      <c r="A768" s="10"/>
      <c r="B768" s="10"/>
      <c r="C768" s="10"/>
      <c r="D768" s="12"/>
      <c r="E768" s="10"/>
      <c r="F768" s="10"/>
      <c r="G768" s="10"/>
      <c r="H768" s="5"/>
      <c r="I768" s="5"/>
      <c r="J768" s="5"/>
      <c r="K768" s="5"/>
      <c r="L768" s="5"/>
      <c r="M768" s="5"/>
      <c r="N768" s="5"/>
      <c r="O768" s="5"/>
      <c r="P768" s="5"/>
    </row>
    <row r="769" spans="1:16" x14ac:dyDescent="0.25">
      <c r="A769" s="10"/>
      <c r="B769" s="10"/>
      <c r="C769" s="10"/>
      <c r="D769" s="12"/>
      <c r="E769" s="10"/>
      <c r="F769" s="10"/>
      <c r="G769" s="10"/>
      <c r="H769" s="5"/>
      <c r="I769" s="5"/>
      <c r="J769" s="5"/>
      <c r="K769" s="5"/>
      <c r="L769" s="5"/>
      <c r="M769" s="5"/>
      <c r="N769" s="5"/>
      <c r="O769" s="5"/>
      <c r="P769" s="5"/>
    </row>
    <row r="770" spans="1:16" x14ac:dyDescent="0.25">
      <c r="A770" s="10"/>
      <c r="B770" s="10"/>
      <c r="C770" s="10"/>
      <c r="D770" s="12"/>
      <c r="E770" s="10"/>
      <c r="F770" s="10"/>
      <c r="G770" s="10"/>
      <c r="H770" s="5"/>
      <c r="I770" s="5"/>
      <c r="J770" s="5"/>
      <c r="K770" s="5"/>
      <c r="L770" s="5"/>
      <c r="M770" s="5"/>
      <c r="N770" s="5"/>
      <c r="O770" s="5"/>
      <c r="P770" s="5"/>
    </row>
    <row r="771" spans="1:16" x14ac:dyDescent="0.25">
      <c r="A771" s="10"/>
      <c r="B771" s="10"/>
      <c r="C771" s="10"/>
      <c r="D771" s="12"/>
      <c r="E771" s="10"/>
      <c r="F771" s="10"/>
      <c r="G771" s="10"/>
      <c r="H771" s="5"/>
      <c r="I771" s="5"/>
      <c r="J771" s="5"/>
      <c r="K771" s="5"/>
      <c r="L771" s="5"/>
      <c r="M771" s="5"/>
      <c r="N771" s="5"/>
      <c r="O771" s="5"/>
      <c r="P771" s="5"/>
    </row>
    <row r="772" spans="1:16" x14ac:dyDescent="0.25">
      <c r="A772" s="10"/>
      <c r="B772" s="10"/>
      <c r="C772" s="10"/>
      <c r="D772" s="12"/>
      <c r="E772" s="10"/>
      <c r="F772" s="10"/>
      <c r="G772" s="10"/>
      <c r="H772" s="5"/>
      <c r="I772" s="5"/>
      <c r="J772" s="5"/>
      <c r="K772" s="5"/>
      <c r="L772" s="5"/>
      <c r="M772" s="5"/>
      <c r="N772" s="5"/>
      <c r="O772" s="5"/>
      <c r="P772" s="5"/>
    </row>
    <row r="773" spans="1:16" x14ac:dyDescent="0.25">
      <c r="A773" s="10"/>
      <c r="B773" s="10"/>
      <c r="C773" s="10"/>
      <c r="D773" s="12"/>
      <c r="E773" s="10"/>
      <c r="F773" s="10"/>
      <c r="G773" s="10"/>
      <c r="H773" s="5"/>
      <c r="I773" s="5"/>
      <c r="J773" s="5"/>
      <c r="K773" s="5"/>
      <c r="L773" s="5"/>
      <c r="M773" s="5"/>
      <c r="N773" s="5"/>
      <c r="O773" s="5"/>
      <c r="P773" s="5"/>
    </row>
    <row r="774" spans="1:16" x14ac:dyDescent="0.25">
      <c r="A774" s="10"/>
      <c r="B774" s="10"/>
      <c r="C774" s="10"/>
      <c r="D774" s="12"/>
      <c r="E774" s="10"/>
      <c r="F774" s="10"/>
      <c r="G774" s="10"/>
      <c r="H774" s="5"/>
      <c r="I774" s="5"/>
      <c r="J774" s="5"/>
      <c r="K774" s="5"/>
      <c r="L774" s="5"/>
      <c r="M774" s="5"/>
      <c r="N774" s="5"/>
      <c r="O774" s="5"/>
      <c r="P774" s="5"/>
    </row>
    <row r="775" spans="1:16" x14ac:dyDescent="0.25">
      <c r="A775" s="10"/>
      <c r="B775" s="10"/>
      <c r="C775" s="10"/>
      <c r="D775" s="12"/>
      <c r="E775" s="10"/>
      <c r="F775" s="10"/>
      <c r="G775" s="10"/>
      <c r="H775" s="5"/>
      <c r="I775" s="5"/>
      <c r="J775" s="5"/>
      <c r="K775" s="5"/>
      <c r="L775" s="5"/>
      <c r="M775" s="5"/>
      <c r="N775" s="5"/>
      <c r="O775" s="5"/>
      <c r="P775" s="5"/>
    </row>
    <row r="776" spans="1:16" x14ac:dyDescent="0.25">
      <c r="A776" s="10"/>
      <c r="B776" s="10"/>
      <c r="C776" s="10"/>
      <c r="D776" s="12"/>
      <c r="E776" s="10"/>
      <c r="F776" s="10"/>
      <c r="G776" s="10"/>
      <c r="H776" s="5"/>
      <c r="I776" s="5"/>
      <c r="J776" s="5"/>
      <c r="K776" s="5"/>
      <c r="L776" s="5"/>
      <c r="M776" s="5"/>
      <c r="N776" s="5"/>
      <c r="O776" s="5"/>
      <c r="P776" s="5"/>
    </row>
    <row r="777" spans="1:16" x14ac:dyDescent="0.25">
      <c r="A777" s="10"/>
      <c r="B777" s="10"/>
      <c r="C777" s="10"/>
      <c r="D777" s="12"/>
      <c r="E777" s="10"/>
      <c r="F777" s="10"/>
      <c r="G777" s="10"/>
      <c r="H777" s="5"/>
      <c r="I777" s="5"/>
      <c r="J777" s="5"/>
      <c r="K777" s="5"/>
      <c r="L777" s="5"/>
      <c r="M777" s="5"/>
      <c r="N777" s="5"/>
      <c r="O777" s="5"/>
      <c r="P777" s="5"/>
    </row>
    <row r="778" spans="1:16" x14ac:dyDescent="0.25">
      <c r="A778" s="10"/>
      <c r="B778" s="10"/>
      <c r="C778" s="10"/>
      <c r="D778" s="12"/>
      <c r="E778" s="10"/>
      <c r="F778" s="10"/>
      <c r="G778" s="10"/>
      <c r="H778" s="5"/>
      <c r="I778" s="5"/>
      <c r="J778" s="5"/>
      <c r="K778" s="5"/>
      <c r="L778" s="5"/>
      <c r="M778" s="5"/>
      <c r="N778" s="5"/>
      <c r="O778" s="5"/>
      <c r="P778" s="5"/>
    </row>
    <row r="779" spans="1:16" x14ac:dyDescent="0.25">
      <c r="A779" s="10"/>
      <c r="B779" s="10"/>
      <c r="C779" s="10"/>
      <c r="D779" s="12"/>
      <c r="E779" s="10"/>
      <c r="F779" s="10"/>
      <c r="G779" s="10"/>
      <c r="H779" s="5"/>
      <c r="I779" s="5"/>
      <c r="J779" s="5"/>
      <c r="K779" s="5"/>
      <c r="L779" s="5"/>
      <c r="M779" s="5"/>
      <c r="N779" s="5"/>
      <c r="O779" s="5"/>
      <c r="P779" s="5"/>
    </row>
    <row r="780" spans="1:16" x14ac:dyDescent="0.25">
      <c r="A780" s="10"/>
      <c r="B780" s="10"/>
      <c r="C780" s="10"/>
      <c r="D780" s="12"/>
      <c r="E780" s="10"/>
      <c r="F780" s="10"/>
      <c r="G780" s="10"/>
      <c r="H780" s="5"/>
      <c r="I780" s="5"/>
      <c r="J780" s="5"/>
      <c r="K780" s="5"/>
      <c r="L780" s="5"/>
      <c r="M780" s="5"/>
      <c r="N780" s="5"/>
      <c r="O780" s="5"/>
      <c r="P780" s="5"/>
    </row>
    <row r="781" spans="1:16" x14ac:dyDescent="0.25">
      <c r="A781" s="10"/>
      <c r="B781" s="10"/>
      <c r="C781" s="10"/>
      <c r="D781" s="12"/>
      <c r="E781" s="10"/>
      <c r="F781" s="10"/>
      <c r="G781" s="10"/>
      <c r="H781" s="5"/>
      <c r="I781" s="5"/>
      <c r="J781" s="5"/>
      <c r="K781" s="5"/>
      <c r="L781" s="5"/>
      <c r="M781" s="5"/>
      <c r="N781" s="5"/>
      <c r="O781" s="5"/>
      <c r="P781" s="5"/>
    </row>
    <row r="782" spans="1:16" x14ac:dyDescent="0.25">
      <c r="A782" s="10"/>
      <c r="B782" s="10"/>
      <c r="C782" s="10"/>
      <c r="D782" s="12"/>
      <c r="E782" s="10"/>
      <c r="F782" s="10"/>
      <c r="G782" s="10"/>
      <c r="H782" s="5"/>
      <c r="I782" s="5"/>
      <c r="J782" s="5"/>
      <c r="K782" s="5"/>
      <c r="L782" s="5"/>
      <c r="M782" s="5"/>
      <c r="N782" s="5"/>
      <c r="O782" s="5"/>
      <c r="P782" s="5"/>
    </row>
    <row r="783" spans="1:16" x14ac:dyDescent="0.25">
      <c r="A783" s="10"/>
      <c r="B783" s="10"/>
      <c r="C783" s="10"/>
      <c r="D783" s="12"/>
      <c r="E783" s="10"/>
      <c r="F783" s="10"/>
      <c r="G783" s="10"/>
      <c r="H783" s="5"/>
      <c r="I783" s="5"/>
      <c r="J783" s="5"/>
      <c r="K783" s="5"/>
      <c r="L783" s="5"/>
      <c r="M783" s="5"/>
      <c r="N783" s="5"/>
      <c r="O783" s="5"/>
      <c r="P783" s="5"/>
    </row>
    <row r="784" spans="1:16" x14ac:dyDescent="0.25">
      <c r="A784" s="10"/>
      <c r="B784" s="10"/>
      <c r="C784" s="10"/>
      <c r="D784" s="12"/>
      <c r="E784" s="10"/>
      <c r="F784" s="10"/>
      <c r="G784" s="10"/>
      <c r="H784" s="5"/>
      <c r="I784" s="5"/>
      <c r="J784" s="5"/>
      <c r="K784" s="5"/>
      <c r="L784" s="5"/>
      <c r="M784" s="5"/>
      <c r="N784" s="5"/>
      <c r="O784" s="5"/>
      <c r="P784" s="5"/>
    </row>
    <row r="785" spans="1:16" x14ac:dyDescent="0.25">
      <c r="A785" s="10"/>
      <c r="B785" s="10"/>
      <c r="C785" s="10"/>
      <c r="D785" s="12"/>
      <c r="E785" s="10"/>
      <c r="F785" s="10"/>
      <c r="G785" s="10"/>
      <c r="H785" s="5"/>
      <c r="I785" s="5"/>
      <c r="J785" s="5"/>
      <c r="K785" s="5"/>
      <c r="L785" s="5"/>
      <c r="M785" s="5"/>
      <c r="N785" s="5"/>
      <c r="O785" s="5"/>
      <c r="P785" s="5"/>
    </row>
    <row r="786" spans="1:16" x14ac:dyDescent="0.25">
      <c r="A786" s="10"/>
      <c r="B786" s="10"/>
      <c r="C786" s="10"/>
      <c r="D786" s="12"/>
      <c r="E786" s="10"/>
      <c r="F786" s="10"/>
      <c r="G786" s="10"/>
      <c r="H786" s="5"/>
      <c r="I786" s="5"/>
      <c r="J786" s="5"/>
      <c r="K786" s="5"/>
      <c r="L786" s="5"/>
      <c r="M786" s="5"/>
      <c r="N786" s="5"/>
      <c r="O786" s="5"/>
      <c r="P786" s="5"/>
    </row>
    <row r="787" spans="1:16" x14ac:dyDescent="0.25">
      <c r="A787" s="10"/>
      <c r="B787" s="10"/>
      <c r="C787" s="10"/>
      <c r="D787" s="12"/>
      <c r="E787" s="10"/>
      <c r="F787" s="10"/>
      <c r="G787" s="10"/>
      <c r="H787" s="5"/>
      <c r="I787" s="5"/>
      <c r="J787" s="5"/>
      <c r="K787" s="5"/>
      <c r="L787" s="5"/>
      <c r="M787" s="5"/>
      <c r="N787" s="5"/>
      <c r="O787" s="5"/>
      <c r="P787" s="5"/>
    </row>
    <row r="788" spans="1:16" x14ac:dyDescent="0.25">
      <c r="A788" s="10"/>
      <c r="B788" s="10"/>
      <c r="C788" s="10"/>
      <c r="D788" s="12"/>
      <c r="E788" s="10"/>
      <c r="F788" s="10"/>
      <c r="G788" s="10"/>
      <c r="H788" s="5"/>
      <c r="I788" s="5"/>
      <c r="J788" s="5"/>
      <c r="K788" s="5"/>
      <c r="L788" s="5"/>
      <c r="M788" s="5"/>
      <c r="N788" s="5"/>
      <c r="O788" s="5"/>
      <c r="P788" s="5"/>
    </row>
    <row r="789" spans="1:16" x14ac:dyDescent="0.25">
      <c r="A789" s="10"/>
      <c r="B789" s="10"/>
      <c r="C789" s="10"/>
      <c r="D789" s="12"/>
      <c r="E789" s="10"/>
      <c r="F789" s="10"/>
      <c r="G789" s="10"/>
      <c r="H789" s="5"/>
      <c r="I789" s="5"/>
      <c r="J789" s="5"/>
      <c r="K789" s="5"/>
      <c r="L789" s="5"/>
      <c r="M789" s="5"/>
      <c r="N789" s="5"/>
      <c r="O789" s="5"/>
      <c r="P789" s="5"/>
    </row>
    <row r="790" spans="1:16" x14ac:dyDescent="0.25">
      <c r="A790" s="10"/>
      <c r="B790" s="10"/>
      <c r="C790" s="10"/>
      <c r="D790" s="12"/>
      <c r="E790" s="10"/>
      <c r="F790" s="10"/>
      <c r="G790" s="10"/>
      <c r="H790" s="5"/>
      <c r="I790" s="5"/>
      <c r="J790" s="5"/>
      <c r="K790" s="5"/>
      <c r="L790" s="5"/>
      <c r="M790" s="5"/>
      <c r="N790" s="5"/>
      <c r="O790" s="5"/>
      <c r="P790" s="5"/>
    </row>
    <row r="791" spans="1:16" x14ac:dyDescent="0.25">
      <c r="A791" s="10"/>
      <c r="B791" s="10"/>
      <c r="C791" s="10"/>
      <c r="D791" s="12"/>
      <c r="E791" s="10"/>
      <c r="F791" s="10"/>
      <c r="G791" s="10"/>
      <c r="H791" s="5"/>
      <c r="I791" s="5"/>
      <c r="J791" s="5"/>
      <c r="K791" s="5"/>
      <c r="L791" s="5"/>
      <c r="M791" s="5"/>
      <c r="N791" s="5"/>
      <c r="O791" s="5"/>
      <c r="P791" s="5"/>
    </row>
    <row r="792" spans="1:16" x14ac:dyDescent="0.25">
      <c r="A792" s="10"/>
      <c r="B792" s="10"/>
      <c r="C792" s="10"/>
      <c r="D792" s="12"/>
      <c r="E792" s="10"/>
      <c r="F792" s="10"/>
      <c r="G792" s="10"/>
      <c r="H792" s="5"/>
      <c r="I792" s="5"/>
      <c r="J792" s="5"/>
      <c r="K792" s="5"/>
      <c r="L792" s="5"/>
      <c r="M792" s="5"/>
      <c r="N792" s="5"/>
      <c r="O792" s="5"/>
      <c r="P792" s="5"/>
    </row>
    <row r="793" spans="1:16" x14ac:dyDescent="0.25">
      <c r="A793" s="10"/>
      <c r="B793" s="10"/>
      <c r="C793" s="10"/>
      <c r="D793" s="12"/>
      <c r="E793" s="10"/>
      <c r="F793" s="10"/>
      <c r="G793" s="10"/>
      <c r="H793" s="5"/>
      <c r="I793" s="5"/>
      <c r="J793" s="5"/>
      <c r="K793" s="5"/>
      <c r="L793" s="5"/>
      <c r="M793" s="5"/>
      <c r="N793" s="5"/>
      <c r="O793" s="5"/>
      <c r="P793" s="5"/>
    </row>
    <row r="794" spans="1:16" x14ac:dyDescent="0.25">
      <c r="A794" s="10"/>
      <c r="B794" s="10"/>
      <c r="C794" s="10"/>
      <c r="D794" s="12"/>
      <c r="E794" s="10"/>
      <c r="F794" s="10"/>
      <c r="G794" s="10"/>
      <c r="H794" s="5"/>
      <c r="I794" s="5"/>
      <c r="J794" s="5"/>
      <c r="K794" s="5"/>
      <c r="L794" s="5"/>
      <c r="M794" s="5"/>
      <c r="N794" s="5"/>
      <c r="O794" s="5"/>
      <c r="P794" s="5"/>
    </row>
    <row r="795" spans="1:16" x14ac:dyDescent="0.25">
      <c r="A795" s="10"/>
      <c r="B795" s="10"/>
      <c r="C795" s="10"/>
      <c r="D795" s="12"/>
      <c r="E795" s="10"/>
      <c r="F795" s="10"/>
      <c r="G795" s="10"/>
      <c r="H795" s="5"/>
      <c r="I795" s="5"/>
      <c r="J795" s="5"/>
      <c r="K795" s="5"/>
      <c r="L795" s="5"/>
      <c r="M795" s="5"/>
      <c r="N795" s="5"/>
      <c r="O795" s="5"/>
      <c r="P795" s="5"/>
    </row>
    <row r="796" spans="1:16" x14ac:dyDescent="0.25">
      <c r="A796" s="10"/>
      <c r="B796" s="10"/>
      <c r="C796" s="10"/>
      <c r="D796" s="12"/>
      <c r="E796" s="10"/>
      <c r="F796" s="10"/>
      <c r="G796" s="10"/>
      <c r="H796" s="5"/>
      <c r="I796" s="5"/>
      <c r="J796" s="5"/>
      <c r="K796" s="5"/>
      <c r="L796" s="5"/>
      <c r="M796" s="5"/>
      <c r="N796" s="5"/>
      <c r="O796" s="5"/>
      <c r="P796" s="5"/>
    </row>
    <row r="797" spans="1:16" x14ac:dyDescent="0.25">
      <c r="A797" s="10"/>
      <c r="B797" s="10"/>
      <c r="C797" s="10"/>
      <c r="D797" s="12"/>
      <c r="E797" s="10"/>
      <c r="F797" s="10"/>
      <c r="G797" s="10"/>
      <c r="H797" s="5"/>
      <c r="I797" s="5"/>
      <c r="J797" s="5"/>
      <c r="K797" s="5"/>
      <c r="L797" s="5"/>
      <c r="M797" s="5"/>
      <c r="N797" s="5"/>
      <c r="O797" s="5"/>
      <c r="P797" s="5"/>
    </row>
    <row r="798" spans="1:16" x14ac:dyDescent="0.25">
      <c r="A798" s="10"/>
      <c r="B798" s="10"/>
      <c r="C798" s="10"/>
      <c r="D798" s="12"/>
      <c r="E798" s="10"/>
      <c r="F798" s="10"/>
      <c r="G798" s="10"/>
      <c r="H798" s="5"/>
      <c r="I798" s="5"/>
      <c r="J798" s="5"/>
      <c r="K798" s="5"/>
      <c r="L798" s="5"/>
      <c r="M798" s="5"/>
      <c r="N798" s="5"/>
      <c r="O798" s="5"/>
      <c r="P798" s="5"/>
    </row>
    <row r="799" spans="1:16" x14ac:dyDescent="0.25">
      <c r="A799" s="10"/>
      <c r="B799" s="10"/>
      <c r="C799" s="10"/>
      <c r="D799" s="12"/>
      <c r="E799" s="10"/>
      <c r="F799" s="10"/>
      <c r="G799" s="10"/>
      <c r="H799" s="5"/>
      <c r="I799" s="5"/>
      <c r="J799" s="5"/>
      <c r="K799" s="5"/>
      <c r="L799" s="5"/>
      <c r="M799" s="5"/>
      <c r="N799" s="5"/>
      <c r="O799" s="5"/>
      <c r="P799" s="5"/>
    </row>
    <row r="800" spans="1:16" x14ac:dyDescent="0.25">
      <c r="A800" s="10"/>
      <c r="B800" s="10"/>
      <c r="C800" s="10"/>
      <c r="D800" s="12"/>
      <c r="E800" s="10"/>
      <c r="F800" s="10"/>
      <c r="G800" s="10"/>
      <c r="H800" s="5"/>
      <c r="I800" s="5"/>
      <c r="J800" s="5"/>
      <c r="K800" s="5"/>
      <c r="L800" s="5"/>
      <c r="M800" s="5"/>
      <c r="N800" s="5"/>
      <c r="O800" s="5"/>
      <c r="P800" s="5"/>
    </row>
    <row r="801" spans="1:16" x14ac:dyDescent="0.25">
      <c r="A801" s="10"/>
      <c r="B801" s="10"/>
      <c r="C801" s="10"/>
      <c r="D801" s="12"/>
      <c r="E801" s="10"/>
      <c r="F801" s="10"/>
      <c r="G801" s="10"/>
      <c r="H801" s="5"/>
      <c r="I801" s="5"/>
      <c r="J801" s="5"/>
      <c r="K801" s="5"/>
      <c r="L801" s="5"/>
      <c r="M801" s="5"/>
      <c r="N801" s="5"/>
      <c r="O801" s="5"/>
      <c r="P801" s="5"/>
    </row>
    <row r="802" spans="1:16" x14ac:dyDescent="0.25">
      <c r="A802" s="10"/>
      <c r="B802" s="10"/>
      <c r="C802" s="10"/>
      <c r="D802" s="12"/>
      <c r="E802" s="10"/>
      <c r="F802" s="10"/>
      <c r="G802" s="10"/>
      <c r="H802" s="5"/>
      <c r="I802" s="5"/>
      <c r="J802" s="5"/>
      <c r="K802" s="5"/>
      <c r="L802" s="5"/>
      <c r="M802" s="5"/>
      <c r="N802" s="5"/>
      <c r="O802" s="5"/>
      <c r="P802" s="5"/>
    </row>
    <row r="803" spans="1:16" x14ac:dyDescent="0.25">
      <c r="A803" s="10"/>
      <c r="B803" s="10"/>
      <c r="C803" s="10"/>
      <c r="D803" s="12"/>
      <c r="E803" s="10"/>
      <c r="F803" s="10"/>
      <c r="G803" s="10"/>
      <c r="H803" s="5"/>
      <c r="I803" s="5"/>
      <c r="J803" s="5"/>
      <c r="K803" s="5"/>
      <c r="L803" s="5"/>
      <c r="M803" s="5"/>
      <c r="N803" s="5"/>
      <c r="O803" s="5"/>
      <c r="P803" s="5"/>
    </row>
    <row r="804" spans="1:16" x14ac:dyDescent="0.25">
      <c r="A804" s="10"/>
      <c r="B804" s="10"/>
      <c r="C804" s="10"/>
      <c r="D804" s="12"/>
      <c r="E804" s="10"/>
      <c r="F804" s="10"/>
      <c r="G804" s="10"/>
      <c r="H804" s="5"/>
      <c r="I804" s="5"/>
      <c r="J804" s="5"/>
      <c r="K804" s="5"/>
      <c r="L804" s="5"/>
      <c r="M804" s="5"/>
      <c r="N804" s="5"/>
      <c r="O804" s="5"/>
      <c r="P804" s="5"/>
    </row>
    <row r="805" spans="1:16" x14ac:dyDescent="0.25">
      <c r="A805" s="10"/>
      <c r="B805" s="10"/>
      <c r="C805" s="10"/>
      <c r="D805" s="12"/>
      <c r="E805" s="10"/>
      <c r="F805" s="10"/>
      <c r="G805" s="10"/>
      <c r="H805" s="5"/>
      <c r="I805" s="5"/>
      <c r="J805" s="5"/>
      <c r="K805" s="5"/>
      <c r="L805" s="5"/>
      <c r="M805" s="5"/>
      <c r="N805" s="5"/>
      <c r="O805" s="5"/>
      <c r="P805" s="5"/>
    </row>
    <row r="806" spans="1:16" x14ac:dyDescent="0.25">
      <c r="A806" s="10"/>
      <c r="B806" s="10"/>
      <c r="C806" s="10"/>
      <c r="D806" s="12"/>
      <c r="E806" s="10"/>
      <c r="F806" s="10"/>
      <c r="G806" s="10"/>
      <c r="H806" s="5"/>
      <c r="I806" s="5"/>
      <c r="J806" s="5"/>
      <c r="K806" s="5"/>
      <c r="L806" s="5"/>
      <c r="M806" s="5"/>
      <c r="N806" s="5"/>
      <c r="O806" s="5"/>
      <c r="P806" s="5"/>
    </row>
    <row r="807" spans="1:16" x14ac:dyDescent="0.25">
      <c r="A807" s="10"/>
      <c r="B807" s="10"/>
      <c r="C807" s="10"/>
      <c r="D807" s="12"/>
      <c r="E807" s="10"/>
      <c r="F807" s="10"/>
      <c r="G807" s="10"/>
      <c r="H807" s="5"/>
      <c r="I807" s="5"/>
      <c r="J807" s="5"/>
      <c r="K807" s="5"/>
      <c r="L807" s="5"/>
      <c r="M807" s="5"/>
      <c r="N807" s="5"/>
      <c r="O807" s="5"/>
      <c r="P807" s="5"/>
    </row>
    <row r="808" spans="1:16" x14ac:dyDescent="0.25">
      <c r="A808" s="10"/>
      <c r="B808" s="10"/>
      <c r="C808" s="10"/>
      <c r="D808" s="12"/>
      <c r="E808" s="10"/>
      <c r="F808" s="10"/>
      <c r="G808" s="10"/>
      <c r="H808" s="5"/>
      <c r="I808" s="5"/>
      <c r="J808" s="5"/>
      <c r="K808" s="5"/>
      <c r="L808" s="5"/>
      <c r="M808" s="5"/>
      <c r="N808" s="5"/>
      <c r="O808" s="5"/>
      <c r="P808" s="5"/>
    </row>
    <row r="809" spans="1:16" x14ac:dyDescent="0.25">
      <c r="A809" s="10"/>
      <c r="B809" s="10"/>
      <c r="C809" s="10"/>
      <c r="D809" s="12"/>
      <c r="E809" s="10"/>
      <c r="F809" s="10"/>
      <c r="G809" s="10"/>
      <c r="H809" s="5"/>
      <c r="I809" s="5"/>
      <c r="J809" s="5"/>
      <c r="K809" s="5"/>
      <c r="L809" s="5"/>
      <c r="M809" s="5"/>
      <c r="N809" s="5"/>
      <c r="O809" s="5"/>
      <c r="P809" s="5"/>
    </row>
    <row r="810" spans="1:16" x14ac:dyDescent="0.25">
      <c r="A810" s="10"/>
      <c r="B810" s="10"/>
      <c r="C810" s="10"/>
      <c r="D810" s="12"/>
      <c r="E810" s="10"/>
      <c r="F810" s="10"/>
      <c r="G810" s="10"/>
      <c r="H810" s="5"/>
      <c r="I810" s="5"/>
      <c r="J810" s="5"/>
      <c r="K810" s="5"/>
      <c r="L810" s="5"/>
      <c r="M810" s="5"/>
      <c r="N810" s="5"/>
      <c r="O810" s="5"/>
      <c r="P810" s="5"/>
    </row>
    <row r="811" spans="1:16" x14ac:dyDescent="0.25">
      <c r="A811" s="10"/>
      <c r="B811" s="10"/>
      <c r="C811" s="10"/>
      <c r="D811" s="12"/>
      <c r="E811" s="10"/>
      <c r="F811" s="10"/>
      <c r="G811" s="10"/>
      <c r="H811" s="5"/>
      <c r="I811" s="5"/>
      <c r="J811" s="5"/>
      <c r="K811" s="5"/>
      <c r="L811" s="5"/>
      <c r="M811" s="5"/>
      <c r="N811" s="5"/>
      <c r="O811" s="5"/>
      <c r="P811" s="5"/>
    </row>
    <row r="812" spans="1:16" x14ac:dyDescent="0.25">
      <c r="A812" s="10"/>
      <c r="B812" s="10"/>
      <c r="C812" s="10"/>
      <c r="D812" s="12"/>
      <c r="E812" s="10"/>
      <c r="F812" s="10"/>
      <c r="G812" s="10"/>
      <c r="H812" s="5"/>
      <c r="I812" s="5"/>
      <c r="J812" s="5"/>
      <c r="K812" s="5"/>
      <c r="L812" s="5"/>
      <c r="M812" s="5"/>
      <c r="N812" s="5"/>
      <c r="O812" s="5"/>
      <c r="P812" s="5"/>
    </row>
    <row r="813" spans="1:16" x14ac:dyDescent="0.25">
      <c r="A813" s="10"/>
      <c r="B813" s="10"/>
      <c r="C813" s="10"/>
      <c r="D813" s="12"/>
      <c r="E813" s="10"/>
      <c r="F813" s="10"/>
      <c r="G813" s="10"/>
      <c r="H813" s="5"/>
      <c r="I813" s="5"/>
      <c r="J813" s="5"/>
      <c r="K813" s="5"/>
      <c r="L813" s="5"/>
      <c r="M813" s="5"/>
      <c r="N813" s="5"/>
      <c r="O813" s="5"/>
      <c r="P813" s="5"/>
    </row>
    <row r="814" spans="1:16" x14ac:dyDescent="0.25">
      <c r="A814" s="10"/>
      <c r="B814" s="10"/>
      <c r="C814" s="10"/>
      <c r="D814" s="12"/>
      <c r="E814" s="10"/>
      <c r="F814" s="10"/>
      <c r="G814" s="10"/>
      <c r="H814" s="5"/>
      <c r="I814" s="5"/>
      <c r="J814" s="5"/>
      <c r="K814" s="5"/>
      <c r="L814" s="5"/>
      <c r="M814" s="5"/>
      <c r="N814" s="5"/>
      <c r="O814" s="5"/>
      <c r="P814" s="5"/>
    </row>
    <row r="815" spans="1:16" x14ac:dyDescent="0.25">
      <c r="A815" s="10"/>
      <c r="B815" s="10"/>
      <c r="C815" s="10"/>
      <c r="D815" s="12"/>
      <c r="E815" s="10"/>
      <c r="F815" s="10"/>
      <c r="G815" s="10"/>
      <c r="H815" s="5"/>
      <c r="I815" s="5"/>
      <c r="J815" s="5"/>
      <c r="K815" s="5"/>
      <c r="L815" s="5"/>
      <c r="M815" s="5"/>
      <c r="N815" s="5"/>
      <c r="O815" s="5"/>
      <c r="P815" s="5"/>
    </row>
    <row r="816" spans="1:16" x14ac:dyDescent="0.25">
      <c r="A816" s="10"/>
      <c r="B816" s="10"/>
      <c r="C816" s="10"/>
      <c r="D816" s="12"/>
      <c r="E816" s="10"/>
      <c r="F816" s="10"/>
      <c r="G816" s="10"/>
      <c r="H816" s="5"/>
      <c r="I816" s="5"/>
      <c r="J816" s="5"/>
      <c r="K816" s="5"/>
      <c r="L816" s="5"/>
      <c r="M816" s="5"/>
      <c r="N816" s="5"/>
      <c r="O816" s="5"/>
      <c r="P816" s="5"/>
    </row>
    <row r="817" spans="1:16" x14ac:dyDescent="0.25">
      <c r="A817" s="10"/>
      <c r="B817" s="10"/>
      <c r="C817" s="10"/>
      <c r="D817" s="12"/>
      <c r="E817" s="10"/>
      <c r="F817" s="10"/>
      <c r="G817" s="10"/>
      <c r="H817" s="5"/>
      <c r="I817" s="5"/>
      <c r="J817" s="5"/>
      <c r="K817" s="5"/>
      <c r="L817" s="5"/>
      <c r="M817" s="5"/>
      <c r="N817" s="5"/>
      <c r="O817" s="5"/>
      <c r="P817" s="5"/>
    </row>
    <row r="818" spans="1:16" x14ac:dyDescent="0.25">
      <c r="A818" s="10"/>
      <c r="B818" s="10"/>
      <c r="C818" s="10"/>
      <c r="D818" s="12"/>
      <c r="E818" s="10"/>
      <c r="F818" s="10"/>
      <c r="G818" s="10"/>
      <c r="H818" s="5"/>
      <c r="I818" s="5"/>
      <c r="J818" s="5"/>
      <c r="K818" s="5"/>
      <c r="L818" s="5"/>
      <c r="M818" s="5"/>
      <c r="N818" s="5"/>
      <c r="O818" s="5"/>
      <c r="P818" s="5"/>
    </row>
    <row r="819" spans="1:16" x14ac:dyDescent="0.25">
      <c r="A819" s="10"/>
      <c r="B819" s="10"/>
      <c r="C819" s="10"/>
      <c r="D819" s="12"/>
      <c r="E819" s="10"/>
      <c r="F819" s="10"/>
      <c r="G819" s="10"/>
      <c r="H819" s="5"/>
      <c r="I819" s="5"/>
      <c r="J819" s="5"/>
      <c r="K819" s="5"/>
      <c r="L819" s="5"/>
      <c r="M819" s="5"/>
      <c r="N819" s="5"/>
      <c r="O819" s="5"/>
      <c r="P819" s="5"/>
    </row>
    <row r="820" spans="1:16" x14ac:dyDescent="0.25">
      <c r="A820" s="10"/>
      <c r="B820" s="10"/>
      <c r="C820" s="10"/>
      <c r="D820" s="12"/>
      <c r="E820" s="10"/>
      <c r="F820" s="10"/>
      <c r="G820" s="10"/>
      <c r="H820" s="5"/>
      <c r="I820" s="5"/>
      <c r="J820" s="5"/>
      <c r="K820" s="5"/>
      <c r="L820" s="5"/>
      <c r="M820" s="5"/>
      <c r="N820" s="5"/>
      <c r="O820" s="5"/>
      <c r="P820" s="5"/>
    </row>
    <row r="821" spans="1:16" x14ac:dyDescent="0.25">
      <c r="A821" s="10"/>
      <c r="B821" s="10"/>
      <c r="C821" s="10"/>
      <c r="D821" s="12"/>
      <c r="E821" s="10"/>
      <c r="F821" s="10"/>
      <c r="G821" s="10"/>
      <c r="H821" s="5"/>
      <c r="I821" s="5"/>
      <c r="J821" s="5"/>
      <c r="K821" s="5"/>
      <c r="L821" s="5"/>
      <c r="M821" s="5"/>
      <c r="N821" s="5"/>
      <c r="O821" s="5"/>
      <c r="P821" s="5"/>
    </row>
    <row r="822" spans="1:16" x14ac:dyDescent="0.25">
      <c r="A822" s="10"/>
      <c r="B822" s="10"/>
      <c r="C822" s="10"/>
      <c r="D822" s="12"/>
      <c r="E822" s="10"/>
      <c r="F822" s="10"/>
      <c r="G822" s="10"/>
      <c r="H822" s="5"/>
      <c r="I822" s="5"/>
      <c r="J822" s="5"/>
      <c r="K822" s="5"/>
      <c r="L822" s="5"/>
      <c r="M822" s="5"/>
      <c r="N822" s="5"/>
      <c r="O822" s="5"/>
      <c r="P822" s="5"/>
    </row>
    <row r="823" spans="1:16" x14ac:dyDescent="0.25">
      <c r="A823" s="10"/>
      <c r="B823" s="10"/>
      <c r="C823" s="10"/>
      <c r="D823" s="12"/>
      <c r="E823" s="10"/>
      <c r="F823" s="10"/>
      <c r="G823" s="10"/>
      <c r="H823" s="5"/>
      <c r="I823" s="5"/>
      <c r="J823" s="5"/>
      <c r="K823" s="5"/>
      <c r="L823" s="5"/>
      <c r="M823" s="5"/>
      <c r="N823" s="5"/>
      <c r="O823" s="5"/>
      <c r="P823" s="5"/>
    </row>
    <row r="824" spans="1:16" x14ac:dyDescent="0.25">
      <c r="A824" s="10"/>
      <c r="B824" s="10"/>
      <c r="C824" s="10"/>
      <c r="D824" s="12"/>
      <c r="E824" s="10"/>
      <c r="F824" s="10"/>
      <c r="G824" s="10"/>
      <c r="H824" s="5"/>
      <c r="I824" s="5"/>
      <c r="J824" s="5"/>
      <c r="K824" s="5"/>
      <c r="L824" s="5"/>
      <c r="M824" s="5"/>
      <c r="N824" s="5"/>
      <c r="O824" s="5"/>
      <c r="P824" s="5"/>
    </row>
    <row r="825" spans="1:16" x14ac:dyDescent="0.25">
      <c r="A825" s="10"/>
      <c r="B825" s="10"/>
      <c r="C825" s="10"/>
      <c r="D825" s="12"/>
      <c r="E825" s="10"/>
      <c r="F825" s="10"/>
      <c r="G825" s="10"/>
      <c r="H825" s="5"/>
      <c r="I825" s="5"/>
      <c r="J825" s="5"/>
      <c r="K825" s="5"/>
      <c r="L825" s="5"/>
      <c r="M825" s="5"/>
      <c r="N825" s="5"/>
      <c r="O825" s="5"/>
      <c r="P825" s="5"/>
    </row>
    <row r="826" spans="1:16" x14ac:dyDescent="0.25">
      <c r="A826" s="10"/>
      <c r="B826" s="10"/>
      <c r="C826" s="10"/>
      <c r="D826" s="12"/>
      <c r="E826" s="10"/>
      <c r="F826" s="10"/>
      <c r="G826" s="10"/>
      <c r="H826" s="5"/>
      <c r="I826" s="5"/>
      <c r="J826" s="5"/>
      <c r="K826" s="5"/>
      <c r="L826" s="5"/>
      <c r="M826" s="5"/>
      <c r="N826" s="5"/>
      <c r="O826" s="5"/>
      <c r="P826" s="5"/>
    </row>
    <row r="827" spans="1:16" x14ac:dyDescent="0.25">
      <c r="A827" s="10"/>
      <c r="B827" s="10"/>
      <c r="C827" s="10"/>
      <c r="D827" s="12"/>
      <c r="E827" s="10"/>
      <c r="F827" s="10"/>
      <c r="G827" s="10"/>
      <c r="H827" s="5"/>
      <c r="I827" s="5"/>
      <c r="J827" s="5"/>
      <c r="K827" s="5"/>
      <c r="L827" s="5"/>
      <c r="M827" s="5"/>
      <c r="N827" s="5"/>
      <c r="O827" s="5"/>
      <c r="P827" s="5"/>
    </row>
    <row r="828" spans="1:16" x14ac:dyDescent="0.25">
      <c r="A828" s="10"/>
      <c r="B828" s="10"/>
      <c r="C828" s="10"/>
      <c r="D828" s="12"/>
      <c r="E828" s="10"/>
      <c r="F828" s="10"/>
      <c r="G828" s="10"/>
      <c r="H828" s="5"/>
      <c r="I828" s="5"/>
      <c r="J828" s="5"/>
      <c r="K828" s="5"/>
      <c r="L828" s="5"/>
      <c r="M828" s="5"/>
      <c r="N828" s="5"/>
      <c r="O828" s="5"/>
      <c r="P828" s="5"/>
    </row>
    <row r="829" spans="1:16" x14ac:dyDescent="0.25">
      <c r="A829" s="10"/>
      <c r="B829" s="10"/>
      <c r="C829" s="10"/>
      <c r="D829" s="12"/>
      <c r="E829" s="10"/>
      <c r="F829" s="10"/>
      <c r="G829" s="10"/>
      <c r="H829" s="5"/>
      <c r="I829" s="5"/>
      <c r="J829" s="5"/>
      <c r="K829" s="5"/>
      <c r="L829" s="5"/>
      <c r="M829" s="5"/>
      <c r="N829" s="5"/>
      <c r="O829" s="5"/>
      <c r="P829" s="5"/>
    </row>
    <row r="830" spans="1:16" x14ac:dyDescent="0.25">
      <c r="A830" s="10"/>
      <c r="B830" s="10"/>
      <c r="C830" s="10"/>
      <c r="D830" s="12"/>
      <c r="E830" s="10"/>
      <c r="F830" s="10"/>
      <c r="G830" s="10"/>
      <c r="H830" s="5"/>
      <c r="I830" s="5"/>
      <c r="J830" s="5"/>
      <c r="K830" s="5"/>
      <c r="L830" s="5"/>
      <c r="M830" s="5"/>
      <c r="N830" s="5"/>
      <c r="O830" s="5"/>
      <c r="P830" s="5"/>
    </row>
    <row r="831" spans="1:16" x14ac:dyDescent="0.25">
      <c r="A831" s="10"/>
      <c r="B831" s="10"/>
      <c r="C831" s="10"/>
      <c r="D831" s="12"/>
      <c r="E831" s="10"/>
      <c r="F831" s="10"/>
      <c r="G831" s="10"/>
      <c r="H831" s="5"/>
      <c r="I831" s="5"/>
      <c r="J831" s="5"/>
      <c r="K831" s="5"/>
      <c r="L831" s="5"/>
      <c r="M831" s="5"/>
      <c r="N831" s="5"/>
      <c r="O831" s="5"/>
      <c r="P831" s="5"/>
    </row>
    <row r="832" spans="1:16" x14ac:dyDescent="0.25">
      <c r="A832" s="10"/>
      <c r="B832" s="10"/>
      <c r="C832" s="10"/>
      <c r="D832" s="12"/>
      <c r="E832" s="10"/>
      <c r="F832" s="10"/>
      <c r="G832" s="10"/>
      <c r="H832" s="5"/>
      <c r="I832" s="5"/>
      <c r="J832" s="5"/>
      <c r="K832" s="5"/>
      <c r="L832" s="5"/>
      <c r="M832" s="5"/>
      <c r="N832" s="5"/>
      <c r="O832" s="5"/>
      <c r="P832" s="5"/>
    </row>
    <row r="833" spans="1:16" x14ac:dyDescent="0.25">
      <c r="A833" s="10"/>
      <c r="B833" s="10"/>
      <c r="C833" s="10"/>
      <c r="D833" s="12"/>
      <c r="E833" s="10"/>
      <c r="F833" s="10"/>
      <c r="G833" s="10"/>
      <c r="H833" s="5"/>
      <c r="I833" s="5"/>
      <c r="J833" s="5"/>
      <c r="K833" s="5"/>
      <c r="L833" s="5"/>
      <c r="M833" s="5"/>
      <c r="N833" s="5"/>
      <c r="O833" s="5"/>
      <c r="P833" s="5"/>
    </row>
    <row r="834" spans="1:16" x14ac:dyDescent="0.25">
      <c r="A834" s="10"/>
      <c r="B834" s="10"/>
      <c r="C834" s="10"/>
      <c r="D834" s="12"/>
      <c r="E834" s="10"/>
      <c r="F834" s="10"/>
      <c r="G834" s="10"/>
      <c r="H834" s="5"/>
      <c r="I834" s="5"/>
      <c r="J834" s="5"/>
      <c r="K834" s="5"/>
      <c r="L834" s="5"/>
      <c r="M834" s="5"/>
      <c r="N834" s="5"/>
      <c r="O834" s="5"/>
      <c r="P834" s="5"/>
    </row>
    <row r="835" spans="1:16" x14ac:dyDescent="0.25">
      <c r="A835" s="10"/>
      <c r="B835" s="10"/>
      <c r="C835" s="10"/>
      <c r="D835" s="12"/>
      <c r="E835" s="10"/>
      <c r="F835" s="10"/>
      <c r="G835" s="10"/>
      <c r="H835" s="5"/>
      <c r="I835" s="5"/>
      <c r="J835" s="5"/>
      <c r="K835" s="5"/>
      <c r="L835" s="5"/>
      <c r="M835" s="5"/>
      <c r="N835" s="5"/>
      <c r="O835" s="5"/>
      <c r="P835" s="5"/>
    </row>
    <row r="836" spans="1:16" x14ac:dyDescent="0.25">
      <c r="A836" s="10"/>
      <c r="B836" s="10"/>
      <c r="C836" s="10"/>
      <c r="D836" s="12"/>
      <c r="E836" s="10"/>
      <c r="F836" s="10"/>
      <c r="G836" s="10"/>
      <c r="H836" s="5"/>
      <c r="I836" s="5"/>
      <c r="J836" s="5"/>
      <c r="K836" s="5"/>
      <c r="L836" s="5"/>
      <c r="M836" s="5"/>
      <c r="N836" s="5"/>
      <c r="O836" s="5"/>
      <c r="P836" s="5"/>
    </row>
    <row r="837" spans="1:16" x14ac:dyDescent="0.25">
      <c r="A837" s="10"/>
      <c r="B837" s="10"/>
      <c r="C837" s="10"/>
      <c r="D837" s="12"/>
      <c r="E837" s="10"/>
      <c r="F837" s="10"/>
      <c r="G837" s="10"/>
      <c r="H837" s="5"/>
      <c r="I837" s="5"/>
      <c r="J837" s="5"/>
      <c r="K837" s="5"/>
      <c r="L837" s="5"/>
      <c r="M837" s="5"/>
      <c r="N837" s="5"/>
      <c r="O837" s="5"/>
      <c r="P837" s="5"/>
    </row>
    <row r="838" spans="1:16" x14ac:dyDescent="0.25">
      <c r="A838" s="10"/>
      <c r="B838" s="10"/>
      <c r="C838" s="10"/>
      <c r="D838" s="12"/>
      <c r="E838" s="10"/>
      <c r="F838" s="10"/>
      <c r="G838" s="10"/>
      <c r="H838" s="5"/>
      <c r="I838" s="5"/>
      <c r="J838" s="5"/>
      <c r="K838" s="5"/>
      <c r="L838" s="5"/>
      <c r="M838" s="5"/>
      <c r="N838" s="5"/>
      <c r="O838" s="5"/>
      <c r="P838" s="5"/>
    </row>
    <row r="839" spans="1:16" x14ac:dyDescent="0.25">
      <c r="A839" s="10"/>
      <c r="B839" s="10"/>
      <c r="C839" s="10"/>
      <c r="D839" s="12"/>
      <c r="E839" s="10"/>
      <c r="F839" s="10"/>
      <c r="G839" s="10"/>
      <c r="H839" s="5"/>
      <c r="I839" s="5"/>
      <c r="J839" s="5"/>
      <c r="K839" s="5"/>
      <c r="L839" s="5"/>
      <c r="M839" s="5"/>
      <c r="N839" s="5"/>
      <c r="O839" s="5"/>
      <c r="P839" s="5"/>
    </row>
    <row r="840" spans="1:16" x14ac:dyDescent="0.25">
      <c r="A840" s="10"/>
      <c r="B840" s="10"/>
      <c r="C840" s="10"/>
      <c r="D840" s="12"/>
      <c r="E840" s="10"/>
      <c r="F840" s="10"/>
      <c r="G840" s="10"/>
      <c r="H840" s="5"/>
      <c r="I840" s="5"/>
      <c r="J840" s="5"/>
      <c r="K840" s="5"/>
      <c r="L840" s="5"/>
      <c r="M840" s="5"/>
      <c r="N840" s="5"/>
      <c r="O840" s="5"/>
      <c r="P840" s="5"/>
    </row>
    <row r="841" spans="1:16" x14ac:dyDescent="0.25">
      <c r="A841" s="10"/>
      <c r="B841" s="10"/>
      <c r="C841" s="10"/>
      <c r="D841" s="12"/>
      <c r="E841" s="10"/>
      <c r="F841" s="10"/>
      <c r="G841" s="10"/>
      <c r="H841" s="5"/>
      <c r="I841" s="5"/>
      <c r="J841" s="5"/>
      <c r="K841" s="5"/>
      <c r="L841" s="5"/>
      <c r="M841" s="5"/>
      <c r="N841" s="5"/>
      <c r="O841" s="5"/>
      <c r="P841" s="5"/>
    </row>
    <row r="842" spans="1:16" x14ac:dyDescent="0.25">
      <c r="A842" s="10"/>
      <c r="B842" s="10"/>
      <c r="C842" s="10"/>
      <c r="D842" s="12"/>
      <c r="E842" s="10"/>
      <c r="F842" s="10"/>
      <c r="G842" s="10"/>
      <c r="H842" s="5"/>
      <c r="I842" s="5"/>
      <c r="J842" s="5"/>
      <c r="K842" s="5"/>
      <c r="L842" s="5"/>
      <c r="M842" s="5"/>
      <c r="N842" s="5"/>
      <c r="O842" s="5"/>
      <c r="P842" s="5"/>
    </row>
    <row r="843" spans="1:16" x14ac:dyDescent="0.25">
      <c r="A843" s="10"/>
      <c r="B843" s="10"/>
      <c r="C843" s="10"/>
      <c r="D843" s="12"/>
      <c r="E843" s="10"/>
      <c r="F843" s="10"/>
      <c r="G843" s="10"/>
      <c r="H843" s="5"/>
      <c r="I843" s="5"/>
      <c r="J843" s="5"/>
      <c r="K843" s="5"/>
      <c r="L843" s="5"/>
      <c r="M843" s="5"/>
      <c r="N843" s="5"/>
      <c r="O843" s="5"/>
      <c r="P843" s="5"/>
    </row>
    <row r="844" spans="1:16" x14ac:dyDescent="0.25">
      <c r="A844" s="10"/>
      <c r="B844" s="10"/>
      <c r="C844" s="10"/>
      <c r="D844" s="12"/>
      <c r="E844" s="10"/>
      <c r="F844" s="10"/>
      <c r="G844" s="10"/>
      <c r="H844" s="5"/>
      <c r="I844" s="5"/>
      <c r="J844" s="5"/>
      <c r="K844" s="5"/>
      <c r="L844" s="5"/>
      <c r="M844" s="5"/>
      <c r="N844" s="5"/>
      <c r="O844" s="5"/>
      <c r="P844" s="5"/>
    </row>
    <row r="845" spans="1:16" x14ac:dyDescent="0.25">
      <c r="A845" s="10"/>
      <c r="B845" s="10"/>
      <c r="C845" s="10"/>
      <c r="D845" s="12"/>
      <c r="E845" s="10"/>
      <c r="F845" s="10"/>
      <c r="G845" s="10"/>
      <c r="H845" s="5"/>
      <c r="I845" s="5"/>
      <c r="J845" s="5"/>
      <c r="K845" s="5"/>
      <c r="L845" s="5"/>
      <c r="M845" s="5"/>
      <c r="N845" s="5"/>
      <c r="O845" s="5"/>
      <c r="P845" s="5"/>
    </row>
    <row r="846" spans="1:16" x14ac:dyDescent="0.25">
      <c r="A846" s="10"/>
      <c r="B846" s="10"/>
      <c r="C846" s="10"/>
      <c r="D846" s="12"/>
      <c r="E846" s="10"/>
      <c r="F846" s="10"/>
      <c r="G846" s="10"/>
      <c r="H846" s="5"/>
      <c r="I846" s="5"/>
      <c r="J846" s="5"/>
      <c r="K846" s="5"/>
      <c r="L846" s="5"/>
      <c r="M846" s="5"/>
      <c r="N846" s="5"/>
      <c r="O846" s="5"/>
      <c r="P846" s="5"/>
    </row>
    <row r="847" spans="1:16" x14ac:dyDescent="0.25">
      <c r="A847" s="10"/>
      <c r="B847" s="10"/>
      <c r="C847" s="10"/>
      <c r="D847" s="12"/>
      <c r="E847" s="10"/>
      <c r="F847" s="10"/>
      <c r="G847" s="10"/>
      <c r="H847" s="5"/>
      <c r="I847" s="5"/>
      <c r="J847" s="5"/>
      <c r="K847" s="5"/>
      <c r="L847" s="5"/>
      <c r="M847" s="5"/>
      <c r="N847" s="5"/>
      <c r="O847" s="5"/>
      <c r="P847" s="5"/>
    </row>
    <row r="848" spans="1:16" x14ac:dyDescent="0.25">
      <c r="A848" s="10"/>
      <c r="B848" s="10"/>
      <c r="C848" s="10"/>
      <c r="D848" s="12"/>
      <c r="E848" s="10"/>
      <c r="F848" s="10"/>
      <c r="G848" s="10"/>
      <c r="H848" s="5"/>
      <c r="I848" s="5"/>
      <c r="J848" s="5"/>
      <c r="K848" s="5"/>
      <c r="L848" s="5"/>
      <c r="M848" s="5"/>
      <c r="N848" s="5"/>
      <c r="O848" s="5"/>
      <c r="P848" s="5"/>
    </row>
    <row r="849" spans="1:16" x14ac:dyDescent="0.25">
      <c r="A849" s="10"/>
      <c r="B849" s="10"/>
      <c r="C849" s="10"/>
      <c r="D849" s="12"/>
      <c r="E849" s="10"/>
      <c r="F849" s="10"/>
      <c r="G849" s="10"/>
      <c r="H849" s="5"/>
      <c r="I849" s="5"/>
      <c r="J849" s="5"/>
      <c r="K849" s="5"/>
      <c r="L849" s="5"/>
      <c r="M849" s="5"/>
      <c r="N849" s="5"/>
      <c r="O849" s="5"/>
      <c r="P849" s="5"/>
    </row>
    <row r="850" spans="1:16" x14ac:dyDescent="0.25">
      <c r="A850" s="10"/>
      <c r="B850" s="10"/>
      <c r="C850" s="10"/>
      <c r="D850" s="12"/>
      <c r="E850" s="10"/>
      <c r="F850" s="10"/>
      <c r="G850" s="10"/>
      <c r="H850" s="5"/>
      <c r="I850" s="5"/>
      <c r="J850" s="5"/>
      <c r="K850" s="5"/>
      <c r="L850" s="5"/>
      <c r="M850" s="5"/>
      <c r="N850" s="5"/>
      <c r="O850" s="5"/>
      <c r="P850" s="5"/>
    </row>
    <row r="851" spans="1:16" x14ac:dyDescent="0.25">
      <c r="A851" s="10"/>
      <c r="B851" s="10"/>
      <c r="C851" s="10"/>
      <c r="D851" s="12"/>
      <c r="E851" s="10"/>
      <c r="F851" s="10"/>
      <c r="G851" s="10"/>
      <c r="H851" s="5"/>
      <c r="I851" s="5"/>
      <c r="J851" s="5"/>
      <c r="K851" s="5"/>
      <c r="L851" s="5"/>
      <c r="M851" s="5"/>
      <c r="N851" s="5"/>
      <c r="O851" s="5"/>
      <c r="P851" s="5"/>
    </row>
    <row r="852" spans="1:16" x14ac:dyDescent="0.25">
      <c r="A852" s="10"/>
      <c r="B852" s="10"/>
      <c r="C852" s="10"/>
      <c r="D852" s="12"/>
      <c r="E852" s="10"/>
      <c r="F852" s="10"/>
      <c r="G852" s="10"/>
      <c r="H852" s="5"/>
      <c r="I852" s="5"/>
      <c r="J852" s="5"/>
      <c r="K852" s="5"/>
      <c r="L852" s="5"/>
      <c r="M852" s="5"/>
      <c r="N852" s="5"/>
      <c r="O852" s="5"/>
      <c r="P852" s="5"/>
    </row>
    <row r="853" spans="1:16" x14ac:dyDescent="0.25">
      <c r="A853" s="10"/>
      <c r="B853" s="10"/>
      <c r="C853" s="10"/>
      <c r="D853" s="12"/>
      <c r="E853" s="10"/>
      <c r="F853" s="10"/>
      <c r="G853" s="10"/>
      <c r="H853" s="5"/>
      <c r="I853" s="5"/>
      <c r="J853" s="5"/>
      <c r="K853" s="5"/>
      <c r="L853" s="5"/>
      <c r="M853" s="5"/>
      <c r="N853" s="5"/>
      <c r="O853" s="5"/>
      <c r="P853" s="5"/>
    </row>
    <row r="854" spans="1:16" x14ac:dyDescent="0.25">
      <c r="A854" s="10"/>
      <c r="B854" s="10"/>
      <c r="C854" s="10"/>
      <c r="D854" s="12"/>
      <c r="E854" s="10"/>
      <c r="F854" s="10"/>
      <c r="G854" s="10"/>
      <c r="H854" s="5"/>
      <c r="I854" s="5"/>
      <c r="J854" s="5"/>
      <c r="K854" s="5"/>
      <c r="L854" s="5"/>
      <c r="M854" s="5"/>
      <c r="N854" s="5"/>
      <c r="O854" s="5"/>
      <c r="P854" s="5"/>
    </row>
    <row r="855" spans="1:16" x14ac:dyDescent="0.25">
      <c r="A855" s="10"/>
      <c r="B855" s="10"/>
      <c r="C855" s="10"/>
      <c r="D855" s="12"/>
      <c r="E855" s="10"/>
      <c r="F855" s="10"/>
      <c r="G855" s="10"/>
      <c r="H855" s="5"/>
      <c r="I855" s="5"/>
      <c r="J855" s="5"/>
      <c r="K855" s="5"/>
      <c r="L855" s="5"/>
      <c r="M855" s="5"/>
      <c r="N855" s="5"/>
      <c r="O855" s="5"/>
      <c r="P855" s="5"/>
    </row>
    <row r="856" spans="1:16" x14ac:dyDescent="0.25">
      <c r="A856" s="10"/>
      <c r="B856" s="10"/>
      <c r="C856" s="10"/>
      <c r="D856" s="12"/>
      <c r="E856" s="10"/>
      <c r="F856" s="10"/>
      <c r="G856" s="10"/>
      <c r="H856" s="5"/>
      <c r="I856" s="5"/>
      <c r="J856" s="5"/>
      <c r="K856" s="5"/>
      <c r="L856" s="5"/>
      <c r="M856" s="5"/>
      <c r="N856" s="5"/>
      <c r="O856" s="5"/>
      <c r="P856" s="5"/>
    </row>
    <row r="857" spans="1:16" x14ac:dyDescent="0.25">
      <c r="A857" s="10"/>
      <c r="B857" s="10"/>
      <c r="C857" s="10"/>
      <c r="D857" s="12"/>
      <c r="E857" s="10"/>
      <c r="F857" s="10"/>
      <c r="G857" s="10"/>
      <c r="H857" s="5"/>
      <c r="I857" s="5"/>
      <c r="J857" s="5"/>
      <c r="K857" s="5"/>
      <c r="L857" s="5"/>
      <c r="M857" s="5"/>
      <c r="N857" s="5"/>
      <c r="O857" s="5"/>
      <c r="P857" s="5"/>
    </row>
    <row r="858" spans="1:16" x14ac:dyDescent="0.25">
      <c r="A858" s="10"/>
      <c r="B858" s="10"/>
      <c r="C858" s="10"/>
      <c r="D858" s="12"/>
      <c r="E858" s="10"/>
      <c r="F858" s="10"/>
      <c r="G858" s="10"/>
      <c r="H858" s="5"/>
      <c r="I858" s="5"/>
      <c r="J858" s="5"/>
      <c r="K858" s="5"/>
      <c r="L858" s="5"/>
      <c r="M858" s="5"/>
      <c r="N858" s="5"/>
      <c r="O858" s="5"/>
      <c r="P858" s="5"/>
    </row>
    <row r="859" spans="1:16" x14ac:dyDescent="0.25">
      <c r="A859" s="10"/>
      <c r="B859" s="10"/>
      <c r="C859" s="10"/>
      <c r="D859" s="12"/>
      <c r="E859" s="10"/>
      <c r="F859" s="10"/>
      <c r="G859" s="10"/>
      <c r="H859" s="5"/>
      <c r="I859" s="5"/>
      <c r="J859" s="5"/>
      <c r="K859" s="5"/>
      <c r="L859" s="5"/>
      <c r="M859" s="5"/>
      <c r="N859" s="5"/>
      <c r="O859" s="5"/>
      <c r="P859" s="5"/>
    </row>
    <row r="860" spans="1:16" x14ac:dyDescent="0.25">
      <c r="A860" s="10"/>
      <c r="B860" s="10"/>
      <c r="C860" s="10"/>
      <c r="D860" s="12"/>
      <c r="E860" s="10"/>
      <c r="F860" s="10"/>
      <c r="G860" s="10"/>
      <c r="H860" s="5"/>
      <c r="I860" s="5"/>
      <c r="J860" s="5"/>
      <c r="K860" s="5"/>
      <c r="L860" s="5"/>
      <c r="M860" s="5"/>
      <c r="N860" s="5"/>
      <c r="O860" s="5"/>
      <c r="P860" s="5"/>
    </row>
    <row r="861" spans="1:16" x14ac:dyDescent="0.25">
      <c r="A861" s="10"/>
      <c r="B861" s="10"/>
      <c r="C861" s="10"/>
      <c r="D861" s="12"/>
      <c r="E861" s="10"/>
      <c r="F861" s="10"/>
      <c r="G861" s="10"/>
      <c r="H861" s="5"/>
      <c r="I861" s="5"/>
      <c r="J861" s="5"/>
      <c r="K861" s="5"/>
      <c r="L861" s="5"/>
      <c r="M861" s="5"/>
      <c r="N861" s="5"/>
      <c r="O861" s="5"/>
      <c r="P861" s="5"/>
    </row>
    <row r="862" spans="1:16" x14ac:dyDescent="0.25">
      <c r="A862" s="10"/>
      <c r="B862" s="10"/>
      <c r="C862" s="10"/>
      <c r="D862" s="12"/>
      <c r="E862" s="10"/>
      <c r="F862" s="10"/>
      <c r="G862" s="10"/>
      <c r="H862" s="5"/>
      <c r="I862" s="5"/>
      <c r="J862" s="5"/>
      <c r="K862" s="5"/>
      <c r="L862" s="5"/>
      <c r="M862" s="5"/>
      <c r="N862" s="5"/>
      <c r="O862" s="5"/>
      <c r="P862" s="5"/>
    </row>
    <row r="863" spans="1:16" x14ac:dyDescent="0.25">
      <c r="A863" s="10"/>
      <c r="B863" s="10"/>
      <c r="C863" s="10"/>
      <c r="D863" s="12"/>
      <c r="E863" s="10"/>
      <c r="F863" s="10"/>
      <c r="G863" s="10"/>
      <c r="H863" s="5"/>
      <c r="I863" s="5"/>
      <c r="J863" s="5"/>
      <c r="K863" s="5"/>
      <c r="L863" s="5"/>
      <c r="M863" s="5"/>
      <c r="N863" s="5"/>
      <c r="O863" s="5"/>
      <c r="P863" s="5"/>
    </row>
    <row r="864" spans="1:16" x14ac:dyDescent="0.25">
      <c r="A864" s="10"/>
      <c r="B864" s="10"/>
      <c r="C864" s="10"/>
      <c r="D864" s="12"/>
      <c r="E864" s="10"/>
      <c r="F864" s="10"/>
      <c r="G864" s="10"/>
      <c r="H864" s="5"/>
      <c r="I864" s="5"/>
      <c r="J864" s="5"/>
      <c r="K864" s="5"/>
      <c r="L864" s="5"/>
      <c r="M864" s="5"/>
      <c r="N864" s="5"/>
      <c r="O864" s="5"/>
      <c r="P864" s="5"/>
    </row>
    <row r="865" spans="1:16" x14ac:dyDescent="0.25">
      <c r="A865" s="10"/>
      <c r="B865" s="10"/>
      <c r="C865" s="10"/>
      <c r="D865" s="12"/>
      <c r="E865" s="10"/>
      <c r="F865" s="10"/>
      <c r="G865" s="10"/>
      <c r="H865" s="5"/>
      <c r="I865" s="5"/>
      <c r="J865" s="5"/>
      <c r="K865" s="5"/>
      <c r="L865" s="5"/>
      <c r="M865" s="5"/>
      <c r="N865" s="5"/>
      <c r="O865" s="5"/>
      <c r="P865" s="5"/>
    </row>
    <row r="866" spans="1:16" x14ac:dyDescent="0.25">
      <c r="A866" s="10"/>
      <c r="B866" s="10"/>
      <c r="C866" s="10"/>
      <c r="D866" s="12"/>
      <c r="E866" s="10"/>
      <c r="F866" s="10"/>
      <c r="G866" s="10"/>
      <c r="H866" s="5"/>
      <c r="I866" s="5"/>
      <c r="J866" s="5"/>
      <c r="K866" s="5"/>
      <c r="L866" s="5"/>
      <c r="M866" s="5"/>
      <c r="N866" s="5"/>
      <c r="O866" s="5"/>
      <c r="P866" s="5"/>
    </row>
    <row r="867" spans="1:16" x14ac:dyDescent="0.25">
      <c r="A867" s="10"/>
      <c r="B867" s="10"/>
      <c r="C867" s="10"/>
      <c r="D867" s="12"/>
      <c r="E867" s="10"/>
      <c r="F867" s="10"/>
      <c r="G867" s="10"/>
      <c r="H867" s="5"/>
      <c r="I867" s="5"/>
      <c r="J867" s="5"/>
      <c r="K867" s="5"/>
      <c r="L867" s="5"/>
      <c r="M867" s="5"/>
      <c r="N867" s="5"/>
      <c r="O867" s="5"/>
      <c r="P867" s="5"/>
    </row>
    <row r="868" spans="1:16" x14ac:dyDescent="0.25">
      <c r="A868" s="10"/>
      <c r="B868" s="10"/>
      <c r="C868" s="10"/>
      <c r="D868" s="12"/>
      <c r="E868" s="10"/>
      <c r="F868" s="10"/>
      <c r="G868" s="10"/>
      <c r="H868" s="5"/>
      <c r="I868" s="5"/>
      <c r="J868" s="5"/>
      <c r="K868" s="5"/>
      <c r="L868" s="5"/>
      <c r="M868" s="5"/>
      <c r="N868" s="5"/>
      <c r="O868" s="5"/>
      <c r="P868" s="5"/>
    </row>
    <row r="869" spans="1:16" x14ac:dyDescent="0.25">
      <c r="A869" s="10"/>
      <c r="B869" s="10"/>
      <c r="C869" s="10"/>
      <c r="D869" s="12"/>
      <c r="E869" s="10"/>
      <c r="F869" s="10"/>
      <c r="G869" s="10"/>
      <c r="H869" s="5"/>
      <c r="I869" s="5"/>
      <c r="J869" s="5"/>
      <c r="K869" s="5"/>
      <c r="L869" s="5"/>
      <c r="M869" s="5"/>
      <c r="N869" s="5"/>
      <c r="O869" s="5"/>
      <c r="P869" s="5"/>
    </row>
    <row r="870" spans="1:16" x14ac:dyDescent="0.25">
      <c r="A870" s="10"/>
      <c r="B870" s="10"/>
      <c r="C870" s="10"/>
      <c r="D870" s="12"/>
      <c r="E870" s="10"/>
      <c r="F870" s="10"/>
      <c r="G870" s="10"/>
      <c r="H870" s="5"/>
      <c r="I870" s="5"/>
      <c r="J870" s="5"/>
      <c r="K870" s="5"/>
      <c r="L870" s="5"/>
      <c r="M870" s="5"/>
      <c r="N870" s="5"/>
      <c r="O870" s="5"/>
      <c r="P870" s="5"/>
    </row>
    <row r="871" spans="1:16" x14ac:dyDescent="0.25">
      <c r="A871" s="10"/>
      <c r="B871" s="10"/>
      <c r="C871" s="10"/>
      <c r="D871" s="12"/>
      <c r="E871" s="10"/>
      <c r="F871" s="10"/>
      <c r="G871" s="10"/>
      <c r="H871" s="5"/>
      <c r="I871" s="5"/>
      <c r="J871" s="5"/>
      <c r="K871" s="5"/>
      <c r="L871" s="5"/>
      <c r="M871" s="5"/>
      <c r="N871" s="5"/>
      <c r="O871" s="5"/>
      <c r="P871" s="5"/>
    </row>
    <row r="872" spans="1:16" x14ac:dyDescent="0.25">
      <c r="A872" s="10"/>
      <c r="B872" s="10"/>
      <c r="C872" s="10"/>
      <c r="D872" s="12"/>
      <c r="E872" s="10"/>
      <c r="F872" s="10"/>
      <c r="G872" s="10"/>
      <c r="H872" s="5"/>
      <c r="I872" s="5"/>
      <c r="J872" s="5"/>
      <c r="K872" s="5"/>
      <c r="L872" s="5"/>
      <c r="M872" s="5"/>
      <c r="N872" s="5"/>
      <c r="O872" s="5"/>
      <c r="P872" s="5"/>
    </row>
    <row r="873" spans="1:16" x14ac:dyDescent="0.25">
      <c r="A873" s="10"/>
      <c r="B873" s="10"/>
      <c r="C873" s="10"/>
      <c r="D873" s="12"/>
      <c r="E873" s="10"/>
      <c r="F873" s="10"/>
      <c r="G873" s="10"/>
      <c r="H873" s="5"/>
      <c r="I873" s="5"/>
      <c r="J873" s="5"/>
      <c r="K873" s="5"/>
      <c r="L873" s="5"/>
      <c r="M873" s="5"/>
      <c r="N873" s="5"/>
      <c r="O873" s="5"/>
      <c r="P873" s="5"/>
    </row>
    <row r="874" spans="1:16" x14ac:dyDescent="0.25">
      <c r="A874" s="10"/>
      <c r="B874" s="10"/>
      <c r="C874" s="10"/>
      <c r="D874" s="12"/>
      <c r="E874" s="10"/>
      <c r="F874" s="10"/>
      <c r="G874" s="10"/>
      <c r="H874" s="5"/>
      <c r="I874" s="5"/>
      <c r="J874" s="5"/>
      <c r="K874" s="5"/>
      <c r="L874" s="5"/>
      <c r="M874" s="5"/>
      <c r="N874" s="5"/>
      <c r="O874" s="5"/>
      <c r="P874" s="5"/>
    </row>
    <row r="875" spans="1:16" x14ac:dyDescent="0.25">
      <c r="A875" s="10"/>
      <c r="B875" s="10"/>
      <c r="C875" s="10"/>
      <c r="D875" s="12"/>
      <c r="E875" s="10"/>
      <c r="F875" s="10"/>
      <c r="G875" s="10"/>
      <c r="H875" s="5"/>
      <c r="I875" s="5"/>
      <c r="J875" s="5"/>
      <c r="K875" s="5"/>
      <c r="L875" s="5"/>
      <c r="M875" s="5"/>
      <c r="N875" s="5"/>
      <c r="O875" s="5"/>
      <c r="P875" s="5"/>
    </row>
    <row r="876" spans="1:16" x14ac:dyDescent="0.25">
      <c r="A876" s="10"/>
      <c r="B876" s="10"/>
      <c r="C876" s="10"/>
      <c r="D876" s="12"/>
      <c r="E876" s="10"/>
      <c r="F876" s="10"/>
      <c r="G876" s="10"/>
      <c r="H876" s="5"/>
      <c r="I876" s="5"/>
      <c r="J876" s="5"/>
      <c r="K876" s="5"/>
      <c r="L876" s="5"/>
      <c r="M876" s="5"/>
      <c r="N876" s="5"/>
      <c r="O876" s="5"/>
      <c r="P876" s="5"/>
    </row>
    <row r="877" spans="1:16" x14ac:dyDescent="0.25">
      <c r="A877" s="10"/>
      <c r="B877" s="10"/>
      <c r="C877" s="10"/>
      <c r="D877" s="12"/>
      <c r="E877" s="10"/>
      <c r="F877" s="10"/>
      <c r="G877" s="10"/>
      <c r="H877" s="5"/>
      <c r="I877" s="5"/>
      <c r="J877" s="5"/>
      <c r="K877" s="5"/>
      <c r="L877" s="5"/>
      <c r="M877" s="5"/>
      <c r="N877" s="5"/>
      <c r="O877" s="5"/>
      <c r="P877" s="5"/>
    </row>
    <row r="878" spans="1:16" x14ac:dyDescent="0.25">
      <c r="A878" s="10"/>
      <c r="B878" s="10"/>
      <c r="C878" s="10"/>
      <c r="D878" s="12"/>
      <c r="E878" s="10"/>
      <c r="F878" s="10"/>
      <c r="G878" s="10"/>
      <c r="H878" s="5"/>
      <c r="I878" s="5"/>
      <c r="J878" s="5"/>
      <c r="K878" s="5"/>
      <c r="L878" s="5"/>
      <c r="M878" s="5"/>
      <c r="N878" s="5"/>
      <c r="O878" s="5"/>
      <c r="P878" s="5"/>
    </row>
    <row r="879" spans="1:16" x14ac:dyDescent="0.25">
      <c r="A879" s="10"/>
      <c r="B879" s="10"/>
      <c r="C879" s="10"/>
      <c r="D879" s="12"/>
      <c r="E879" s="10"/>
      <c r="F879" s="10"/>
      <c r="G879" s="10"/>
      <c r="H879" s="5"/>
      <c r="I879" s="5"/>
      <c r="J879" s="5"/>
      <c r="K879" s="5"/>
      <c r="L879" s="5"/>
      <c r="M879" s="5"/>
      <c r="N879" s="5"/>
      <c r="O879" s="5"/>
      <c r="P879" s="5"/>
    </row>
    <row r="880" spans="1:16" x14ac:dyDescent="0.25">
      <c r="A880" s="10"/>
      <c r="B880" s="10"/>
      <c r="C880" s="10"/>
      <c r="D880" s="12"/>
      <c r="E880" s="10"/>
      <c r="F880" s="10"/>
      <c r="G880" s="10"/>
      <c r="H880" s="5"/>
      <c r="I880" s="5"/>
      <c r="J880" s="5"/>
      <c r="K880" s="5"/>
      <c r="L880" s="5"/>
      <c r="M880" s="5"/>
      <c r="N880" s="5"/>
      <c r="O880" s="5"/>
      <c r="P880" s="5"/>
    </row>
    <row r="881" spans="1:16" x14ac:dyDescent="0.25">
      <c r="A881" s="10"/>
      <c r="B881" s="10"/>
      <c r="C881" s="10"/>
      <c r="D881" s="12"/>
      <c r="E881" s="10"/>
      <c r="F881" s="10"/>
      <c r="G881" s="10"/>
      <c r="H881" s="5"/>
      <c r="I881" s="5"/>
      <c r="J881" s="5"/>
      <c r="K881" s="5"/>
      <c r="L881" s="5"/>
      <c r="M881" s="5"/>
      <c r="N881" s="5"/>
      <c r="O881" s="5"/>
      <c r="P881" s="5"/>
    </row>
    <row r="882" spans="1:16" x14ac:dyDescent="0.25">
      <c r="A882" s="10"/>
      <c r="B882" s="10"/>
      <c r="C882" s="10"/>
      <c r="D882" s="12"/>
      <c r="E882" s="10"/>
      <c r="F882" s="10"/>
      <c r="G882" s="10"/>
      <c r="H882" s="5"/>
      <c r="I882" s="5"/>
      <c r="J882" s="5"/>
      <c r="K882" s="5"/>
      <c r="L882" s="5"/>
      <c r="M882" s="5"/>
      <c r="N882" s="5"/>
      <c r="O882" s="5"/>
      <c r="P882" s="5"/>
    </row>
    <row r="883" spans="1:16" x14ac:dyDescent="0.25">
      <c r="A883" s="10"/>
      <c r="B883" s="10"/>
      <c r="C883" s="10"/>
      <c r="D883" s="12"/>
      <c r="E883" s="10"/>
      <c r="F883" s="10"/>
      <c r="G883" s="10"/>
      <c r="H883" s="5"/>
      <c r="I883" s="5"/>
      <c r="J883" s="5"/>
      <c r="K883" s="5"/>
      <c r="L883" s="5"/>
      <c r="M883" s="5"/>
      <c r="N883" s="5"/>
      <c r="O883" s="5"/>
      <c r="P883" s="5"/>
    </row>
    <row r="884" spans="1:16" x14ac:dyDescent="0.25">
      <c r="A884" s="10"/>
      <c r="B884" s="10"/>
      <c r="C884" s="10"/>
      <c r="D884" s="12"/>
      <c r="E884" s="10"/>
      <c r="F884" s="10"/>
      <c r="G884" s="10"/>
      <c r="H884" s="5"/>
      <c r="I884" s="5"/>
      <c r="J884" s="5"/>
      <c r="K884" s="5"/>
      <c r="L884" s="5"/>
      <c r="M884" s="5"/>
      <c r="N884" s="5"/>
      <c r="O884" s="5"/>
      <c r="P884" s="5"/>
    </row>
    <row r="885" spans="1:16" x14ac:dyDescent="0.25">
      <c r="A885" s="10"/>
      <c r="B885" s="10"/>
      <c r="C885" s="10"/>
      <c r="D885" s="12"/>
      <c r="E885" s="10"/>
      <c r="F885" s="10"/>
      <c r="G885" s="10"/>
      <c r="H885" s="5"/>
      <c r="I885" s="5"/>
      <c r="J885" s="5"/>
      <c r="K885" s="5"/>
      <c r="L885" s="5"/>
      <c r="M885" s="5"/>
      <c r="N885" s="5"/>
      <c r="O885" s="5"/>
      <c r="P885" s="5"/>
    </row>
    <row r="886" spans="1:16" x14ac:dyDescent="0.25">
      <c r="A886" s="10"/>
      <c r="B886" s="10"/>
      <c r="C886" s="10"/>
      <c r="D886" s="12"/>
      <c r="E886" s="10"/>
      <c r="F886" s="10"/>
      <c r="G886" s="10"/>
      <c r="H886" s="5"/>
      <c r="I886" s="5"/>
      <c r="J886" s="5"/>
      <c r="K886" s="5"/>
      <c r="L886" s="5"/>
      <c r="M886" s="5"/>
      <c r="N886" s="5"/>
      <c r="O886" s="5"/>
      <c r="P886" s="5"/>
    </row>
    <row r="887" spans="1:16" x14ac:dyDescent="0.25">
      <c r="A887" s="10"/>
      <c r="B887" s="10"/>
      <c r="C887" s="10"/>
      <c r="D887" s="12"/>
      <c r="E887" s="10"/>
      <c r="F887" s="10"/>
      <c r="G887" s="10"/>
      <c r="H887" s="5"/>
      <c r="I887" s="5"/>
      <c r="J887" s="5"/>
      <c r="K887" s="5"/>
      <c r="L887" s="5"/>
      <c r="M887" s="5"/>
      <c r="N887" s="5"/>
      <c r="O887" s="5"/>
      <c r="P887" s="5"/>
    </row>
    <row r="888" spans="1:16" x14ac:dyDescent="0.25">
      <c r="A888" s="10"/>
      <c r="B888" s="10"/>
      <c r="C888" s="10"/>
      <c r="D888" s="12"/>
      <c r="E888" s="10"/>
      <c r="F888" s="10"/>
      <c r="G888" s="10"/>
      <c r="H888" s="5"/>
      <c r="I888" s="5"/>
      <c r="J888" s="5"/>
      <c r="K888" s="5"/>
      <c r="L888" s="5"/>
      <c r="M888" s="5"/>
      <c r="N888" s="5"/>
      <c r="O888" s="5"/>
      <c r="P888" s="5"/>
    </row>
    <row r="889" spans="1:16" x14ac:dyDescent="0.25">
      <c r="A889" s="10"/>
      <c r="B889" s="10"/>
      <c r="C889" s="10"/>
      <c r="D889" s="12"/>
      <c r="E889" s="10"/>
      <c r="F889" s="10"/>
      <c r="G889" s="10"/>
      <c r="H889" s="5"/>
      <c r="I889" s="5"/>
      <c r="J889" s="5"/>
      <c r="K889" s="5"/>
      <c r="L889" s="5"/>
      <c r="M889" s="5"/>
      <c r="N889" s="5"/>
      <c r="O889" s="5"/>
      <c r="P889" s="5"/>
    </row>
    <row r="890" spans="1:16" x14ac:dyDescent="0.25">
      <c r="A890" s="10"/>
      <c r="B890" s="10"/>
      <c r="C890" s="10"/>
      <c r="D890" s="12"/>
      <c r="E890" s="10"/>
      <c r="F890" s="10"/>
      <c r="G890" s="10"/>
      <c r="H890" s="5"/>
      <c r="I890" s="5"/>
      <c r="J890" s="5"/>
      <c r="K890" s="5"/>
      <c r="L890" s="5"/>
      <c r="M890" s="5"/>
      <c r="N890" s="5"/>
      <c r="O890" s="5"/>
      <c r="P890" s="5"/>
    </row>
    <row r="891" spans="1:16" x14ac:dyDescent="0.25">
      <c r="A891" s="10"/>
      <c r="B891" s="10"/>
      <c r="C891" s="10"/>
      <c r="D891" s="12"/>
      <c r="E891" s="10"/>
      <c r="F891" s="10"/>
      <c r="G891" s="10"/>
      <c r="H891" s="5"/>
      <c r="I891" s="5"/>
      <c r="J891" s="5"/>
      <c r="K891" s="5"/>
      <c r="L891" s="5"/>
      <c r="M891" s="5"/>
      <c r="N891" s="5"/>
      <c r="O891" s="5"/>
      <c r="P891" s="5"/>
    </row>
    <row r="892" spans="1:16" x14ac:dyDescent="0.25">
      <c r="A892" s="10"/>
      <c r="B892" s="10"/>
      <c r="C892" s="10"/>
      <c r="D892" s="12"/>
      <c r="E892" s="10"/>
      <c r="F892" s="10"/>
      <c r="G892" s="10"/>
      <c r="H892" s="5"/>
      <c r="I892" s="5"/>
      <c r="J892" s="5"/>
      <c r="K892" s="5"/>
      <c r="L892" s="5"/>
      <c r="M892" s="5"/>
      <c r="N892" s="5"/>
      <c r="O892" s="5"/>
      <c r="P892" s="5"/>
    </row>
    <row r="893" spans="1:16" x14ac:dyDescent="0.25">
      <c r="A893" s="10"/>
      <c r="B893" s="10"/>
      <c r="C893" s="10"/>
      <c r="D893" s="12"/>
      <c r="E893" s="10"/>
      <c r="F893" s="10"/>
      <c r="G893" s="10"/>
      <c r="H893" s="5"/>
      <c r="I893" s="5"/>
      <c r="J893" s="5"/>
      <c r="K893" s="5"/>
      <c r="L893" s="5"/>
      <c r="M893" s="5"/>
      <c r="N893" s="5"/>
      <c r="O893" s="5"/>
      <c r="P893" s="5"/>
    </row>
    <row r="894" spans="1:16" x14ac:dyDescent="0.25">
      <c r="A894" s="10"/>
      <c r="B894" s="10"/>
      <c r="C894" s="10"/>
      <c r="D894" s="12"/>
      <c r="E894" s="10"/>
      <c r="F894" s="10"/>
      <c r="G894" s="10"/>
      <c r="H894" s="5"/>
      <c r="I894" s="5"/>
      <c r="J894" s="5"/>
      <c r="K894" s="5"/>
      <c r="L894" s="5"/>
      <c r="M894" s="5"/>
      <c r="N894" s="5"/>
      <c r="O894" s="5"/>
      <c r="P894" s="5"/>
    </row>
    <row r="895" spans="1:16" x14ac:dyDescent="0.25">
      <c r="A895" s="10"/>
      <c r="B895" s="10"/>
      <c r="C895" s="10"/>
      <c r="D895" s="12"/>
      <c r="E895" s="10"/>
      <c r="F895" s="10"/>
      <c r="G895" s="10"/>
      <c r="H895" s="5"/>
      <c r="I895" s="5"/>
      <c r="J895" s="5"/>
      <c r="K895" s="5"/>
      <c r="L895" s="5"/>
      <c r="M895" s="5"/>
      <c r="N895" s="5"/>
      <c r="O895" s="5"/>
      <c r="P895" s="5"/>
    </row>
    <row r="896" spans="1:16" x14ac:dyDescent="0.25">
      <c r="A896" s="10"/>
      <c r="B896" s="10"/>
      <c r="C896" s="10"/>
      <c r="D896" s="12"/>
      <c r="E896" s="10"/>
      <c r="F896" s="10"/>
      <c r="G896" s="10"/>
      <c r="H896" s="5"/>
      <c r="I896" s="5"/>
      <c r="J896" s="5"/>
      <c r="K896" s="5"/>
      <c r="L896" s="5"/>
      <c r="M896" s="5"/>
      <c r="N896" s="5"/>
      <c r="O896" s="5"/>
      <c r="P896" s="5"/>
    </row>
    <row r="897" spans="1:16" x14ac:dyDescent="0.25">
      <c r="A897" s="10"/>
      <c r="B897" s="10"/>
      <c r="C897" s="10"/>
      <c r="D897" s="12"/>
      <c r="E897" s="10"/>
      <c r="F897" s="10"/>
      <c r="G897" s="10"/>
      <c r="H897" s="5"/>
      <c r="I897" s="5"/>
      <c r="J897" s="5"/>
      <c r="K897" s="5"/>
      <c r="L897" s="5"/>
      <c r="M897" s="5"/>
      <c r="N897" s="5"/>
      <c r="O897" s="5"/>
      <c r="P897" s="5"/>
    </row>
    <row r="898" spans="1:16" x14ac:dyDescent="0.25">
      <c r="A898" s="10"/>
      <c r="B898" s="10"/>
      <c r="C898" s="10"/>
      <c r="D898" s="12"/>
      <c r="E898" s="10"/>
      <c r="F898" s="10"/>
      <c r="G898" s="10"/>
      <c r="H898" s="5"/>
      <c r="I898" s="5"/>
      <c r="J898" s="5"/>
      <c r="K898" s="5"/>
      <c r="L898" s="5"/>
      <c r="M898" s="5"/>
      <c r="N898" s="5"/>
      <c r="O898" s="5"/>
      <c r="P898" s="5"/>
    </row>
    <row r="899" spans="1:16" x14ac:dyDescent="0.25">
      <c r="A899" s="10"/>
      <c r="B899" s="10"/>
      <c r="C899" s="10"/>
      <c r="D899" s="12"/>
      <c r="E899" s="10"/>
      <c r="F899" s="10"/>
      <c r="G899" s="10"/>
      <c r="H899" s="5"/>
      <c r="I899" s="5"/>
      <c r="J899" s="5"/>
      <c r="K899" s="5"/>
      <c r="L899" s="5"/>
      <c r="M899" s="5"/>
      <c r="N899" s="5"/>
      <c r="O899" s="5"/>
      <c r="P899" s="5"/>
    </row>
    <row r="900" spans="1:16" x14ac:dyDescent="0.25">
      <c r="A900" s="10"/>
      <c r="B900" s="10"/>
      <c r="C900" s="10"/>
      <c r="D900" s="12"/>
      <c r="E900" s="10"/>
      <c r="F900" s="10"/>
      <c r="G900" s="10"/>
      <c r="H900" s="5"/>
      <c r="I900" s="5"/>
      <c r="J900" s="5"/>
      <c r="K900" s="5"/>
      <c r="L900" s="5"/>
      <c r="M900" s="5"/>
      <c r="N900" s="5"/>
      <c r="O900" s="5"/>
      <c r="P900" s="5"/>
    </row>
    <row r="901" spans="1:16" x14ac:dyDescent="0.25">
      <c r="A901" s="10"/>
      <c r="B901" s="10"/>
      <c r="C901" s="10"/>
      <c r="D901" s="12"/>
      <c r="E901" s="10"/>
      <c r="F901" s="10"/>
      <c r="G901" s="10"/>
      <c r="H901" s="5"/>
      <c r="I901" s="5"/>
      <c r="J901" s="5"/>
      <c r="K901" s="5"/>
      <c r="L901" s="5"/>
      <c r="M901" s="5"/>
      <c r="N901" s="5"/>
      <c r="O901" s="5"/>
      <c r="P901" s="5"/>
    </row>
    <row r="902" spans="1:16" x14ac:dyDescent="0.25">
      <c r="A902" s="10"/>
      <c r="B902" s="10"/>
      <c r="C902" s="10"/>
      <c r="D902" s="12"/>
      <c r="E902" s="10"/>
      <c r="F902" s="10"/>
      <c r="G902" s="10"/>
      <c r="H902" s="5"/>
      <c r="I902" s="5"/>
      <c r="J902" s="5"/>
      <c r="K902" s="5"/>
      <c r="L902" s="5"/>
      <c r="M902" s="5"/>
      <c r="N902" s="5"/>
      <c r="O902" s="5"/>
      <c r="P902" s="5"/>
    </row>
    <row r="903" spans="1:16" x14ac:dyDescent="0.25">
      <c r="A903" s="10"/>
      <c r="B903" s="10"/>
      <c r="C903" s="10"/>
      <c r="D903" s="12"/>
      <c r="E903" s="10"/>
      <c r="F903" s="10"/>
      <c r="G903" s="10"/>
      <c r="H903" s="5"/>
      <c r="I903" s="5"/>
      <c r="J903" s="5"/>
      <c r="K903" s="5"/>
      <c r="L903" s="5"/>
      <c r="M903" s="5"/>
      <c r="N903" s="5"/>
      <c r="O903" s="5"/>
      <c r="P903" s="5"/>
    </row>
    <row r="904" spans="1:16" x14ac:dyDescent="0.25">
      <c r="A904" s="10"/>
      <c r="B904" s="10"/>
      <c r="C904" s="10"/>
      <c r="D904" s="12"/>
      <c r="E904" s="10"/>
      <c r="F904" s="10"/>
      <c r="G904" s="10"/>
      <c r="H904" s="5"/>
      <c r="I904" s="5"/>
      <c r="J904" s="5"/>
      <c r="K904" s="5"/>
      <c r="L904" s="5"/>
      <c r="M904" s="5"/>
      <c r="N904" s="5"/>
      <c r="O904" s="5"/>
      <c r="P904" s="5"/>
    </row>
    <row r="905" spans="1:16" x14ac:dyDescent="0.25">
      <c r="A905" s="10"/>
      <c r="B905" s="10"/>
      <c r="C905" s="10"/>
      <c r="D905" s="12"/>
      <c r="E905" s="10"/>
      <c r="F905" s="10"/>
      <c r="G905" s="10"/>
      <c r="H905" s="5"/>
      <c r="I905" s="5"/>
      <c r="J905" s="5"/>
      <c r="K905" s="5"/>
      <c r="L905" s="5"/>
      <c r="M905" s="5"/>
      <c r="N905" s="5"/>
      <c r="O905" s="5"/>
      <c r="P905" s="5"/>
    </row>
    <row r="906" spans="1:16" x14ac:dyDescent="0.25">
      <c r="A906" s="10"/>
      <c r="B906" s="10"/>
      <c r="C906" s="10"/>
      <c r="D906" s="12"/>
      <c r="E906" s="10"/>
      <c r="F906" s="10"/>
      <c r="G906" s="10"/>
      <c r="H906" s="5"/>
      <c r="I906" s="5"/>
      <c r="J906" s="5"/>
      <c r="K906" s="5"/>
      <c r="L906" s="5"/>
      <c r="M906" s="5"/>
      <c r="N906" s="5"/>
      <c r="O906" s="5"/>
      <c r="P906" s="5"/>
    </row>
    <row r="907" spans="1:16" x14ac:dyDescent="0.25">
      <c r="A907" s="10"/>
      <c r="B907" s="10"/>
      <c r="C907" s="10"/>
      <c r="D907" s="12"/>
      <c r="E907" s="10"/>
      <c r="F907" s="10"/>
      <c r="G907" s="10"/>
      <c r="H907" s="5"/>
      <c r="I907" s="5"/>
      <c r="J907" s="5"/>
      <c r="K907" s="5"/>
      <c r="L907" s="5"/>
      <c r="M907" s="5"/>
      <c r="N907" s="5"/>
      <c r="O907" s="5"/>
      <c r="P907" s="5"/>
    </row>
    <row r="908" spans="1:16" x14ac:dyDescent="0.25">
      <c r="A908" s="10"/>
      <c r="B908" s="10"/>
      <c r="C908" s="10"/>
      <c r="D908" s="12"/>
      <c r="E908" s="10"/>
      <c r="F908" s="10"/>
      <c r="G908" s="10"/>
      <c r="H908" s="5"/>
      <c r="I908" s="5"/>
      <c r="J908" s="5"/>
      <c r="K908" s="5"/>
      <c r="L908" s="5"/>
      <c r="M908" s="5"/>
      <c r="N908" s="5"/>
      <c r="O908" s="5"/>
      <c r="P908" s="5"/>
    </row>
    <row r="909" spans="1:16" x14ac:dyDescent="0.25">
      <c r="A909" s="10"/>
      <c r="B909" s="10"/>
      <c r="C909" s="10"/>
      <c r="D909" s="12"/>
      <c r="E909" s="10"/>
      <c r="F909" s="10"/>
      <c r="G909" s="10"/>
      <c r="H909" s="5"/>
      <c r="I909" s="5"/>
      <c r="J909" s="5"/>
      <c r="K909" s="5"/>
      <c r="L909" s="5"/>
      <c r="M909" s="5"/>
      <c r="N909" s="5"/>
      <c r="O909" s="5"/>
      <c r="P909" s="5"/>
    </row>
    <row r="910" spans="1:16" x14ac:dyDescent="0.25">
      <c r="A910" s="10"/>
      <c r="B910" s="10"/>
      <c r="C910" s="10"/>
      <c r="D910" s="12"/>
      <c r="E910" s="10"/>
      <c r="F910" s="10"/>
      <c r="G910" s="10"/>
      <c r="H910" s="5"/>
      <c r="I910" s="5"/>
      <c r="J910" s="5"/>
      <c r="K910" s="5"/>
      <c r="L910" s="5"/>
      <c r="M910" s="5"/>
      <c r="N910" s="5"/>
      <c r="O910" s="5"/>
      <c r="P910" s="5"/>
    </row>
    <row r="911" spans="1:16" x14ac:dyDescent="0.25">
      <c r="A911" s="10"/>
      <c r="B911" s="10"/>
      <c r="C911" s="10"/>
      <c r="D911" s="12"/>
      <c r="E911" s="10"/>
      <c r="F911" s="10"/>
      <c r="G911" s="10"/>
      <c r="H911" s="5"/>
      <c r="I911" s="5"/>
      <c r="J911" s="5"/>
      <c r="K911" s="5"/>
      <c r="L911" s="5"/>
      <c r="M911" s="5"/>
      <c r="N911" s="5"/>
      <c r="O911" s="5"/>
      <c r="P911" s="5"/>
    </row>
    <row r="912" spans="1:16" x14ac:dyDescent="0.25">
      <c r="A912" s="10"/>
      <c r="B912" s="10"/>
      <c r="C912" s="10"/>
      <c r="D912" s="12"/>
      <c r="E912" s="10"/>
      <c r="F912" s="10"/>
      <c r="G912" s="10"/>
      <c r="H912" s="5"/>
      <c r="I912" s="5"/>
      <c r="J912" s="5"/>
      <c r="K912" s="5"/>
      <c r="L912" s="5"/>
      <c r="M912" s="5"/>
      <c r="N912" s="5"/>
      <c r="O912" s="5"/>
      <c r="P912" s="5"/>
    </row>
    <row r="913" spans="1:16" x14ac:dyDescent="0.25">
      <c r="A913" s="10"/>
      <c r="B913" s="10"/>
      <c r="C913" s="10"/>
      <c r="D913" s="12"/>
      <c r="E913" s="10"/>
      <c r="F913" s="10"/>
      <c r="G913" s="10"/>
      <c r="H913" s="5"/>
      <c r="I913" s="5"/>
      <c r="J913" s="5"/>
      <c r="K913" s="5"/>
      <c r="L913" s="5"/>
      <c r="M913" s="5"/>
      <c r="N913" s="5"/>
      <c r="O913" s="5"/>
      <c r="P913" s="5"/>
    </row>
    <row r="914" spans="1:16" x14ac:dyDescent="0.25">
      <c r="A914" s="10"/>
      <c r="B914" s="10"/>
      <c r="C914" s="10"/>
      <c r="D914" s="12"/>
      <c r="E914" s="10"/>
      <c r="F914" s="10"/>
      <c r="G914" s="10"/>
      <c r="H914" s="5"/>
      <c r="I914" s="5"/>
      <c r="J914" s="5"/>
      <c r="K914" s="5"/>
      <c r="L914" s="5"/>
      <c r="M914" s="5"/>
      <c r="N914" s="5"/>
      <c r="O914" s="5"/>
      <c r="P914" s="5"/>
    </row>
    <row r="915" spans="1:16" x14ac:dyDescent="0.25">
      <c r="A915" s="10"/>
      <c r="B915" s="10"/>
      <c r="C915" s="10"/>
      <c r="D915" s="12"/>
      <c r="E915" s="10"/>
      <c r="F915" s="10"/>
      <c r="G915" s="10"/>
      <c r="H915" s="5"/>
      <c r="I915" s="5"/>
      <c r="J915" s="5"/>
      <c r="K915" s="5"/>
      <c r="L915" s="5"/>
      <c r="M915" s="5"/>
      <c r="N915" s="5"/>
      <c r="O915" s="5"/>
      <c r="P915" s="5"/>
    </row>
    <row r="916" spans="1:16" x14ac:dyDescent="0.25">
      <c r="A916" s="10"/>
      <c r="B916" s="10"/>
      <c r="C916" s="10"/>
      <c r="D916" s="12"/>
      <c r="E916" s="10"/>
      <c r="F916" s="10"/>
      <c r="G916" s="10"/>
      <c r="H916" s="5"/>
      <c r="I916" s="5"/>
      <c r="J916" s="5"/>
      <c r="K916" s="5"/>
      <c r="L916" s="5"/>
      <c r="M916" s="5"/>
      <c r="N916" s="5"/>
      <c r="O916" s="5"/>
      <c r="P916" s="5"/>
    </row>
    <row r="917" spans="1:16" x14ac:dyDescent="0.25">
      <c r="A917" s="10"/>
      <c r="B917" s="10"/>
      <c r="C917" s="10"/>
      <c r="D917" s="12"/>
      <c r="E917" s="10"/>
      <c r="F917" s="10"/>
      <c r="G917" s="10"/>
      <c r="H917" s="5"/>
      <c r="I917" s="5"/>
      <c r="J917" s="5"/>
      <c r="K917" s="5"/>
      <c r="L917" s="5"/>
      <c r="M917" s="5"/>
      <c r="N917" s="5"/>
      <c r="O917" s="5"/>
      <c r="P917" s="5"/>
    </row>
    <row r="918" spans="1:16" x14ac:dyDescent="0.25">
      <c r="A918" s="10"/>
      <c r="B918" s="10"/>
      <c r="C918" s="10"/>
      <c r="D918" s="12"/>
      <c r="E918" s="10"/>
      <c r="F918" s="10"/>
      <c r="G918" s="10"/>
      <c r="H918" s="5"/>
      <c r="I918" s="5"/>
      <c r="J918" s="5"/>
      <c r="K918" s="5"/>
      <c r="L918" s="5"/>
      <c r="M918" s="5"/>
      <c r="N918" s="5"/>
      <c r="O918" s="5"/>
      <c r="P918" s="5"/>
    </row>
    <row r="919" spans="1:16" x14ac:dyDescent="0.25">
      <c r="A919" s="10"/>
      <c r="B919" s="10"/>
      <c r="C919" s="10"/>
      <c r="D919" s="12"/>
      <c r="E919" s="10"/>
      <c r="F919" s="10"/>
      <c r="G919" s="10"/>
      <c r="H919" s="5"/>
      <c r="I919" s="5"/>
      <c r="J919" s="5"/>
      <c r="K919" s="5"/>
      <c r="L919" s="5"/>
      <c r="M919" s="5"/>
      <c r="N919" s="5"/>
      <c r="O919" s="5"/>
      <c r="P919" s="5"/>
    </row>
    <row r="920" spans="1:16" x14ac:dyDescent="0.25">
      <c r="A920" s="10"/>
      <c r="B920" s="10"/>
      <c r="C920" s="10"/>
      <c r="D920" s="12"/>
      <c r="E920" s="10"/>
      <c r="F920" s="10"/>
      <c r="G920" s="10"/>
      <c r="H920" s="5"/>
      <c r="I920" s="5"/>
      <c r="J920" s="5"/>
      <c r="K920" s="5"/>
      <c r="L920" s="5"/>
      <c r="M920" s="5"/>
      <c r="N920" s="5"/>
      <c r="O920" s="5"/>
      <c r="P920" s="5"/>
    </row>
    <row r="921" spans="1:16" x14ac:dyDescent="0.25">
      <c r="A921" s="10"/>
      <c r="B921" s="10"/>
      <c r="C921" s="10"/>
      <c r="D921" s="12"/>
      <c r="E921" s="10"/>
      <c r="F921" s="10"/>
      <c r="G921" s="10"/>
      <c r="H921" s="5"/>
      <c r="I921" s="5"/>
      <c r="J921" s="5"/>
      <c r="K921" s="5"/>
      <c r="L921" s="5"/>
      <c r="M921" s="5"/>
      <c r="N921" s="5"/>
      <c r="O921" s="5"/>
      <c r="P921" s="5"/>
    </row>
    <row r="922" spans="1:16" x14ac:dyDescent="0.25">
      <c r="A922" s="10"/>
      <c r="B922" s="10"/>
      <c r="C922" s="10"/>
      <c r="D922" s="12"/>
      <c r="E922" s="10"/>
      <c r="F922" s="10"/>
      <c r="G922" s="10"/>
      <c r="H922" s="5"/>
      <c r="I922" s="5"/>
      <c r="J922" s="5"/>
      <c r="K922" s="5"/>
      <c r="L922" s="5"/>
      <c r="M922" s="5"/>
      <c r="N922" s="5"/>
      <c r="O922" s="5"/>
      <c r="P922" s="5"/>
    </row>
    <row r="923" spans="1:16" x14ac:dyDescent="0.25">
      <c r="A923" s="10"/>
      <c r="B923" s="10"/>
      <c r="C923" s="10"/>
      <c r="D923" s="12"/>
      <c r="E923" s="10"/>
      <c r="F923" s="10"/>
      <c r="G923" s="10"/>
      <c r="H923" s="5"/>
      <c r="I923" s="5"/>
      <c r="J923" s="5"/>
      <c r="K923" s="5"/>
      <c r="L923" s="5"/>
      <c r="M923" s="5"/>
      <c r="N923" s="5"/>
      <c r="O923" s="5"/>
      <c r="P923" s="5"/>
    </row>
    <row r="924" spans="1:16" x14ac:dyDescent="0.25">
      <c r="A924" s="10"/>
      <c r="B924" s="10"/>
      <c r="C924" s="10"/>
      <c r="D924" s="12"/>
      <c r="E924" s="10"/>
      <c r="F924" s="10"/>
      <c r="G924" s="10"/>
      <c r="H924" s="5"/>
      <c r="I924" s="5"/>
      <c r="J924" s="5"/>
      <c r="K924" s="5"/>
      <c r="L924" s="5"/>
      <c r="M924" s="5"/>
      <c r="N924" s="5"/>
      <c r="O924" s="5"/>
      <c r="P924" s="5"/>
    </row>
    <row r="925" spans="1:16" x14ac:dyDescent="0.25">
      <c r="A925" s="10"/>
      <c r="B925" s="10"/>
      <c r="C925" s="10"/>
      <c r="D925" s="12"/>
      <c r="E925" s="10"/>
      <c r="F925" s="10"/>
      <c r="G925" s="10"/>
      <c r="H925" s="5"/>
      <c r="I925" s="5"/>
      <c r="J925" s="5"/>
      <c r="K925" s="5"/>
      <c r="L925" s="5"/>
      <c r="M925" s="5"/>
      <c r="N925" s="5"/>
      <c r="O925" s="5"/>
      <c r="P925" s="5"/>
    </row>
    <row r="926" spans="1:16" x14ac:dyDescent="0.25">
      <c r="A926" s="10"/>
      <c r="B926" s="10"/>
      <c r="C926" s="10"/>
      <c r="D926" s="12"/>
      <c r="E926" s="10"/>
      <c r="F926" s="10"/>
      <c r="G926" s="10"/>
      <c r="H926" s="5"/>
      <c r="I926" s="5"/>
      <c r="J926" s="5"/>
      <c r="K926" s="5"/>
      <c r="L926" s="5"/>
      <c r="M926" s="5"/>
      <c r="N926" s="5"/>
      <c r="O926" s="5"/>
      <c r="P926" s="5"/>
    </row>
    <row r="927" spans="1:16" x14ac:dyDescent="0.25">
      <c r="A927" s="10"/>
      <c r="B927" s="10"/>
      <c r="C927" s="10"/>
      <c r="D927" s="12"/>
      <c r="E927" s="10"/>
      <c r="F927" s="10"/>
      <c r="G927" s="10"/>
      <c r="H927" s="5"/>
      <c r="I927" s="5"/>
      <c r="J927" s="5"/>
      <c r="K927" s="5"/>
      <c r="L927" s="5"/>
      <c r="M927" s="5"/>
      <c r="N927" s="5"/>
      <c r="O927" s="5"/>
      <c r="P927" s="5"/>
    </row>
    <row r="928" spans="1:16" x14ac:dyDescent="0.25">
      <c r="A928" s="10"/>
      <c r="B928" s="10"/>
      <c r="C928" s="10"/>
      <c r="D928" s="12"/>
      <c r="E928" s="10"/>
      <c r="F928" s="10"/>
      <c r="G928" s="10"/>
      <c r="H928" s="5"/>
      <c r="I928" s="5"/>
      <c r="J928" s="5"/>
      <c r="K928" s="5"/>
      <c r="L928" s="5"/>
      <c r="M928" s="5"/>
      <c r="N928" s="5"/>
      <c r="O928" s="5"/>
      <c r="P928" s="5"/>
    </row>
    <row r="929" spans="1:16" x14ac:dyDescent="0.25">
      <c r="A929" s="10"/>
      <c r="B929" s="10"/>
      <c r="C929" s="10"/>
      <c r="D929" s="12"/>
      <c r="E929" s="10"/>
      <c r="F929" s="10"/>
      <c r="G929" s="10"/>
      <c r="H929" s="5"/>
      <c r="I929" s="5"/>
      <c r="J929" s="5"/>
      <c r="K929" s="5"/>
      <c r="L929" s="5"/>
      <c r="M929" s="5"/>
      <c r="N929" s="5"/>
      <c r="O929" s="5"/>
      <c r="P929" s="5"/>
    </row>
    <row r="930" spans="1:16" x14ac:dyDescent="0.25">
      <c r="A930" s="10"/>
      <c r="B930" s="10"/>
      <c r="C930" s="10"/>
      <c r="D930" s="12"/>
      <c r="E930" s="10"/>
      <c r="F930" s="10"/>
      <c r="G930" s="10"/>
      <c r="H930" s="5"/>
      <c r="I930" s="5"/>
      <c r="J930" s="5"/>
      <c r="K930" s="5"/>
      <c r="L930" s="5"/>
      <c r="M930" s="5"/>
      <c r="N930" s="5"/>
      <c r="O930" s="5"/>
      <c r="P930" s="5"/>
    </row>
    <row r="931" spans="1:16" x14ac:dyDescent="0.25">
      <c r="A931" s="10"/>
      <c r="B931" s="10"/>
      <c r="C931" s="10"/>
      <c r="D931" s="12"/>
      <c r="E931" s="10"/>
      <c r="F931" s="10"/>
      <c r="G931" s="10"/>
      <c r="H931" s="5"/>
      <c r="I931" s="5"/>
      <c r="J931" s="5"/>
      <c r="K931" s="5"/>
      <c r="L931" s="5"/>
      <c r="M931" s="5"/>
      <c r="N931" s="5"/>
      <c r="O931" s="5"/>
      <c r="P931" s="5"/>
    </row>
    <row r="932" spans="1:16" x14ac:dyDescent="0.25">
      <c r="A932" s="10"/>
      <c r="B932" s="10"/>
      <c r="C932" s="10"/>
      <c r="D932" s="12"/>
      <c r="E932" s="10"/>
      <c r="F932" s="10"/>
      <c r="G932" s="10"/>
      <c r="H932" s="5"/>
      <c r="I932" s="5"/>
      <c r="J932" s="5"/>
      <c r="K932" s="5"/>
      <c r="L932" s="5"/>
      <c r="M932" s="5"/>
      <c r="N932" s="5"/>
      <c r="O932" s="5"/>
      <c r="P932" s="5"/>
    </row>
    <row r="933" spans="1:16" x14ac:dyDescent="0.25">
      <c r="A933" s="10"/>
      <c r="B933" s="10"/>
      <c r="C933" s="10"/>
      <c r="D933" s="12"/>
      <c r="E933" s="10"/>
      <c r="F933" s="10"/>
      <c r="G933" s="10"/>
      <c r="H933" s="5"/>
      <c r="I933" s="5"/>
      <c r="J933" s="5"/>
      <c r="K933" s="5"/>
      <c r="L933" s="5"/>
      <c r="M933" s="5"/>
      <c r="N933" s="5"/>
      <c r="O933" s="5"/>
      <c r="P933" s="5"/>
    </row>
    <row r="934" spans="1:16" x14ac:dyDescent="0.25">
      <c r="A934" s="10"/>
      <c r="B934" s="10"/>
      <c r="C934" s="10"/>
      <c r="D934" s="12"/>
      <c r="E934" s="10"/>
      <c r="F934" s="10"/>
      <c r="G934" s="10"/>
      <c r="H934" s="5"/>
      <c r="I934" s="5"/>
      <c r="J934" s="5"/>
      <c r="K934" s="5"/>
      <c r="L934" s="5"/>
      <c r="M934" s="5"/>
      <c r="N934" s="5"/>
      <c r="O934" s="5"/>
      <c r="P934" s="5"/>
    </row>
    <row r="935" spans="1:16" x14ac:dyDescent="0.25">
      <c r="A935" s="10"/>
      <c r="B935" s="10"/>
      <c r="C935" s="10"/>
      <c r="D935" s="12"/>
      <c r="E935" s="10"/>
      <c r="F935" s="10"/>
      <c r="G935" s="10"/>
      <c r="H935" s="5"/>
      <c r="I935" s="5"/>
      <c r="J935" s="5"/>
      <c r="K935" s="5"/>
      <c r="L935" s="5"/>
      <c r="M935" s="5"/>
      <c r="N935" s="5"/>
      <c r="O935" s="5"/>
      <c r="P935" s="5"/>
    </row>
    <row r="936" spans="1:16" x14ac:dyDescent="0.25">
      <c r="A936" s="10"/>
      <c r="B936" s="10"/>
      <c r="C936" s="10"/>
      <c r="D936" s="12"/>
      <c r="E936" s="10"/>
      <c r="F936" s="10"/>
      <c r="G936" s="10"/>
      <c r="H936" s="5"/>
      <c r="I936" s="5"/>
      <c r="J936" s="5"/>
      <c r="K936" s="5"/>
      <c r="L936" s="5"/>
      <c r="M936" s="5"/>
      <c r="N936" s="5"/>
      <c r="O936" s="5"/>
      <c r="P936" s="5"/>
    </row>
    <row r="937" spans="1:16" x14ac:dyDescent="0.25">
      <c r="A937" s="10"/>
      <c r="B937" s="10"/>
      <c r="C937" s="10"/>
      <c r="D937" s="12"/>
      <c r="E937" s="10"/>
      <c r="F937" s="10"/>
      <c r="G937" s="10"/>
      <c r="H937" s="5"/>
      <c r="I937" s="5"/>
      <c r="J937" s="5"/>
      <c r="K937" s="5"/>
      <c r="L937" s="5"/>
      <c r="M937" s="5"/>
      <c r="N937" s="5"/>
      <c r="O937" s="5"/>
      <c r="P937" s="5"/>
    </row>
    <row r="938" spans="1:16" x14ac:dyDescent="0.25">
      <c r="A938" s="10"/>
      <c r="B938" s="10"/>
      <c r="C938" s="10"/>
      <c r="D938" s="12"/>
      <c r="E938" s="10"/>
      <c r="F938" s="10"/>
      <c r="G938" s="10"/>
      <c r="H938" s="5"/>
      <c r="I938" s="5"/>
      <c r="J938" s="5"/>
      <c r="K938" s="5"/>
      <c r="L938" s="5"/>
      <c r="M938" s="5"/>
      <c r="N938" s="5"/>
      <c r="O938" s="5"/>
      <c r="P938" s="5"/>
    </row>
    <row r="939" spans="1:16" x14ac:dyDescent="0.25">
      <c r="A939" s="10"/>
      <c r="B939" s="10"/>
      <c r="C939" s="10"/>
      <c r="D939" s="12"/>
      <c r="E939" s="10"/>
      <c r="F939" s="10"/>
      <c r="G939" s="10"/>
      <c r="H939" s="5"/>
      <c r="I939" s="5"/>
      <c r="J939" s="5"/>
      <c r="K939" s="5"/>
      <c r="L939" s="5"/>
      <c r="M939" s="5"/>
      <c r="N939" s="5"/>
      <c r="O939" s="5"/>
      <c r="P939" s="5"/>
    </row>
    <row r="940" spans="1:16" x14ac:dyDescent="0.25">
      <c r="A940" s="10"/>
      <c r="B940" s="10"/>
      <c r="C940" s="10"/>
      <c r="D940" s="12"/>
      <c r="E940" s="10"/>
      <c r="F940" s="10"/>
      <c r="G940" s="10"/>
      <c r="H940" s="5"/>
      <c r="I940" s="5"/>
      <c r="J940" s="5"/>
      <c r="K940" s="5"/>
      <c r="L940" s="5"/>
      <c r="M940" s="5"/>
      <c r="N940" s="5"/>
      <c r="O940" s="5"/>
      <c r="P940" s="5"/>
    </row>
    <row r="941" spans="1:16" x14ac:dyDescent="0.25">
      <c r="A941" s="10"/>
      <c r="B941" s="10"/>
      <c r="C941" s="10"/>
      <c r="D941" s="12"/>
      <c r="E941" s="10"/>
      <c r="F941" s="10"/>
      <c r="G941" s="10"/>
      <c r="H941" s="5"/>
      <c r="I941" s="5"/>
      <c r="J941" s="5"/>
      <c r="K941" s="5"/>
      <c r="L941" s="5"/>
      <c r="M941" s="5"/>
      <c r="N941" s="5"/>
      <c r="O941" s="5"/>
      <c r="P941" s="5"/>
    </row>
    <row r="942" spans="1:16" x14ac:dyDescent="0.25">
      <c r="A942" s="10"/>
      <c r="B942" s="10"/>
      <c r="C942" s="10"/>
      <c r="D942" s="12"/>
      <c r="E942" s="10"/>
      <c r="F942" s="10"/>
      <c r="G942" s="10"/>
      <c r="H942" s="5"/>
      <c r="I942" s="5"/>
      <c r="J942" s="5"/>
      <c r="K942" s="5"/>
      <c r="L942" s="5"/>
      <c r="M942" s="5"/>
      <c r="N942" s="5"/>
      <c r="O942" s="5"/>
      <c r="P942" s="5"/>
    </row>
    <row r="943" spans="1:16" x14ac:dyDescent="0.25">
      <c r="A943" s="10"/>
      <c r="B943" s="10"/>
      <c r="C943" s="10"/>
      <c r="D943" s="12"/>
      <c r="E943" s="10"/>
      <c r="F943" s="10"/>
      <c r="G943" s="10"/>
      <c r="H943" s="5"/>
      <c r="I943" s="5"/>
      <c r="J943" s="5"/>
      <c r="K943" s="5"/>
      <c r="L943" s="5"/>
      <c r="M943" s="5"/>
      <c r="N943" s="5"/>
      <c r="O943" s="5"/>
      <c r="P943" s="5"/>
    </row>
    <row r="944" spans="1:16" x14ac:dyDescent="0.25">
      <c r="A944" s="10"/>
      <c r="B944" s="10"/>
      <c r="C944" s="10"/>
      <c r="D944" s="12"/>
      <c r="E944" s="10"/>
      <c r="F944" s="10"/>
      <c r="G944" s="10"/>
      <c r="H944" s="5"/>
      <c r="I944" s="5"/>
      <c r="J944" s="5"/>
      <c r="K944" s="5"/>
      <c r="L944" s="5"/>
      <c r="M944" s="5"/>
      <c r="N944" s="5"/>
      <c r="O944" s="5"/>
      <c r="P944" s="5"/>
    </row>
    <row r="945" spans="1:16" x14ac:dyDescent="0.25">
      <c r="A945" s="10"/>
      <c r="B945" s="10"/>
      <c r="C945" s="10"/>
      <c r="D945" s="12"/>
      <c r="E945" s="10"/>
      <c r="F945" s="10"/>
      <c r="G945" s="10"/>
      <c r="H945" s="5"/>
      <c r="I945" s="5"/>
      <c r="J945" s="5"/>
      <c r="K945" s="5"/>
      <c r="L945" s="5"/>
      <c r="M945" s="5"/>
      <c r="N945" s="5"/>
      <c r="O945" s="5"/>
      <c r="P945" s="5"/>
    </row>
    <row r="946" spans="1:16" x14ac:dyDescent="0.25">
      <c r="A946" s="10"/>
      <c r="B946" s="10"/>
      <c r="C946" s="10"/>
      <c r="D946" s="12"/>
      <c r="E946" s="10"/>
      <c r="F946" s="10"/>
      <c r="G946" s="10"/>
      <c r="H946" s="5"/>
      <c r="I946" s="5"/>
      <c r="J946" s="5"/>
      <c r="K946" s="5"/>
      <c r="L946" s="5"/>
      <c r="M946" s="5"/>
      <c r="N946" s="5"/>
      <c r="O946" s="5"/>
      <c r="P946" s="5"/>
    </row>
    <row r="947" spans="1:16" x14ac:dyDescent="0.25">
      <c r="A947" s="10"/>
      <c r="B947" s="10"/>
      <c r="C947" s="10"/>
      <c r="D947" s="12"/>
      <c r="E947" s="10"/>
      <c r="F947" s="10"/>
      <c r="G947" s="10"/>
      <c r="H947" s="5"/>
      <c r="I947" s="5"/>
      <c r="J947" s="5"/>
      <c r="K947" s="5"/>
      <c r="L947" s="5"/>
      <c r="M947" s="5"/>
      <c r="N947" s="5"/>
      <c r="O947" s="5"/>
      <c r="P947" s="5"/>
    </row>
    <row r="948" spans="1:16" x14ac:dyDescent="0.25">
      <c r="A948" s="10"/>
      <c r="B948" s="10"/>
      <c r="C948" s="10"/>
      <c r="D948" s="12"/>
      <c r="E948" s="10"/>
      <c r="F948" s="10"/>
      <c r="G948" s="10"/>
      <c r="H948" s="5"/>
      <c r="I948" s="5"/>
      <c r="J948" s="5"/>
      <c r="K948" s="5"/>
      <c r="L948" s="5"/>
      <c r="M948" s="5"/>
      <c r="N948" s="5"/>
      <c r="O948" s="5"/>
      <c r="P948" s="5"/>
    </row>
    <row r="949" spans="1:16" x14ac:dyDescent="0.25">
      <c r="A949" s="10"/>
      <c r="B949" s="10"/>
      <c r="C949" s="10"/>
      <c r="D949" s="12"/>
      <c r="E949" s="10"/>
      <c r="F949" s="10"/>
      <c r="G949" s="10"/>
      <c r="H949" s="5"/>
      <c r="I949" s="5"/>
      <c r="J949" s="5"/>
      <c r="K949" s="5"/>
      <c r="L949" s="5"/>
      <c r="M949" s="5"/>
      <c r="N949" s="5"/>
      <c r="O949" s="5"/>
      <c r="P949" s="5"/>
    </row>
    <row r="950" spans="1:16" x14ac:dyDescent="0.25">
      <c r="A950" s="10"/>
      <c r="B950" s="10"/>
      <c r="C950" s="10"/>
      <c r="D950" s="12"/>
      <c r="E950" s="10"/>
      <c r="F950" s="10"/>
      <c r="G950" s="10"/>
      <c r="H950" s="5"/>
      <c r="I950" s="5"/>
      <c r="J950" s="5"/>
      <c r="K950" s="5"/>
      <c r="L950" s="5"/>
      <c r="M950" s="5"/>
      <c r="N950" s="5"/>
      <c r="O950" s="5"/>
      <c r="P950" s="5"/>
    </row>
    <row r="951" spans="1:16" x14ac:dyDescent="0.25">
      <c r="A951" s="10"/>
      <c r="B951" s="10"/>
      <c r="C951" s="10"/>
      <c r="D951" s="12"/>
      <c r="E951" s="10"/>
      <c r="F951" s="10"/>
      <c r="G951" s="10"/>
      <c r="H951" s="5"/>
      <c r="I951" s="5"/>
      <c r="J951" s="5"/>
      <c r="K951" s="5"/>
      <c r="L951" s="5"/>
      <c r="M951" s="5"/>
      <c r="N951" s="5"/>
      <c r="O951" s="5"/>
      <c r="P951" s="5"/>
    </row>
    <row r="952" spans="1:16" x14ac:dyDescent="0.25">
      <c r="A952" s="10"/>
      <c r="B952" s="10"/>
      <c r="C952" s="10"/>
      <c r="D952" s="12"/>
      <c r="E952" s="10"/>
      <c r="F952" s="10"/>
      <c r="G952" s="10"/>
      <c r="H952" s="5"/>
      <c r="I952" s="5"/>
      <c r="J952" s="5"/>
      <c r="K952" s="5"/>
      <c r="L952" s="5"/>
      <c r="M952" s="5"/>
      <c r="N952" s="5"/>
      <c r="O952" s="5"/>
      <c r="P952" s="5"/>
    </row>
    <row r="953" spans="1:16" x14ac:dyDescent="0.25">
      <c r="A953" s="10"/>
      <c r="B953" s="10"/>
      <c r="C953" s="10"/>
      <c r="D953" s="12"/>
      <c r="E953" s="10"/>
      <c r="F953" s="10"/>
      <c r="G953" s="10"/>
      <c r="H953" s="5"/>
      <c r="I953" s="5"/>
      <c r="J953" s="5"/>
      <c r="K953" s="5"/>
      <c r="L953" s="5"/>
      <c r="M953" s="5"/>
      <c r="N953" s="5"/>
      <c r="O953" s="5"/>
      <c r="P953" s="5"/>
    </row>
    <row r="954" spans="1:16" x14ac:dyDescent="0.25">
      <c r="A954" s="10"/>
      <c r="B954" s="10"/>
      <c r="C954" s="10"/>
      <c r="D954" s="12"/>
      <c r="E954" s="10"/>
      <c r="F954" s="10"/>
      <c r="G954" s="10"/>
      <c r="H954" s="5"/>
      <c r="I954" s="5"/>
      <c r="J954" s="5"/>
      <c r="K954" s="5"/>
      <c r="L954" s="5"/>
      <c r="M954" s="5"/>
      <c r="N954" s="5"/>
      <c r="O954" s="5"/>
      <c r="P954" s="5"/>
    </row>
    <row r="955" spans="1:16" x14ac:dyDescent="0.25">
      <c r="A955" s="10"/>
      <c r="B955" s="10"/>
      <c r="C955" s="10"/>
      <c r="D955" s="12"/>
      <c r="E955" s="10"/>
      <c r="F955" s="10"/>
      <c r="G955" s="10"/>
      <c r="H955" s="5"/>
      <c r="I955" s="5"/>
      <c r="J955" s="5"/>
      <c r="K955" s="5"/>
      <c r="L955" s="5"/>
      <c r="M955" s="5"/>
      <c r="N955" s="5"/>
      <c r="O955" s="5"/>
      <c r="P955" s="5"/>
    </row>
    <row r="956" spans="1:16" x14ac:dyDescent="0.25">
      <c r="A956" s="10"/>
      <c r="B956" s="10"/>
      <c r="C956" s="10"/>
      <c r="D956" s="12"/>
      <c r="E956" s="10"/>
      <c r="F956" s="10"/>
      <c r="G956" s="10"/>
      <c r="H956" s="5"/>
      <c r="I956" s="5"/>
      <c r="J956" s="5"/>
      <c r="K956" s="5"/>
      <c r="L956" s="5"/>
      <c r="M956" s="5"/>
      <c r="N956" s="5"/>
      <c r="O956" s="5"/>
      <c r="P956" s="5"/>
    </row>
    <row r="957" spans="1:16" x14ac:dyDescent="0.25">
      <c r="A957" s="10"/>
      <c r="B957" s="10"/>
      <c r="C957" s="10"/>
      <c r="D957" s="12"/>
      <c r="E957" s="10"/>
      <c r="F957" s="10"/>
      <c r="G957" s="10"/>
      <c r="H957" s="5"/>
      <c r="I957" s="5"/>
      <c r="J957" s="5"/>
      <c r="K957" s="5"/>
      <c r="L957" s="5"/>
      <c r="M957" s="5"/>
      <c r="N957" s="5"/>
      <c r="O957" s="5"/>
      <c r="P957" s="5"/>
    </row>
    <row r="958" spans="1:16" x14ac:dyDescent="0.25">
      <c r="A958" s="10"/>
      <c r="B958" s="10"/>
      <c r="C958" s="10"/>
      <c r="D958" s="12"/>
      <c r="E958" s="10"/>
      <c r="F958" s="10"/>
      <c r="G958" s="10"/>
      <c r="H958" s="5"/>
      <c r="I958" s="5"/>
      <c r="J958" s="5"/>
      <c r="K958" s="5"/>
      <c r="L958" s="5"/>
      <c r="M958" s="5"/>
      <c r="N958" s="5"/>
      <c r="O958" s="5"/>
      <c r="P958" s="5"/>
    </row>
    <row r="959" spans="1:16" x14ac:dyDescent="0.25">
      <c r="A959" s="10"/>
      <c r="B959" s="10"/>
      <c r="C959" s="10"/>
      <c r="D959" s="12"/>
      <c r="E959" s="10"/>
      <c r="F959" s="10"/>
      <c r="G959" s="10"/>
      <c r="H959" s="5"/>
      <c r="I959" s="5"/>
      <c r="J959" s="5"/>
      <c r="K959" s="5"/>
      <c r="L959" s="5"/>
      <c r="M959" s="5"/>
      <c r="N959" s="5"/>
      <c r="O959" s="5"/>
      <c r="P959" s="5"/>
    </row>
    <row r="960" spans="1:16" x14ac:dyDescent="0.25">
      <c r="A960" s="10"/>
      <c r="B960" s="10"/>
      <c r="C960" s="10"/>
      <c r="D960" s="12"/>
      <c r="E960" s="10"/>
      <c r="F960" s="10"/>
      <c r="G960" s="10"/>
      <c r="H960" s="5"/>
      <c r="I960" s="5"/>
      <c r="J960" s="5"/>
      <c r="K960" s="5"/>
      <c r="L960" s="5"/>
      <c r="M960" s="5"/>
      <c r="N960" s="5"/>
      <c r="O960" s="5"/>
      <c r="P960" s="5"/>
    </row>
    <row r="961" spans="1:16" x14ac:dyDescent="0.25">
      <c r="A961" s="10"/>
      <c r="B961" s="10"/>
      <c r="C961" s="10"/>
      <c r="D961" s="12"/>
      <c r="E961" s="10"/>
      <c r="F961" s="10"/>
      <c r="G961" s="10"/>
      <c r="H961" s="5"/>
      <c r="I961" s="5"/>
      <c r="J961" s="5"/>
      <c r="K961" s="5"/>
      <c r="L961" s="5"/>
      <c r="M961" s="5"/>
      <c r="N961" s="5"/>
      <c r="O961" s="5"/>
      <c r="P961" s="5"/>
    </row>
    <row r="962" spans="1:16" x14ac:dyDescent="0.25">
      <c r="A962" s="10"/>
      <c r="B962" s="10"/>
      <c r="C962" s="10"/>
      <c r="D962" s="12"/>
      <c r="E962" s="10"/>
      <c r="F962" s="10"/>
      <c r="G962" s="10"/>
      <c r="H962" s="5"/>
      <c r="I962" s="5"/>
      <c r="J962" s="5"/>
      <c r="K962" s="5"/>
      <c r="L962" s="5"/>
      <c r="M962" s="5"/>
      <c r="N962" s="5"/>
      <c r="O962" s="5"/>
      <c r="P962" s="5"/>
    </row>
    <row r="963" spans="1:16" x14ac:dyDescent="0.25">
      <c r="A963" s="10"/>
      <c r="B963" s="10"/>
      <c r="C963" s="10"/>
      <c r="D963" s="12"/>
      <c r="E963" s="10"/>
      <c r="F963" s="10"/>
      <c r="G963" s="10"/>
      <c r="H963" s="5"/>
      <c r="I963" s="5"/>
      <c r="J963" s="5"/>
      <c r="K963" s="5"/>
      <c r="L963" s="5"/>
      <c r="M963" s="5"/>
      <c r="N963" s="5"/>
      <c r="O963" s="5"/>
      <c r="P963" s="5"/>
    </row>
    <row r="964" spans="1:16" x14ac:dyDescent="0.25">
      <c r="A964" s="10"/>
      <c r="B964" s="10"/>
      <c r="C964" s="10"/>
      <c r="D964" s="12"/>
      <c r="E964" s="10"/>
      <c r="F964" s="10"/>
      <c r="G964" s="10"/>
      <c r="H964" s="5"/>
      <c r="I964" s="5"/>
      <c r="J964" s="5"/>
      <c r="K964" s="5"/>
      <c r="L964" s="5"/>
      <c r="M964" s="5"/>
      <c r="N964" s="5"/>
      <c r="O964" s="5"/>
      <c r="P964" s="5"/>
    </row>
    <row r="965" spans="1:16" x14ac:dyDescent="0.25">
      <c r="A965" s="10"/>
      <c r="B965" s="10"/>
      <c r="C965" s="10"/>
      <c r="D965" s="12"/>
      <c r="E965" s="10"/>
      <c r="F965" s="10"/>
      <c r="G965" s="10"/>
      <c r="H965" s="5"/>
      <c r="I965" s="5"/>
      <c r="J965" s="5"/>
      <c r="K965" s="5"/>
      <c r="L965" s="5"/>
      <c r="M965" s="5"/>
      <c r="N965" s="5"/>
      <c r="O965" s="5"/>
      <c r="P965" s="5"/>
    </row>
    <row r="966" spans="1:16" x14ac:dyDescent="0.25">
      <c r="A966" s="10"/>
      <c r="B966" s="10"/>
      <c r="C966" s="10"/>
      <c r="D966" s="12"/>
      <c r="E966" s="10"/>
      <c r="F966" s="10"/>
      <c r="G966" s="10"/>
      <c r="H966" s="5"/>
      <c r="I966" s="5"/>
      <c r="J966" s="5"/>
      <c r="K966" s="5"/>
      <c r="L966" s="5"/>
      <c r="M966" s="5"/>
      <c r="N966" s="5"/>
      <c r="O966" s="5"/>
      <c r="P966" s="5"/>
    </row>
    <row r="967" spans="1:16" x14ac:dyDescent="0.25">
      <c r="A967" s="10"/>
      <c r="B967" s="10"/>
      <c r="C967" s="10"/>
      <c r="D967" s="12"/>
      <c r="E967" s="10"/>
      <c r="F967" s="10"/>
      <c r="G967" s="10"/>
      <c r="H967" s="5"/>
      <c r="I967" s="5"/>
      <c r="J967" s="5"/>
      <c r="K967" s="5"/>
      <c r="L967" s="5"/>
      <c r="M967" s="5"/>
      <c r="N967" s="5"/>
      <c r="O967" s="5"/>
      <c r="P967" s="5"/>
    </row>
    <row r="968" spans="1:16" x14ac:dyDescent="0.25">
      <c r="A968" s="10"/>
      <c r="B968" s="10"/>
      <c r="C968" s="10"/>
      <c r="D968" s="12"/>
      <c r="E968" s="10"/>
      <c r="F968" s="10"/>
      <c r="G968" s="10"/>
      <c r="H968" s="5"/>
      <c r="I968" s="5"/>
      <c r="J968" s="5"/>
      <c r="K968" s="5"/>
      <c r="L968" s="5"/>
      <c r="M968" s="5"/>
      <c r="N968" s="5"/>
      <c r="O968" s="5"/>
      <c r="P968" s="5"/>
    </row>
    <row r="969" spans="1:16" x14ac:dyDescent="0.25">
      <c r="A969" s="10"/>
      <c r="B969" s="10"/>
      <c r="C969" s="10"/>
      <c r="D969" s="12"/>
      <c r="E969" s="10"/>
      <c r="F969" s="10"/>
      <c r="G969" s="10"/>
      <c r="H969" s="5"/>
      <c r="I969" s="5"/>
      <c r="J969" s="5"/>
      <c r="K969" s="5"/>
      <c r="L969" s="5"/>
      <c r="M969" s="5"/>
      <c r="N969" s="5"/>
      <c r="O969" s="5"/>
      <c r="P969" s="5"/>
    </row>
    <row r="970" spans="1:16" x14ac:dyDescent="0.25">
      <c r="A970" s="10"/>
      <c r="B970" s="10"/>
      <c r="C970" s="10"/>
      <c r="D970" s="12"/>
      <c r="E970" s="10"/>
      <c r="F970" s="10"/>
      <c r="G970" s="10"/>
      <c r="H970" s="5"/>
      <c r="I970" s="5"/>
      <c r="J970" s="5"/>
      <c r="K970" s="5"/>
      <c r="L970" s="5"/>
      <c r="M970" s="5"/>
      <c r="N970" s="5"/>
      <c r="O970" s="5"/>
      <c r="P970" s="5"/>
    </row>
    <row r="971" spans="1:16" x14ac:dyDescent="0.25">
      <c r="A971" s="10"/>
      <c r="B971" s="10"/>
      <c r="C971" s="10"/>
      <c r="D971" s="12"/>
      <c r="E971" s="10"/>
      <c r="F971" s="10"/>
      <c r="G971" s="10"/>
      <c r="H971" s="5"/>
      <c r="I971" s="5"/>
      <c r="J971" s="5"/>
      <c r="K971" s="5"/>
      <c r="L971" s="5"/>
      <c r="M971" s="5"/>
      <c r="N971" s="5"/>
      <c r="O971" s="5"/>
      <c r="P971" s="5"/>
    </row>
    <row r="972" spans="1:16" x14ac:dyDescent="0.25">
      <c r="A972" s="10"/>
      <c r="B972" s="10"/>
      <c r="C972" s="10"/>
      <c r="D972" s="12"/>
      <c r="E972" s="10"/>
      <c r="F972" s="10"/>
      <c r="G972" s="10"/>
      <c r="H972" s="5"/>
      <c r="I972" s="5"/>
      <c r="J972" s="5"/>
      <c r="K972" s="5"/>
      <c r="L972" s="5"/>
      <c r="M972" s="5"/>
      <c r="N972" s="5"/>
      <c r="O972" s="5"/>
      <c r="P972" s="5"/>
    </row>
    <row r="973" spans="1:16" x14ac:dyDescent="0.25">
      <c r="A973" s="10"/>
      <c r="B973" s="10"/>
      <c r="C973" s="10"/>
      <c r="D973" s="12"/>
      <c r="E973" s="10"/>
      <c r="F973" s="10"/>
      <c r="G973" s="10"/>
      <c r="H973" s="5"/>
      <c r="I973" s="5"/>
      <c r="J973" s="5"/>
      <c r="K973" s="5"/>
      <c r="L973" s="5"/>
      <c r="M973" s="5"/>
      <c r="N973" s="5"/>
      <c r="O973" s="5"/>
      <c r="P973" s="5"/>
    </row>
    <row r="974" spans="1:16" x14ac:dyDescent="0.25">
      <c r="A974" s="10"/>
      <c r="B974" s="10"/>
      <c r="C974" s="10"/>
      <c r="D974" s="12"/>
      <c r="E974" s="10"/>
      <c r="F974" s="10"/>
      <c r="G974" s="10"/>
      <c r="H974" s="5"/>
      <c r="I974" s="5"/>
      <c r="J974" s="5"/>
      <c r="K974" s="5"/>
      <c r="L974" s="5"/>
      <c r="M974" s="5"/>
      <c r="N974" s="5"/>
      <c r="O974" s="5"/>
      <c r="P974" s="5"/>
    </row>
    <row r="975" spans="1:16" x14ac:dyDescent="0.25">
      <c r="A975" s="10"/>
      <c r="B975" s="10"/>
      <c r="C975" s="10"/>
      <c r="D975" s="12"/>
      <c r="E975" s="10"/>
      <c r="F975" s="10"/>
      <c r="G975" s="10"/>
      <c r="H975" s="5"/>
      <c r="I975" s="5"/>
      <c r="J975" s="5"/>
      <c r="K975" s="5"/>
      <c r="L975" s="5"/>
      <c r="M975" s="5"/>
      <c r="N975" s="5"/>
      <c r="O975" s="5"/>
      <c r="P975" s="5"/>
    </row>
    <row r="976" spans="1:16" x14ac:dyDescent="0.25">
      <c r="A976" s="10"/>
      <c r="B976" s="10"/>
      <c r="C976" s="10"/>
      <c r="D976" s="12"/>
      <c r="E976" s="10"/>
      <c r="F976" s="10"/>
      <c r="G976" s="10"/>
      <c r="H976" s="5"/>
      <c r="I976" s="5"/>
      <c r="J976" s="5"/>
      <c r="K976" s="5"/>
      <c r="L976" s="5"/>
      <c r="M976" s="5"/>
      <c r="N976" s="5"/>
      <c r="O976" s="5"/>
      <c r="P976" s="5"/>
    </row>
    <row r="977" spans="1:16" x14ac:dyDescent="0.25">
      <c r="A977" s="10"/>
      <c r="B977" s="10"/>
      <c r="C977" s="10"/>
      <c r="D977" s="12"/>
      <c r="E977" s="10"/>
      <c r="F977" s="10"/>
      <c r="G977" s="10"/>
      <c r="H977" s="5"/>
      <c r="I977" s="5"/>
      <c r="J977" s="5"/>
      <c r="K977" s="5"/>
      <c r="L977" s="5"/>
      <c r="M977" s="5"/>
      <c r="N977" s="5"/>
      <c r="O977" s="5"/>
      <c r="P977" s="5"/>
    </row>
    <row r="978" spans="1:16" x14ac:dyDescent="0.25">
      <c r="A978" s="10"/>
      <c r="B978" s="10"/>
      <c r="C978" s="10"/>
      <c r="D978" s="12"/>
      <c r="E978" s="10"/>
      <c r="F978" s="10"/>
      <c r="G978" s="10"/>
      <c r="H978" s="5"/>
      <c r="I978" s="5"/>
      <c r="J978" s="5"/>
      <c r="K978" s="5"/>
      <c r="L978" s="5"/>
      <c r="M978" s="5"/>
      <c r="N978" s="5"/>
      <c r="O978" s="5"/>
      <c r="P978" s="5"/>
    </row>
    <row r="979" spans="1:16" x14ac:dyDescent="0.25">
      <c r="A979" s="10"/>
      <c r="B979" s="10"/>
      <c r="C979" s="10"/>
      <c r="D979" s="12"/>
      <c r="E979" s="10"/>
      <c r="F979" s="10"/>
      <c r="G979" s="10"/>
      <c r="H979" s="5"/>
      <c r="I979" s="5"/>
      <c r="J979" s="5"/>
      <c r="K979" s="5"/>
      <c r="L979" s="5"/>
      <c r="M979" s="5"/>
      <c r="N979" s="5"/>
      <c r="O979" s="5"/>
      <c r="P979" s="5"/>
    </row>
    <row r="980" spans="1:16" x14ac:dyDescent="0.25">
      <c r="A980" s="10"/>
      <c r="B980" s="10"/>
      <c r="C980" s="10"/>
      <c r="D980" s="12"/>
      <c r="E980" s="10"/>
      <c r="F980" s="10"/>
      <c r="G980" s="10"/>
      <c r="H980" s="5"/>
      <c r="I980" s="5"/>
      <c r="J980" s="5"/>
      <c r="K980" s="5"/>
      <c r="L980" s="5"/>
      <c r="M980" s="5"/>
      <c r="N980" s="5"/>
      <c r="O980" s="5"/>
      <c r="P980" s="5"/>
    </row>
    <row r="981" spans="1:16" x14ac:dyDescent="0.25">
      <c r="A981" s="10"/>
      <c r="B981" s="10"/>
      <c r="C981" s="10"/>
      <c r="D981" s="12"/>
      <c r="E981" s="10"/>
      <c r="F981" s="10"/>
      <c r="G981" s="10"/>
      <c r="H981" s="5"/>
      <c r="I981" s="5"/>
      <c r="J981" s="5"/>
      <c r="K981" s="5"/>
      <c r="L981" s="5"/>
      <c r="M981" s="5"/>
      <c r="N981" s="5"/>
      <c r="O981" s="5"/>
      <c r="P981" s="5"/>
    </row>
    <row r="982" spans="1:16" x14ac:dyDescent="0.25">
      <c r="A982" s="10"/>
      <c r="B982" s="10"/>
      <c r="C982" s="10"/>
      <c r="D982" s="12"/>
      <c r="E982" s="10"/>
      <c r="F982" s="10"/>
      <c r="G982" s="10"/>
      <c r="H982" s="5"/>
      <c r="I982" s="5"/>
      <c r="J982" s="5"/>
      <c r="K982" s="5"/>
      <c r="L982" s="5"/>
      <c r="M982" s="5"/>
      <c r="N982" s="5"/>
      <c r="O982" s="5"/>
      <c r="P982" s="5"/>
    </row>
    <row r="983" spans="1:16" x14ac:dyDescent="0.25">
      <c r="A983" s="10"/>
      <c r="B983" s="10"/>
      <c r="C983" s="10"/>
      <c r="D983" s="12"/>
      <c r="E983" s="10"/>
      <c r="F983" s="10"/>
      <c r="G983" s="10"/>
      <c r="H983" s="5"/>
      <c r="I983" s="5"/>
      <c r="J983" s="5"/>
      <c r="K983" s="5"/>
      <c r="L983" s="5"/>
      <c r="M983" s="5"/>
      <c r="N983" s="5"/>
      <c r="O983" s="5"/>
      <c r="P983" s="5"/>
    </row>
    <row r="984" spans="1:16" x14ac:dyDescent="0.25">
      <c r="A984" s="10"/>
      <c r="B984" s="10"/>
      <c r="C984" s="10"/>
      <c r="D984" s="12"/>
      <c r="E984" s="10"/>
      <c r="F984" s="10"/>
      <c r="G984" s="10"/>
      <c r="H984" s="5"/>
      <c r="I984" s="5"/>
      <c r="J984" s="5"/>
      <c r="K984" s="5"/>
      <c r="L984" s="5"/>
      <c r="M984" s="5"/>
      <c r="N984" s="5"/>
      <c r="O984" s="5"/>
      <c r="P984" s="5"/>
    </row>
    <row r="985" spans="1:16" x14ac:dyDescent="0.25">
      <c r="A985" s="10"/>
      <c r="B985" s="10"/>
      <c r="C985" s="10"/>
      <c r="D985" s="12"/>
      <c r="E985" s="10"/>
      <c r="F985" s="10"/>
      <c r="G985" s="10"/>
      <c r="H985" s="5"/>
      <c r="I985" s="5"/>
      <c r="J985" s="5"/>
      <c r="K985" s="5"/>
      <c r="L985" s="5"/>
      <c r="M985" s="5"/>
      <c r="N985" s="5"/>
      <c r="O985" s="5"/>
      <c r="P985" s="5"/>
    </row>
    <row r="986" spans="1:16" x14ac:dyDescent="0.25">
      <c r="A986" s="10"/>
      <c r="B986" s="10"/>
      <c r="C986" s="10"/>
      <c r="D986" s="12"/>
      <c r="E986" s="10"/>
      <c r="F986" s="10"/>
      <c r="G986" s="10"/>
      <c r="H986" s="5"/>
      <c r="I986" s="5"/>
      <c r="J986" s="5"/>
      <c r="K986" s="5"/>
      <c r="L986" s="5"/>
      <c r="M986" s="5"/>
      <c r="N986" s="5"/>
      <c r="O986" s="5"/>
      <c r="P986" s="5"/>
    </row>
    <row r="987" spans="1:16" x14ac:dyDescent="0.25">
      <c r="A987" s="10"/>
      <c r="B987" s="10"/>
      <c r="C987" s="10"/>
      <c r="D987" s="12"/>
      <c r="E987" s="10"/>
      <c r="F987" s="10"/>
      <c r="G987" s="10"/>
      <c r="H987" s="5"/>
      <c r="I987" s="5"/>
      <c r="J987" s="5"/>
      <c r="K987" s="5"/>
      <c r="L987" s="5"/>
      <c r="M987" s="5"/>
      <c r="N987" s="5"/>
      <c r="O987" s="5"/>
      <c r="P987" s="5"/>
    </row>
    <row r="988" spans="1:16" x14ac:dyDescent="0.25">
      <c r="A988" s="10"/>
      <c r="B988" s="10"/>
      <c r="C988" s="10"/>
      <c r="D988" s="12"/>
      <c r="E988" s="10"/>
      <c r="F988" s="10"/>
      <c r="G988" s="10"/>
      <c r="H988" s="5"/>
      <c r="I988" s="5"/>
      <c r="J988" s="5"/>
      <c r="K988" s="5"/>
      <c r="L988" s="5"/>
      <c r="M988" s="5"/>
      <c r="N988" s="5"/>
      <c r="O988" s="5"/>
      <c r="P988" s="5"/>
    </row>
    <row r="989" spans="1:16" x14ac:dyDescent="0.25">
      <c r="A989" s="10"/>
      <c r="B989" s="10"/>
      <c r="C989" s="10"/>
      <c r="D989" s="12"/>
      <c r="E989" s="10"/>
      <c r="F989" s="10"/>
      <c r="G989" s="10"/>
      <c r="H989" s="5"/>
      <c r="I989" s="5"/>
      <c r="J989" s="5"/>
      <c r="K989" s="5"/>
      <c r="L989" s="5"/>
      <c r="M989" s="5"/>
      <c r="N989" s="5"/>
      <c r="O989" s="5"/>
      <c r="P989" s="5"/>
    </row>
    <row r="990" spans="1:16" x14ac:dyDescent="0.25">
      <c r="A990" s="10"/>
      <c r="B990" s="10"/>
      <c r="C990" s="10"/>
      <c r="D990" s="12"/>
      <c r="E990" s="10"/>
      <c r="F990" s="10"/>
      <c r="G990" s="10"/>
      <c r="H990" s="5"/>
      <c r="I990" s="5"/>
      <c r="J990" s="5"/>
      <c r="K990" s="5"/>
      <c r="L990" s="5"/>
      <c r="M990" s="5"/>
      <c r="N990" s="5"/>
      <c r="O990" s="5"/>
      <c r="P990" s="5"/>
    </row>
    <row r="991" spans="1:16" x14ac:dyDescent="0.25">
      <c r="A991" s="10"/>
      <c r="B991" s="10"/>
      <c r="C991" s="10"/>
      <c r="D991" s="12"/>
      <c r="E991" s="10"/>
      <c r="F991" s="10"/>
      <c r="G991" s="10"/>
      <c r="H991" s="5"/>
      <c r="I991" s="5"/>
      <c r="J991" s="5"/>
      <c r="K991" s="5"/>
      <c r="L991" s="5"/>
      <c r="M991" s="5"/>
      <c r="N991" s="5"/>
      <c r="O991" s="5"/>
      <c r="P991" s="5"/>
    </row>
    <row r="992" spans="1:16" x14ac:dyDescent="0.25">
      <c r="A992" s="10"/>
      <c r="B992" s="10"/>
      <c r="C992" s="10"/>
      <c r="D992" s="12"/>
      <c r="E992" s="10"/>
      <c r="F992" s="10"/>
      <c r="G992" s="10"/>
      <c r="H992" s="5"/>
      <c r="I992" s="5"/>
      <c r="J992" s="5"/>
      <c r="K992" s="5"/>
      <c r="L992" s="5"/>
      <c r="M992" s="5"/>
      <c r="N992" s="5"/>
      <c r="O992" s="5"/>
      <c r="P992" s="5"/>
    </row>
    <row r="993" spans="1:16" x14ac:dyDescent="0.25">
      <c r="A993" s="10"/>
      <c r="B993" s="10"/>
      <c r="C993" s="10"/>
      <c r="D993" s="12"/>
      <c r="E993" s="10"/>
      <c r="F993" s="10"/>
      <c r="G993" s="10"/>
      <c r="H993" s="5"/>
      <c r="I993" s="5"/>
      <c r="J993" s="5"/>
      <c r="K993" s="5"/>
      <c r="L993" s="5"/>
      <c r="M993" s="5"/>
      <c r="N993" s="5"/>
      <c r="O993" s="5"/>
      <c r="P993" s="5"/>
    </row>
    <row r="994" spans="1:16" x14ac:dyDescent="0.25">
      <c r="A994" s="10"/>
      <c r="B994" s="10"/>
      <c r="C994" s="10"/>
      <c r="D994" s="12"/>
      <c r="E994" s="10"/>
      <c r="F994" s="10"/>
      <c r="G994" s="10"/>
      <c r="H994" s="5"/>
      <c r="I994" s="5"/>
      <c r="J994" s="5"/>
      <c r="K994" s="5"/>
      <c r="L994" s="5"/>
      <c r="M994" s="5"/>
      <c r="N994" s="5"/>
      <c r="O994" s="5"/>
      <c r="P994" s="5"/>
    </row>
    <row r="995" spans="1:16" x14ac:dyDescent="0.25">
      <c r="A995" s="10"/>
      <c r="B995" s="10"/>
      <c r="C995" s="10"/>
      <c r="D995" s="12"/>
      <c r="E995" s="10"/>
      <c r="F995" s="10"/>
      <c r="G995" s="10"/>
      <c r="H995" s="5"/>
      <c r="I995" s="5"/>
      <c r="J995" s="5"/>
      <c r="K995" s="5"/>
      <c r="L995" s="5"/>
      <c r="M995" s="5"/>
      <c r="N995" s="5"/>
      <c r="O995" s="5"/>
      <c r="P995" s="5"/>
    </row>
    <row r="996" spans="1:16" x14ac:dyDescent="0.25">
      <c r="A996" s="10"/>
      <c r="B996" s="10"/>
      <c r="C996" s="10"/>
      <c r="D996" s="12"/>
      <c r="E996" s="10"/>
      <c r="F996" s="10"/>
      <c r="G996" s="10"/>
      <c r="H996" s="5"/>
      <c r="I996" s="5"/>
      <c r="J996" s="5"/>
      <c r="K996" s="5"/>
      <c r="L996" s="5"/>
      <c r="M996" s="5"/>
      <c r="N996" s="5"/>
      <c r="O996" s="5"/>
      <c r="P996" s="5"/>
    </row>
    <row r="997" spans="1:16" x14ac:dyDescent="0.25">
      <c r="A997" s="10"/>
      <c r="B997" s="10"/>
      <c r="C997" s="10"/>
      <c r="D997" s="12"/>
      <c r="E997" s="10"/>
      <c r="F997" s="10"/>
      <c r="G997" s="10"/>
      <c r="H997" s="5"/>
      <c r="I997" s="5"/>
      <c r="J997" s="5"/>
      <c r="K997" s="5"/>
      <c r="L997" s="5"/>
      <c r="M997" s="5"/>
      <c r="N997" s="5"/>
      <c r="O997" s="5"/>
      <c r="P997" s="5"/>
    </row>
    <row r="998" spans="1:16" x14ac:dyDescent="0.25">
      <c r="A998" s="10"/>
      <c r="B998" s="10"/>
      <c r="C998" s="10"/>
      <c r="D998" s="12"/>
      <c r="E998" s="10"/>
      <c r="F998" s="10"/>
      <c r="G998" s="10"/>
      <c r="H998" s="5"/>
      <c r="I998" s="5"/>
      <c r="J998" s="5"/>
      <c r="K998" s="5"/>
      <c r="L998" s="5"/>
      <c r="M998" s="5"/>
      <c r="N998" s="5"/>
      <c r="O998" s="5"/>
      <c r="P998" s="5"/>
    </row>
    <row r="999" spans="1:16" x14ac:dyDescent="0.25">
      <c r="A999" s="10"/>
      <c r="B999" s="10"/>
      <c r="C999" s="10"/>
      <c r="D999" s="12"/>
      <c r="E999" s="10"/>
      <c r="F999" s="10"/>
      <c r="G999" s="10"/>
      <c r="H999" s="5"/>
      <c r="I999" s="5"/>
      <c r="J999" s="5"/>
      <c r="K999" s="5"/>
      <c r="L999" s="5"/>
      <c r="M999" s="5"/>
      <c r="N999" s="5"/>
      <c r="O999" s="5"/>
      <c r="P999" s="5"/>
    </row>
    <row r="1000" spans="1:16" x14ac:dyDescent="0.25">
      <c r="A1000" s="10"/>
      <c r="B1000" s="10"/>
      <c r="C1000" s="10"/>
      <c r="D1000" s="12"/>
      <c r="E1000" s="10"/>
      <c r="F1000" s="10"/>
      <c r="G1000" s="10"/>
      <c r="H1000" s="5"/>
      <c r="I1000" s="5"/>
      <c r="J1000" s="5"/>
      <c r="K1000" s="5"/>
      <c r="L1000" s="5"/>
      <c r="M1000" s="5"/>
      <c r="N1000" s="5"/>
      <c r="O1000" s="5"/>
      <c r="P1000" s="5"/>
    </row>
    <row r="1001" spans="1:16" x14ac:dyDescent="0.25">
      <c r="A1001" s="10"/>
      <c r="B1001" s="10"/>
      <c r="C1001" s="10"/>
      <c r="D1001" s="12"/>
      <c r="E1001" s="10"/>
      <c r="F1001" s="10"/>
      <c r="G1001" s="10"/>
      <c r="H1001" s="5"/>
      <c r="I1001" s="5"/>
      <c r="J1001" s="5"/>
      <c r="K1001" s="5"/>
      <c r="L1001" s="5"/>
      <c r="M1001" s="5"/>
      <c r="N1001" s="5"/>
      <c r="O1001" s="5"/>
      <c r="P1001" s="5"/>
    </row>
    <row r="1002" spans="1:16" x14ac:dyDescent="0.25">
      <c r="A1002" s="10"/>
      <c r="B1002" s="10"/>
      <c r="C1002" s="10"/>
      <c r="D1002" s="12"/>
      <c r="E1002" s="10"/>
      <c r="F1002" s="10"/>
      <c r="G1002" s="10"/>
      <c r="H1002" s="5"/>
      <c r="I1002" s="5"/>
      <c r="J1002" s="5"/>
      <c r="K1002" s="5"/>
      <c r="L1002" s="5"/>
      <c r="M1002" s="5"/>
      <c r="N1002" s="5"/>
      <c r="O1002" s="5"/>
      <c r="P1002" s="5"/>
    </row>
    <row r="1003" spans="1:16" x14ac:dyDescent="0.25">
      <c r="A1003" s="10"/>
      <c r="B1003" s="10"/>
      <c r="C1003" s="10"/>
      <c r="D1003" s="12"/>
      <c r="E1003" s="10"/>
      <c r="F1003" s="10"/>
      <c r="G1003" s="10"/>
      <c r="H1003" s="5"/>
      <c r="I1003" s="5"/>
      <c r="J1003" s="5"/>
      <c r="K1003" s="5"/>
      <c r="L1003" s="5"/>
      <c r="M1003" s="5"/>
      <c r="N1003" s="5"/>
      <c r="O1003" s="5"/>
      <c r="P1003" s="5"/>
    </row>
    <row r="1004" spans="1:16" x14ac:dyDescent="0.25">
      <c r="A1004" s="10"/>
      <c r="B1004" s="10"/>
      <c r="C1004" s="10"/>
      <c r="D1004" s="12"/>
      <c r="E1004" s="10"/>
      <c r="F1004" s="10"/>
      <c r="G1004" s="10"/>
      <c r="H1004" s="5"/>
      <c r="I1004" s="5"/>
      <c r="J1004" s="5"/>
      <c r="K1004" s="5"/>
      <c r="L1004" s="5"/>
      <c r="M1004" s="5"/>
      <c r="N1004" s="5"/>
      <c r="O1004" s="5"/>
      <c r="P1004" s="5"/>
    </row>
    <row r="1005" spans="1:16" x14ac:dyDescent="0.25">
      <c r="A1005" s="10"/>
      <c r="B1005" s="10"/>
      <c r="C1005" s="10"/>
      <c r="D1005" s="12"/>
      <c r="E1005" s="10"/>
      <c r="F1005" s="10"/>
      <c r="G1005" s="10"/>
      <c r="H1005" s="5"/>
      <c r="I1005" s="5"/>
      <c r="J1005" s="5"/>
      <c r="K1005" s="5"/>
      <c r="L1005" s="5"/>
      <c r="M1005" s="5"/>
      <c r="N1005" s="5"/>
      <c r="O1005" s="5"/>
      <c r="P1005" s="5"/>
    </row>
    <row r="1006" spans="1:16" x14ac:dyDescent="0.25">
      <c r="A1006" s="10"/>
      <c r="B1006" s="10"/>
      <c r="C1006" s="10"/>
      <c r="D1006" s="12"/>
      <c r="E1006" s="10"/>
      <c r="F1006" s="10"/>
      <c r="G1006" s="10"/>
      <c r="H1006" s="5"/>
      <c r="I1006" s="5"/>
      <c r="J1006" s="5"/>
      <c r="K1006" s="5"/>
      <c r="L1006" s="5"/>
      <c r="M1006" s="5"/>
      <c r="N1006" s="5"/>
      <c r="O1006" s="5"/>
      <c r="P1006" s="5"/>
    </row>
    <row r="1007" spans="1:16" x14ac:dyDescent="0.25">
      <c r="A1007" s="10"/>
      <c r="B1007" s="10"/>
      <c r="C1007" s="10"/>
      <c r="D1007" s="12"/>
      <c r="E1007" s="10"/>
      <c r="F1007" s="10"/>
      <c r="G1007" s="10"/>
      <c r="H1007" s="5"/>
      <c r="I1007" s="5"/>
      <c r="J1007" s="5"/>
      <c r="K1007" s="5"/>
      <c r="L1007" s="5"/>
      <c r="M1007" s="5"/>
      <c r="N1007" s="5"/>
      <c r="O1007" s="5"/>
      <c r="P1007" s="5"/>
    </row>
    <row r="1008" spans="1:16" x14ac:dyDescent="0.25">
      <c r="A1008" s="10"/>
      <c r="B1008" s="10"/>
      <c r="C1008" s="10"/>
      <c r="D1008" s="12"/>
      <c r="E1008" s="10"/>
      <c r="F1008" s="10"/>
      <c r="G1008" s="10"/>
      <c r="H1008" s="5"/>
      <c r="I1008" s="5"/>
      <c r="J1008" s="5"/>
      <c r="K1008" s="5"/>
      <c r="L1008" s="5"/>
      <c r="M1008" s="5"/>
      <c r="N1008" s="5"/>
      <c r="O1008" s="5"/>
      <c r="P1008" s="5"/>
    </row>
    <row r="1009" spans="1:16" x14ac:dyDescent="0.25">
      <c r="A1009" s="10"/>
      <c r="B1009" s="10"/>
      <c r="C1009" s="10"/>
      <c r="D1009" s="12"/>
      <c r="E1009" s="10"/>
      <c r="F1009" s="10"/>
      <c r="G1009" s="10"/>
      <c r="H1009" s="5"/>
      <c r="I1009" s="5"/>
      <c r="J1009" s="5"/>
      <c r="K1009" s="5"/>
      <c r="L1009" s="5"/>
      <c r="M1009" s="5"/>
      <c r="N1009" s="5"/>
      <c r="O1009" s="5"/>
      <c r="P1009" s="5"/>
    </row>
    <row r="1010" spans="1:16" x14ac:dyDescent="0.25">
      <c r="A1010" s="10"/>
      <c r="B1010" s="10"/>
      <c r="C1010" s="10"/>
      <c r="D1010" s="12"/>
      <c r="E1010" s="10"/>
      <c r="F1010" s="10"/>
      <c r="G1010" s="10"/>
      <c r="H1010" s="5"/>
      <c r="I1010" s="5"/>
      <c r="J1010" s="5"/>
      <c r="K1010" s="5"/>
      <c r="L1010" s="5"/>
      <c r="M1010" s="5"/>
      <c r="N1010" s="5"/>
      <c r="O1010" s="5"/>
      <c r="P1010" s="5"/>
    </row>
    <row r="1011" spans="1:16" x14ac:dyDescent="0.25">
      <c r="A1011" s="10"/>
      <c r="B1011" s="10"/>
      <c r="C1011" s="10"/>
      <c r="D1011" s="12"/>
      <c r="E1011" s="10"/>
      <c r="F1011" s="10"/>
      <c r="G1011" s="10"/>
      <c r="H1011" s="5"/>
      <c r="I1011" s="5"/>
      <c r="J1011" s="5"/>
      <c r="K1011" s="5"/>
      <c r="L1011" s="5"/>
      <c r="M1011" s="5"/>
      <c r="N1011" s="5"/>
      <c r="O1011" s="5"/>
      <c r="P1011" s="5"/>
    </row>
    <row r="1012" spans="1:16" x14ac:dyDescent="0.25">
      <c r="A1012" s="10"/>
      <c r="B1012" s="10"/>
      <c r="C1012" s="10"/>
      <c r="D1012" s="12"/>
      <c r="E1012" s="10"/>
      <c r="F1012" s="10"/>
      <c r="G1012" s="10"/>
      <c r="H1012" s="5"/>
      <c r="I1012" s="5"/>
      <c r="J1012" s="5"/>
      <c r="K1012" s="5"/>
      <c r="L1012" s="5"/>
      <c r="M1012" s="5"/>
      <c r="N1012" s="5"/>
      <c r="O1012" s="5"/>
      <c r="P1012" s="5"/>
    </row>
    <row r="1013" spans="1:16" x14ac:dyDescent="0.25">
      <c r="A1013" s="10"/>
      <c r="B1013" s="10"/>
      <c r="C1013" s="10"/>
      <c r="D1013" s="12"/>
      <c r="E1013" s="10"/>
      <c r="F1013" s="10"/>
      <c r="G1013" s="10"/>
      <c r="H1013" s="5"/>
      <c r="I1013" s="5"/>
      <c r="J1013" s="5"/>
      <c r="K1013" s="5"/>
      <c r="L1013" s="5"/>
      <c r="M1013" s="5"/>
      <c r="N1013" s="5"/>
      <c r="O1013" s="5"/>
      <c r="P1013" s="5"/>
    </row>
    <row r="1014" spans="1:16" x14ac:dyDescent="0.25">
      <c r="A1014" s="10"/>
      <c r="B1014" s="10"/>
      <c r="C1014" s="10"/>
      <c r="D1014" s="12"/>
      <c r="E1014" s="10"/>
      <c r="F1014" s="10"/>
      <c r="G1014" s="10"/>
      <c r="H1014" s="5"/>
      <c r="I1014" s="5"/>
      <c r="J1014" s="5"/>
      <c r="K1014" s="5"/>
      <c r="L1014" s="5"/>
      <c r="M1014" s="5"/>
      <c r="N1014" s="5"/>
      <c r="O1014" s="5"/>
      <c r="P1014" s="5"/>
    </row>
    <row r="1015" spans="1:16" x14ac:dyDescent="0.25">
      <c r="A1015" s="10"/>
      <c r="B1015" s="10"/>
      <c r="C1015" s="10"/>
      <c r="D1015" s="12"/>
      <c r="E1015" s="10"/>
      <c r="F1015" s="10"/>
      <c r="G1015" s="10"/>
      <c r="H1015" s="5"/>
      <c r="I1015" s="5"/>
      <c r="J1015" s="5"/>
      <c r="K1015" s="5"/>
      <c r="L1015" s="5"/>
      <c r="M1015" s="5"/>
      <c r="N1015" s="5"/>
      <c r="O1015" s="5"/>
      <c r="P1015" s="5"/>
    </row>
    <row r="1016" spans="1:16" x14ac:dyDescent="0.25">
      <c r="A1016" s="10"/>
      <c r="B1016" s="10"/>
      <c r="C1016" s="10"/>
      <c r="D1016" s="12"/>
      <c r="E1016" s="10"/>
      <c r="F1016" s="10"/>
      <c r="G1016" s="10"/>
      <c r="H1016" s="5"/>
      <c r="I1016" s="5"/>
      <c r="J1016" s="5"/>
      <c r="K1016" s="5"/>
      <c r="L1016" s="5"/>
      <c r="M1016" s="5"/>
      <c r="N1016" s="5"/>
      <c r="O1016" s="5"/>
      <c r="P1016" s="5"/>
    </row>
    <row r="1017" spans="1:16" x14ac:dyDescent="0.25">
      <c r="A1017" s="10"/>
      <c r="B1017" s="10"/>
      <c r="C1017" s="10"/>
      <c r="D1017" s="12"/>
      <c r="E1017" s="10"/>
      <c r="F1017" s="10"/>
      <c r="G1017" s="10"/>
      <c r="H1017" s="5"/>
      <c r="I1017" s="5"/>
      <c r="J1017" s="5"/>
      <c r="K1017" s="5"/>
      <c r="L1017" s="5"/>
      <c r="M1017" s="5"/>
      <c r="N1017" s="5"/>
      <c r="O1017" s="5"/>
      <c r="P1017" s="5"/>
    </row>
    <row r="1018" spans="1:16" x14ac:dyDescent="0.25">
      <c r="A1018" s="10"/>
      <c r="B1018" s="10"/>
      <c r="C1018" s="10"/>
      <c r="D1018" s="12"/>
      <c r="E1018" s="10"/>
      <c r="F1018" s="10"/>
      <c r="G1018" s="10"/>
      <c r="H1018" s="5"/>
      <c r="I1018" s="5"/>
      <c r="J1018" s="5"/>
      <c r="K1018" s="5"/>
      <c r="L1018" s="5"/>
      <c r="M1018" s="5"/>
      <c r="N1018" s="5"/>
      <c r="O1018" s="5"/>
      <c r="P1018" s="5"/>
    </row>
    <row r="1019" spans="1:16" x14ac:dyDescent="0.25">
      <c r="A1019" s="10"/>
      <c r="B1019" s="10"/>
      <c r="C1019" s="10"/>
      <c r="D1019" s="12"/>
      <c r="E1019" s="10"/>
      <c r="F1019" s="10"/>
      <c r="G1019" s="10"/>
      <c r="H1019" s="5"/>
      <c r="I1019" s="5"/>
      <c r="J1019" s="5"/>
      <c r="K1019" s="5"/>
      <c r="L1019" s="5"/>
      <c r="M1019" s="5"/>
      <c r="N1019" s="5"/>
      <c r="O1019" s="5"/>
      <c r="P1019" s="5"/>
    </row>
    <row r="1020" spans="1:16" x14ac:dyDescent="0.25">
      <c r="A1020" s="10"/>
      <c r="B1020" s="10"/>
      <c r="C1020" s="10"/>
      <c r="D1020" s="12"/>
      <c r="E1020" s="10"/>
      <c r="F1020" s="10"/>
      <c r="G1020" s="10"/>
      <c r="H1020" s="5"/>
      <c r="I1020" s="5"/>
      <c r="J1020" s="5"/>
      <c r="K1020" s="5"/>
      <c r="L1020" s="5"/>
      <c r="M1020" s="5"/>
      <c r="N1020" s="5"/>
      <c r="O1020" s="5"/>
      <c r="P1020" s="5"/>
    </row>
    <row r="1021" spans="1:16" x14ac:dyDescent="0.25">
      <c r="A1021" s="10"/>
      <c r="B1021" s="10"/>
      <c r="C1021" s="10"/>
      <c r="D1021" s="12"/>
      <c r="E1021" s="10"/>
      <c r="F1021" s="10"/>
      <c r="G1021" s="10"/>
      <c r="H1021" s="5"/>
      <c r="I1021" s="5"/>
      <c r="J1021" s="5"/>
      <c r="K1021" s="5"/>
      <c r="L1021" s="5"/>
      <c r="M1021" s="5"/>
      <c r="N1021" s="5"/>
      <c r="O1021" s="5"/>
      <c r="P1021" s="5"/>
    </row>
    <row r="1022" spans="1:16" x14ac:dyDescent="0.25">
      <c r="A1022" s="10"/>
      <c r="B1022" s="10"/>
      <c r="C1022" s="10"/>
      <c r="D1022" s="12"/>
      <c r="E1022" s="10"/>
      <c r="F1022" s="10"/>
      <c r="G1022" s="10"/>
      <c r="H1022" s="5"/>
      <c r="I1022" s="5"/>
      <c r="J1022" s="5"/>
      <c r="K1022" s="5"/>
      <c r="L1022" s="5"/>
      <c r="M1022" s="5"/>
      <c r="N1022" s="5"/>
      <c r="O1022" s="5"/>
      <c r="P1022" s="5"/>
    </row>
    <row r="1023" spans="1:16" x14ac:dyDescent="0.25">
      <c r="A1023" s="10"/>
      <c r="B1023" s="10"/>
      <c r="C1023" s="10"/>
      <c r="D1023" s="12"/>
      <c r="E1023" s="10"/>
      <c r="F1023" s="10"/>
      <c r="G1023" s="10"/>
      <c r="H1023" s="5"/>
      <c r="I1023" s="5"/>
      <c r="J1023" s="5"/>
      <c r="K1023" s="5"/>
      <c r="L1023" s="5"/>
      <c r="M1023" s="5"/>
      <c r="N1023" s="5"/>
      <c r="O1023" s="5"/>
      <c r="P1023" s="5"/>
    </row>
    <row r="1024" spans="1:16" x14ac:dyDescent="0.25">
      <c r="A1024" s="10"/>
      <c r="B1024" s="10"/>
      <c r="C1024" s="10"/>
      <c r="D1024" s="12"/>
      <c r="E1024" s="10"/>
      <c r="F1024" s="10"/>
      <c r="G1024" s="10"/>
      <c r="H1024" s="5"/>
      <c r="I1024" s="5"/>
      <c r="J1024" s="5"/>
      <c r="K1024" s="5"/>
      <c r="L1024" s="5"/>
      <c r="M1024" s="5"/>
      <c r="N1024" s="5"/>
      <c r="O1024" s="5"/>
      <c r="P1024" s="5"/>
    </row>
    <row r="1025" spans="1:16" x14ac:dyDescent="0.25">
      <c r="A1025" s="10"/>
      <c r="B1025" s="10"/>
      <c r="C1025" s="10"/>
      <c r="D1025" s="12"/>
      <c r="E1025" s="10"/>
      <c r="F1025" s="10"/>
      <c r="G1025" s="10"/>
      <c r="H1025" s="5"/>
      <c r="I1025" s="5"/>
      <c r="J1025" s="5"/>
      <c r="K1025" s="5"/>
      <c r="L1025" s="5"/>
      <c r="M1025" s="5"/>
      <c r="N1025" s="5"/>
      <c r="O1025" s="5"/>
      <c r="P1025" s="5"/>
    </row>
    <row r="1026" spans="1:16" x14ac:dyDescent="0.25">
      <c r="A1026" s="10"/>
      <c r="B1026" s="10"/>
      <c r="C1026" s="10"/>
      <c r="D1026" s="12"/>
      <c r="E1026" s="10"/>
      <c r="F1026" s="10"/>
      <c r="G1026" s="10"/>
      <c r="H1026" s="5"/>
      <c r="I1026" s="5"/>
      <c r="J1026" s="5"/>
      <c r="K1026" s="5"/>
      <c r="L1026" s="5"/>
      <c r="M1026" s="5"/>
      <c r="N1026" s="5"/>
      <c r="O1026" s="5"/>
      <c r="P1026" s="5"/>
    </row>
    <row r="1027" spans="1:16" x14ac:dyDescent="0.25">
      <c r="A1027" s="10"/>
      <c r="B1027" s="10"/>
      <c r="C1027" s="10"/>
      <c r="D1027" s="12"/>
      <c r="E1027" s="10"/>
      <c r="F1027" s="10"/>
      <c r="G1027" s="10"/>
      <c r="H1027" s="5"/>
      <c r="I1027" s="5"/>
      <c r="J1027" s="5"/>
      <c r="K1027" s="5"/>
      <c r="L1027" s="5"/>
      <c r="M1027" s="5"/>
      <c r="N1027" s="5"/>
      <c r="O1027" s="5"/>
      <c r="P1027" s="5"/>
    </row>
    <row r="1028" spans="1:16" x14ac:dyDescent="0.25">
      <c r="A1028" s="10"/>
      <c r="B1028" s="10"/>
      <c r="C1028" s="10"/>
      <c r="D1028" s="12"/>
      <c r="E1028" s="10"/>
      <c r="F1028" s="10"/>
      <c r="G1028" s="10"/>
      <c r="H1028" s="5"/>
      <c r="I1028" s="5"/>
      <c r="J1028" s="5"/>
      <c r="K1028" s="5"/>
      <c r="L1028" s="5"/>
      <c r="M1028" s="5"/>
      <c r="N1028" s="5"/>
      <c r="O1028" s="5"/>
      <c r="P1028" s="5"/>
    </row>
    <row r="1029" spans="1:16" x14ac:dyDescent="0.25">
      <c r="A1029" s="10"/>
      <c r="B1029" s="10"/>
      <c r="C1029" s="10"/>
      <c r="D1029" s="12"/>
      <c r="E1029" s="10"/>
      <c r="F1029" s="10"/>
      <c r="G1029" s="10"/>
      <c r="H1029" s="5"/>
      <c r="I1029" s="5"/>
      <c r="J1029" s="5"/>
      <c r="K1029" s="5"/>
      <c r="L1029" s="5"/>
      <c r="M1029" s="5"/>
      <c r="N1029" s="5"/>
      <c r="O1029" s="5"/>
      <c r="P1029" s="5"/>
    </row>
    <row r="1030" spans="1:16" x14ac:dyDescent="0.25">
      <c r="A1030" s="10"/>
      <c r="B1030" s="10"/>
      <c r="C1030" s="10"/>
      <c r="D1030" s="12"/>
      <c r="E1030" s="10"/>
      <c r="F1030" s="10"/>
      <c r="G1030" s="10"/>
      <c r="H1030" s="5"/>
      <c r="I1030" s="5"/>
      <c r="J1030" s="5"/>
      <c r="K1030" s="5"/>
      <c r="L1030" s="5"/>
      <c r="M1030" s="5"/>
      <c r="N1030" s="5"/>
      <c r="O1030" s="5"/>
      <c r="P1030" s="5"/>
    </row>
    <row r="1031" spans="1:16" x14ac:dyDescent="0.25">
      <c r="A1031" s="10"/>
      <c r="B1031" s="10"/>
      <c r="C1031" s="10"/>
      <c r="D1031" s="12"/>
      <c r="E1031" s="10"/>
      <c r="F1031" s="10"/>
      <c r="G1031" s="10"/>
      <c r="H1031" s="5"/>
      <c r="I1031" s="5"/>
      <c r="J1031" s="5"/>
      <c r="K1031" s="5"/>
      <c r="L1031" s="5"/>
      <c r="M1031" s="5"/>
      <c r="N1031" s="5"/>
      <c r="O1031" s="5"/>
      <c r="P1031" s="5"/>
    </row>
    <row r="1032" spans="1:16" x14ac:dyDescent="0.25">
      <c r="A1032" s="10"/>
      <c r="B1032" s="10"/>
      <c r="C1032" s="10"/>
      <c r="D1032" s="12"/>
      <c r="E1032" s="10"/>
      <c r="F1032" s="10"/>
      <c r="G1032" s="10"/>
      <c r="H1032" s="5"/>
      <c r="I1032" s="5"/>
      <c r="J1032" s="5"/>
      <c r="K1032" s="5"/>
      <c r="L1032" s="5"/>
      <c r="M1032" s="5"/>
      <c r="N1032" s="5"/>
      <c r="O1032" s="5"/>
      <c r="P1032" s="5"/>
    </row>
    <row r="1033" spans="1:16" x14ac:dyDescent="0.25">
      <c r="A1033" s="10"/>
      <c r="B1033" s="10"/>
      <c r="C1033" s="10"/>
      <c r="D1033" s="12"/>
      <c r="E1033" s="10"/>
      <c r="F1033" s="10"/>
      <c r="G1033" s="10"/>
      <c r="H1033" s="5"/>
      <c r="I1033" s="5"/>
      <c r="J1033" s="5"/>
      <c r="K1033" s="5"/>
      <c r="L1033" s="5"/>
      <c r="M1033" s="5"/>
      <c r="N1033" s="5"/>
      <c r="O1033" s="5"/>
      <c r="P1033" s="5"/>
    </row>
    <row r="1034" spans="1:16" x14ac:dyDescent="0.25">
      <c r="A1034" s="10"/>
      <c r="B1034" s="10"/>
      <c r="C1034" s="10"/>
      <c r="D1034" s="12"/>
      <c r="E1034" s="10"/>
      <c r="F1034" s="10"/>
      <c r="G1034" s="10"/>
      <c r="H1034" s="5"/>
      <c r="I1034" s="5"/>
      <c r="J1034" s="5"/>
      <c r="K1034" s="5"/>
      <c r="L1034" s="5"/>
      <c r="M1034" s="5"/>
      <c r="N1034" s="5"/>
      <c r="O1034" s="5"/>
      <c r="P1034" s="5"/>
    </row>
    <row r="1035" spans="1:16" x14ac:dyDescent="0.25">
      <c r="A1035" s="10"/>
      <c r="B1035" s="10"/>
      <c r="C1035" s="10"/>
      <c r="D1035" s="12"/>
      <c r="E1035" s="10"/>
      <c r="F1035" s="10"/>
      <c r="G1035" s="10"/>
      <c r="H1035" s="5"/>
      <c r="I1035" s="5"/>
      <c r="J1035" s="5"/>
      <c r="K1035" s="5"/>
      <c r="L1035" s="5"/>
      <c r="M1035" s="5"/>
      <c r="N1035" s="5"/>
      <c r="O1035" s="5"/>
      <c r="P1035" s="5"/>
    </row>
    <row r="1036" spans="1:16" x14ac:dyDescent="0.25">
      <c r="A1036" s="10"/>
      <c r="B1036" s="10"/>
      <c r="C1036" s="10"/>
      <c r="D1036" s="12"/>
      <c r="E1036" s="10"/>
      <c r="F1036" s="10"/>
      <c r="G1036" s="10"/>
      <c r="H1036" s="5"/>
      <c r="I1036" s="5"/>
      <c r="J1036" s="5"/>
      <c r="K1036" s="5"/>
      <c r="L1036" s="5"/>
      <c r="M1036" s="5"/>
      <c r="N1036" s="5"/>
      <c r="O1036" s="5"/>
      <c r="P1036" s="5"/>
    </row>
    <row r="1037" spans="1:16" x14ac:dyDescent="0.25">
      <c r="A1037" s="10"/>
      <c r="B1037" s="10"/>
      <c r="C1037" s="10"/>
      <c r="D1037" s="12"/>
      <c r="E1037" s="10"/>
      <c r="F1037" s="10"/>
      <c r="G1037" s="10"/>
      <c r="H1037" s="5"/>
      <c r="I1037" s="5"/>
      <c r="J1037" s="5"/>
      <c r="K1037" s="5"/>
      <c r="L1037" s="5"/>
      <c r="M1037" s="5"/>
      <c r="N1037" s="5"/>
      <c r="O1037" s="5"/>
      <c r="P1037" s="5"/>
    </row>
    <row r="1038" spans="1:16" x14ac:dyDescent="0.25">
      <c r="A1038" s="10"/>
      <c r="B1038" s="10"/>
      <c r="C1038" s="10"/>
      <c r="D1038" s="12"/>
      <c r="E1038" s="10"/>
      <c r="F1038" s="10"/>
      <c r="G1038" s="10"/>
      <c r="H1038" s="5"/>
      <c r="I1038" s="5"/>
      <c r="J1038" s="5"/>
      <c r="K1038" s="5"/>
      <c r="L1038" s="5"/>
      <c r="M1038" s="5"/>
      <c r="N1038" s="5"/>
      <c r="O1038" s="5"/>
      <c r="P1038" s="5"/>
    </row>
    <row r="1039" spans="1:16" x14ac:dyDescent="0.25">
      <c r="A1039" s="10"/>
      <c r="B1039" s="10"/>
      <c r="C1039" s="10"/>
      <c r="D1039" s="12"/>
      <c r="E1039" s="10"/>
      <c r="F1039" s="10"/>
      <c r="G1039" s="10"/>
      <c r="H1039" s="5"/>
      <c r="I1039" s="5"/>
      <c r="J1039" s="5"/>
      <c r="K1039" s="5"/>
      <c r="L1039" s="5"/>
      <c r="M1039" s="5"/>
      <c r="N1039" s="5"/>
      <c r="O1039" s="5"/>
      <c r="P1039" s="5"/>
    </row>
    <row r="1040" spans="1:16" x14ac:dyDescent="0.25">
      <c r="A1040" s="10"/>
      <c r="B1040" s="10"/>
      <c r="C1040" s="10"/>
      <c r="D1040" s="12"/>
      <c r="E1040" s="10"/>
      <c r="F1040" s="10"/>
      <c r="G1040" s="10"/>
      <c r="H1040" s="5"/>
      <c r="I1040" s="5"/>
      <c r="J1040" s="5"/>
      <c r="K1040" s="5"/>
      <c r="L1040" s="5"/>
      <c r="M1040" s="5"/>
      <c r="N1040" s="5"/>
      <c r="O1040" s="5"/>
      <c r="P1040" s="5"/>
    </row>
    <row r="1041" spans="1:16" x14ac:dyDescent="0.25">
      <c r="A1041" s="10"/>
      <c r="B1041" s="10"/>
      <c r="C1041" s="10"/>
      <c r="D1041" s="12"/>
      <c r="E1041" s="10"/>
      <c r="F1041" s="10"/>
      <c r="G1041" s="10"/>
      <c r="H1041" s="5"/>
      <c r="I1041" s="5"/>
      <c r="J1041" s="5"/>
      <c r="K1041" s="5"/>
      <c r="L1041" s="5"/>
      <c r="M1041" s="5"/>
      <c r="N1041" s="5"/>
      <c r="O1041" s="5"/>
      <c r="P1041" s="5"/>
    </row>
    <row r="1042" spans="1:16" x14ac:dyDescent="0.25">
      <c r="A1042" s="10"/>
      <c r="B1042" s="10"/>
      <c r="C1042" s="10"/>
      <c r="D1042" s="12"/>
      <c r="E1042" s="10"/>
      <c r="F1042" s="10"/>
      <c r="G1042" s="10"/>
      <c r="H1042" s="5"/>
      <c r="I1042" s="5"/>
      <c r="J1042" s="5"/>
      <c r="K1042" s="5"/>
      <c r="L1042" s="5"/>
      <c r="M1042" s="5"/>
      <c r="N1042" s="5"/>
      <c r="O1042" s="5"/>
      <c r="P1042" s="5"/>
    </row>
    <row r="1043" spans="1:16" x14ac:dyDescent="0.25">
      <c r="A1043" s="10"/>
      <c r="B1043" s="10"/>
      <c r="C1043" s="10"/>
      <c r="D1043" s="12"/>
      <c r="E1043" s="10"/>
      <c r="F1043" s="10"/>
      <c r="G1043" s="10"/>
      <c r="H1043" s="5"/>
      <c r="I1043" s="5"/>
      <c r="J1043" s="5"/>
      <c r="K1043" s="5"/>
      <c r="L1043" s="5"/>
      <c r="M1043" s="5"/>
      <c r="N1043" s="5"/>
      <c r="O1043" s="5"/>
      <c r="P1043" s="5"/>
    </row>
    <row r="1044" spans="1:16" x14ac:dyDescent="0.25">
      <c r="A1044" s="10"/>
      <c r="B1044" s="10"/>
      <c r="C1044" s="10"/>
      <c r="D1044" s="12"/>
      <c r="E1044" s="10"/>
      <c r="F1044" s="10"/>
      <c r="G1044" s="10"/>
      <c r="H1044" s="5"/>
      <c r="I1044" s="5"/>
      <c r="J1044" s="5"/>
      <c r="K1044" s="5"/>
      <c r="L1044" s="5"/>
      <c r="M1044" s="5"/>
      <c r="N1044" s="5"/>
      <c r="O1044" s="5"/>
      <c r="P1044" s="5"/>
    </row>
    <row r="1045" spans="1:16" x14ac:dyDescent="0.25">
      <c r="A1045" s="10"/>
      <c r="B1045" s="10"/>
      <c r="C1045" s="10"/>
      <c r="D1045" s="12"/>
      <c r="E1045" s="10"/>
      <c r="F1045" s="10"/>
      <c r="G1045" s="10"/>
      <c r="H1045" s="5"/>
      <c r="I1045" s="5"/>
      <c r="J1045" s="5"/>
      <c r="K1045" s="5"/>
      <c r="L1045" s="5"/>
      <c r="M1045" s="5"/>
      <c r="N1045" s="5"/>
      <c r="O1045" s="5"/>
      <c r="P1045" s="5"/>
    </row>
    <row r="1046" spans="1:16" x14ac:dyDescent="0.25">
      <c r="A1046" s="10"/>
      <c r="B1046" s="10"/>
      <c r="C1046" s="10"/>
      <c r="D1046" s="12"/>
      <c r="E1046" s="10"/>
      <c r="F1046" s="10"/>
      <c r="G1046" s="10"/>
      <c r="H1046" s="5"/>
      <c r="I1046" s="5"/>
      <c r="J1046" s="5"/>
      <c r="K1046" s="5"/>
      <c r="L1046" s="5"/>
      <c r="M1046" s="5"/>
      <c r="N1046" s="5"/>
      <c r="O1046" s="5"/>
      <c r="P1046" s="5"/>
    </row>
    <row r="1047" spans="1:16" x14ac:dyDescent="0.25">
      <c r="A1047" s="10"/>
      <c r="B1047" s="10"/>
      <c r="C1047" s="10"/>
      <c r="D1047" s="12"/>
      <c r="E1047" s="10"/>
      <c r="F1047" s="10"/>
      <c r="G1047" s="10"/>
      <c r="H1047" s="5"/>
      <c r="I1047" s="5"/>
      <c r="J1047" s="5"/>
      <c r="K1047" s="5"/>
      <c r="L1047" s="5"/>
      <c r="M1047" s="5"/>
      <c r="N1047" s="5"/>
      <c r="O1047" s="5"/>
      <c r="P1047" s="5"/>
    </row>
    <row r="1048" spans="1:16" x14ac:dyDescent="0.25">
      <c r="A1048" s="10"/>
      <c r="B1048" s="10"/>
      <c r="C1048" s="10"/>
      <c r="D1048" s="12"/>
      <c r="E1048" s="10"/>
      <c r="F1048" s="10"/>
      <c r="G1048" s="10"/>
      <c r="H1048" s="5"/>
      <c r="I1048" s="5"/>
      <c r="J1048" s="5"/>
      <c r="K1048" s="5"/>
      <c r="L1048" s="5"/>
      <c r="M1048" s="5"/>
      <c r="N1048" s="5"/>
      <c r="O1048" s="5"/>
      <c r="P1048" s="5"/>
    </row>
    <row r="1049" spans="1:16" x14ac:dyDescent="0.25">
      <c r="A1049" s="10"/>
      <c r="B1049" s="10"/>
      <c r="C1049" s="10"/>
      <c r="D1049" s="12"/>
      <c r="E1049" s="10"/>
      <c r="F1049" s="10"/>
      <c r="G1049" s="10"/>
      <c r="H1049" s="5"/>
      <c r="I1049" s="5"/>
      <c r="J1049" s="5"/>
      <c r="K1049" s="5"/>
      <c r="L1049" s="5"/>
      <c r="M1049" s="5"/>
      <c r="N1049" s="5"/>
      <c r="O1049" s="5"/>
      <c r="P1049" s="5"/>
    </row>
    <row r="1050" spans="1:16" x14ac:dyDescent="0.25">
      <c r="A1050" s="10"/>
      <c r="B1050" s="10"/>
      <c r="C1050" s="10"/>
      <c r="D1050" s="12"/>
      <c r="E1050" s="10"/>
      <c r="F1050" s="10"/>
      <c r="G1050" s="10"/>
      <c r="H1050" s="5"/>
      <c r="I1050" s="5"/>
      <c r="J1050" s="5"/>
      <c r="K1050" s="5"/>
      <c r="L1050" s="5"/>
      <c r="M1050" s="5"/>
      <c r="N1050" s="5"/>
      <c r="O1050" s="5"/>
      <c r="P1050" s="5"/>
    </row>
    <row r="1051" spans="1:16" x14ac:dyDescent="0.25">
      <c r="A1051" s="10"/>
      <c r="B1051" s="10"/>
      <c r="C1051" s="10"/>
      <c r="D1051" s="12"/>
      <c r="E1051" s="10"/>
      <c r="F1051" s="10"/>
      <c r="G1051" s="10"/>
      <c r="H1051" s="5"/>
      <c r="I1051" s="5"/>
      <c r="J1051" s="5"/>
      <c r="K1051" s="5"/>
      <c r="L1051" s="5"/>
      <c r="M1051" s="5"/>
      <c r="N1051" s="5"/>
      <c r="O1051" s="5"/>
      <c r="P1051" s="5"/>
    </row>
    <row r="1052" spans="1:16" x14ac:dyDescent="0.25">
      <c r="A1052" s="10"/>
      <c r="B1052" s="10"/>
      <c r="C1052" s="10"/>
      <c r="D1052" s="12"/>
      <c r="E1052" s="10"/>
      <c r="F1052" s="10"/>
      <c r="G1052" s="10"/>
      <c r="H1052" s="5"/>
      <c r="I1052" s="5"/>
      <c r="J1052" s="5"/>
      <c r="K1052" s="5"/>
      <c r="L1052" s="5"/>
      <c r="M1052" s="5"/>
      <c r="N1052" s="5"/>
      <c r="O1052" s="5"/>
      <c r="P1052" s="5"/>
    </row>
    <row r="1053" spans="1:16" x14ac:dyDescent="0.25">
      <c r="A1053" s="10"/>
      <c r="B1053" s="10"/>
      <c r="C1053" s="10"/>
      <c r="D1053" s="12"/>
      <c r="E1053" s="10"/>
      <c r="F1053" s="10"/>
      <c r="G1053" s="10"/>
      <c r="H1053" s="5"/>
      <c r="I1053" s="5"/>
      <c r="J1053" s="5"/>
      <c r="K1053" s="5"/>
      <c r="L1053" s="5"/>
      <c r="M1053" s="5"/>
      <c r="N1053" s="5"/>
      <c r="O1053" s="5"/>
      <c r="P1053" s="5"/>
    </row>
    <row r="1054" spans="1:16" x14ac:dyDescent="0.25">
      <c r="A1054" s="10"/>
      <c r="B1054" s="10"/>
      <c r="C1054" s="10"/>
      <c r="D1054" s="12"/>
      <c r="E1054" s="10"/>
      <c r="F1054" s="10"/>
      <c r="G1054" s="10"/>
      <c r="H1054" s="5"/>
      <c r="I1054" s="5"/>
      <c r="J1054" s="5"/>
      <c r="K1054" s="5"/>
      <c r="L1054" s="5"/>
      <c r="M1054" s="5"/>
      <c r="N1054" s="5"/>
      <c r="O1054" s="5"/>
      <c r="P1054" s="5"/>
    </row>
    <row r="1055" spans="1:16" x14ac:dyDescent="0.25">
      <c r="A1055" s="10"/>
      <c r="B1055" s="10"/>
      <c r="C1055" s="10"/>
      <c r="D1055" s="12"/>
      <c r="E1055" s="10"/>
      <c r="F1055" s="10"/>
      <c r="G1055" s="10"/>
      <c r="H1055" s="5"/>
      <c r="I1055" s="5"/>
      <c r="J1055" s="5"/>
      <c r="K1055" s="5"/>
      <c r="L1055" s="5"/>
      <c r="M1055" s="5"/>
      <c r="N1055" s="5"/>
      <c r="O1055" s="5"/>
      <c r="P1055" s="5"/>
    </row>
    <row r="1056" spans="1:16" x14ac:dyDescent="0.25">
      <c r="A1056" s="10"/>
      <c r="B1056" s="10"/>
      <c r="C1056" s="10"/>
      <c r="D1056" s="12"/>
      <c r="E1056" s="10"/>
      <c r="F1056" s="10"/>
      <c r="G1056" s="10"/>
      <c r="H1056" s="5"/>
      <c r="I1056" s="5"/>
      <c r="J1056" s="5"/>
      <c r="K1056" s="5"/>
      <c r="L1056" s="5"/>
      <c r="M1056" s="5"/>
      <c r="N1056" s="5"/>
      <c r="O1056" s="5"/>
      <c r="P1056" s="5"/>
    </row>
    <row r="1057" spans="1:16" x14ac:dyDescent="0.25">
      <c r="A1057" s="10"/>
      <c r="B1057" s="10"/>
      <c r="C1057" s="10"/>
      <c r="D1057" s="12"/>
      <c r="E1057" s="10"/>
      <c r="F1057" s="10"/>
      <c r="G1057" s="10"/>
      <c r="H1057" s="5"/>
      <c r="I1057" s="5"/>
      <c r="J1057" s="5"/>
      <c r="K1057" s="5"/>
      <c r="L1057" s="5"/>
      <c r="M1057" s="5"/>
      <c r="N1057" s="5"/>
      <c r="O1057" s="5"/>
      <c r="P1057" s="5"/>
    </row>
    <row r="1058" spans="1:16" x14ac:dyDescent="0.25">
      <c r="A1058" s="10"/>
      <c r="B1058" s="10"/>
      <c r="C1058" s="10"/>
      <c r="D1058" s="12"/>
      <c r="E1058" s="10"/>
      <c r="F1058" s="10"/>
      <c r="G1058" s="10"/>
      <c r="H1058" s="5"/>
      <c r="I1058" s="5"/>
      <c r="J1058" s="5"/>
      <c r="K1058" s="5"/>
      <c r="L1058" s="5"/>
      <c r="M1058" s="5"/>
      <c r="N1058" s="5"/>
      <c r="O1058" s="5"/>
      <c r="P1058" s="5"/>
    </row>
    <row r="1059" spans="1:16" x14ac:dyDescent="0.25">
      <c r="A1059" s="10"/>
      <c r="B1059" s="10"/>
      <c r="C1059" s="10"/>
      <c r="D1059" s="12"/>
      <c r="E1059" s="10"/>
      <c r="F1059" s="10"/>
      <c r="G1059" s="10"/>
      <c r="H1059" s="5"/>
      <c r="I1059" s="5"/>
      <c r="J1059" s="5"/>
      <c r="K1059" s="5"/>
      <c r="L1059" s="5"/>
      <c r="M1059" s="5"/>
      <c r="N1059" s="5"/>
      <c r="O1059" s="5"/>
      <c r="P1059" s="5"/>
    </row>
    <row r="1060" spans="1:16" x14ac:dyDescent="0.25">
      <c r="A1060" s="10"/>
      <c r="B1060" s="10"/>
      <c r="C1060" s="10"/>
      <c r="D1060" s="12"/>
      <c r="E1060" s="10"/>
      <c r="F1060" s="10"/>
      <c r="G1060" s="10"/>
      <c r="H1060" s="5"/>
      <c r="I1060" s="5"/>
      <c r="J1060" s="5"/>
      <c r="K1060" s="5"/>
      <c r="L1060" s="5"/>
      <c r="M1060" s="5"/>
      <c r="N1060" s="5"/>
      <c r="O1060" s="5"/>
      <c r="P1060" s="5"/>
    </row>
    <row r="1061" spans="1:16" x14ac:dyDescent="0.25">
      <c r="A1061" s="10"/>
      <c r="B1061" s="10"/>
      <c r="C1061" s="10"/>
      <c r="D1061" s="12"/>
      <c r="E1061" s="10"/>
      <c r="F1061" s="10"/>
      <c r="G1061" s="10"/>
      <c r="H1061" s="5"/>
      <c r="I1061" s="5"/>
      <c r="J1061" s="5"/>
      <c r="K1061" s="5"/>
      <c r="L1061" s="5"/>
      <c r="M1061" s="5"/>
      <c r="N1061" s="5"/>
      <c r="O1061" s="5"/>
      <c r="P1061" s="5"/>
    </row>
    <row r="1062" spans="1:16" x14ac:dyDescent="0.25">
      <c r="A1062" s="10"/>
      <c r="B1062" s="10"/>
      <c r="C1062" s="10"/>
      <c r="D1062" s="12"/>
      <c r="E1062" s="10"/>
      <c r="F1062" s="10"/>
      <c r="G1062" s="10"/>
      <c r="H1062" s="5"/>
      <c r="I1062" s="5"/>
      <c r="J1062" s="5"/>
      <c r="K1062" s="5"/>
      <c r="L1062" s="5"/>
      <c r="M1062" s="5"/>
      <c r="N1062" s="5"/>
      <c r="O1062" s="5"/>
      <c r="P1062" s="5"/>
    </row>
    <row r="1063" spans="1:16" x14ac:dyDescent="0.25">
      <c r="A1063" s="10"/>
      <c r="B1063" s="10"/>
      <c r="C1063" s="10"/>
      <c r="D1063" s="12"/>
      <c r="E1063" s="10"/>
      <c r="F1063" s="10"/>
      <c r="G1063" s="10"/>
      <c r="H1063" s="5"/>
      <c r="I1063" s="5"/>
      <c r="J1063" s="5"/>
      <c r="K1063" s="5"/>
      <c r="L1063" s="5"/>
      <c r="M1063" s="5"/>
      <c r="N1063" s="5"/>
      <c r="O1063" s="5"/>
      <c r="P1063" s="5"/>
    </row>
    <row r="1064" spans="1:16" x14ac:dyDescent="0.25">
      <c r="A1064" s="10"/>
      <c r="B1064" s="10"/>
      <c r="C1064" s="10"/>
      <c r="D1064" s="12"/>
      <c r="E1064" s="10"/>
      <c r="F1064" s="10"/>
      <c r="G1064" s="10"/>
      <c r="H1064" s="5"/>
      <c r="I1064" s="5"/>
      <c r="J1064" s="5"/>
      <c r="K1064" s="5"/>
      <c r="L1064" s="5"/>
      <c r="M1064" s="5"/>
      <c r="N1064" s="5"/>
      <c r="O1064" s="5"/>
      <c r="P1064" s="5"/>
    </row>
    <row r="1065" spans="1:16" x14ac:dyDescent="0.25">
      <c r="A1065" s="10"/>
      <c r="B1065" s="10"/>
      <c r="C1065" s="10"/>
      <c r="D1065" s="12"/>
      <c r="E1065" s="10"/>
      <c r="F1065" s="10"/>
      <c r="G1065" s="10"/>
      <c r="H1065" s="5"/>
      <c r="I1065" s="5"/>
      <c r="J1065" s="5"/>
      <c r="K1065" s="5"/>
      <c r="L1065" s="5"/>
      <c r="M1065" s="5"/>
      <c r="N1065" s="5"/>
      <c r="O1065" s="5"/>
      <c r="P1065" s="5"/>
    </row>
    <row r="1066" spans="1:16" x14ac:dyDescent="0.25">
      <c r="A1066" s="10"/>
      <c r="B1066" s="10"/>
      <c r="C1066" s="10"/>
      <c r="D1066" s="12"/>
      <c r="E1066" s="10"/>
      <c r="F1066" s="10"/>
      <c r="G1066" s="10"/>
      <c r="H1066" s="5"/>
      <c r="I1066" s="5"/>
      <c r="J1066" s="5"/>
      <c r="K1066" s="5"/>
      <c r="L1066" s="5"/>
      <c r="M1066" s="5"/>
      <c r="N1066" s="5"/>
      <c r="O1066" s="5"/>
      <c r="P1066" s="5"/>
    </row>
    <row r="1067" spans="1:16" x14ac:dyDescent="0.25">
      <c r="A1067" s="10"/>
      <c r="B1067" s="10"/>
      <c r="C1067" s="10"/>
      <c r="D1067" s="12"/>
      <c r="E1067" s="10"/>
      <c r="F1067" s="10"/>
      <c r="G1067" s="10"/>
      <c r="H1067" s="5"/>
      <c r="I1067" s="5"/>
      <c r="J1067" s="5"/>
      <c r="K1067" s="5"/>
      <c r="L1067" s="5"/>
      <c r="M1067" s="5"/>
      <c r="N1067" s="5"/>
      <c r="O1067" s="5"/>
      <c r="P1067" s="5"/>
    </row>
    <row r="1068" spans="1:16" x14ac:dyDescent="0.25">
      <c r="A1068" s="10"/>
      <c r="B1068" s="10"/>
      <c r="C1068" s="10"/>
      <c r="D1068" s="12"/>
      <c r="E1068" s="10"/>
      <c r="F1068" s="10"/>
      <c r="G1068" s="10"/>
      <c r="H1068" s="5"/>
      <c r="I1068" s="5"/>
      <c r="J1068" s="5"/>
      <c r="K1068" s="5"/>
      <c r="L1068" s="5"/>
      <c r="M1068" s="5"/>
      <c r="N1068" s="5"/>
      <c r="O1068" s="5"/>
      <c r="P1068" s="5"/>
    </row>
    <row r="1069" spans="1:16" x14ac:dyDescent="0.25">
      <c r="A1069" s="10"/>
      <c r="B1069" s="10"/>
      <c r="C1069" s="10"/>
      <c r="D1069" s="12"/>
      <c r="E1069" s="10"/>
      <c r="F1069" s="10"/>
      <c r="G1069" s="10"/>
      <c r="H1069" s="5"/>
      <c r="I1069" s="5"/>
      <c r="J1069" s="5"/>
      <c r="K1069" s="5"/>
      <c r="L1069" s="5"/>
      <c r="M1069" s="5"/>
      <c r="N1069" s="5"/>
      <c r="O1069" s="5"/>
      <c r="P1069" s="5"/>
    </row>
    <row r="1070" spans="1:16" x14ac:dyDescent="0.25">
      <c r="A1070" s="10"/>
      <c r="B1070" s="10"/>
      <c r="C1070" s="10"/>
      <c r="D1070" s="12"/>
      <c r="E1070" s="10"/>
      <c r="F1070" s="10"/>
      <c r="G1070" s="10"/>
      <c r="H1070" s="5"/>
      <c r="I1070" s="5"/>
      <c r="J1070" s="5"/>
      <c r="K1070" s="5"/>
      <c r="L1070" s="5"/>
      <c r="M1070" s="5"/>
      <c r="N1070" s="5"/>
      <c r="O1070" s="5"/>
      <c r="P1070" s="5"/>
    </row>
    <row r="1071" spans="1:16" x14ac:dyDescent="0.25">
      <c r="A1071" s="10"/>
      <c r="B1071" s="10"/>
      <c r="C1071" s="10"/>
      <c r="D1071" s="12"/>
      <c r="E1071" s="10"/>
      <c r="F1071" s="10"/>
      <c r="G1071" s="10"/>
      <c r="H1071" s="5"/>
      <c r="I1071" s="5"/>
      <c r="J1071" s="5"/>
      <c r="K1071" s="5"/>
      <c r="L1071" s="5"/>
      <c r="M1071" s="5"/>
      <c r="N1071" s="5"/>
      <c r="O1071" s="5"/>
      <c r="P1071" s="5"/>
    </row>
    <row r="1072" spans="1:16" x14ac:dyDescent="0.25">
      <c r="A1072" s="10"/>
      <c r="B1072" s="10"/>
      <c r="C1072" s="10"/>
      <c r="D1072" s="12"/>
      <c r="E1072" s="10"/>
      <c r="F1072" s="10"/>
      <c r="G1072" s="10"/>
      <c r="H1072" s="5"/>
      <c r="I1072" s="5"/>
      <c r="J1072" s="5"/>
      <c r="K1072" s="5"/>
      <c r="L1072" s="5"/>
      <c r="M1072" s="5"/>
      <c r="N1072" s="5"/>
      <c r="O1072" s="5"/>
      <c r="P1072" s="5"/>
    </row>
    <row r="1073" spans="1:16" x14ac:dyDescent="0.25">
      <c r="A1073" s="10"/>
      <c r="B1073" s="10"/>
      <c r="C1073" s="10"/>
      <c r="D1073" s="12"/>
      <c r="E1073" s="10"/>
      <c r="F1073" s="10"/>
      <c r="G1073" s="10"/>
      <c r="H1073" s="5"/>
      <c r="I1073" s="5"/>
      <c r="J1073" s="5"/>
      <c r="K1073" s="5"/>
      <c r="L1073" s="5"/>
      <c r="M1073" s="5"/>
      <c r="N1073" s="5"/>
      <c r="O1073" s="5"/>
      <c r="P1073" s="5"/>
    </row>
    <row r="1074" spans="1:16" x14ac:dyDescent="0.25">
      <c r="A1074" s="10"/>
      <c r="B1074" s="10"/>
      <c r="C1074" s="10"/>
      <c r="D1074" s="12"/>
      <c r="E1074" s="10"/>
      <c r="F1074" s="10"/>
      <c r="G1074" s="10"/>
      <c r="H1074" s="5"/>
      <c r="I1074" s="5"/>
      <c r="J1074" s="5"/>
      <c r="K1074" s="5"/>
      <c r="L1074" s="5"/>
      <c r="M1074" s="5"/>
      <c r="N1074" s="5"/>
      <c r="O1074" s="5"/>
      <c r="P1074" s="5"/>
    </row>
    <row r="1075" spans="1:16" x14ac:dyDescent="0.25">
      <c r="A1075" s="10"/>
      <c r="B1075" s="10"/>
      <c r="C1075" s="10"/>
      <c r="D1075" s="12"/>
      <c r="E1075" s="10"/>
      <c r="F1075" s="10"/>
      <c r="G1075" s="10"/>
      <c r="H1075" s="5"/>
      <c r="I1075" s="5"/>
      <c r="J1075" s="5"/>
      <c r="K1075" s="5"/>
      <c r="L1075" s="5"/>
      <c r="M1075" s="5"/>
      <c r="N1075" s="5"/>
      <c r="O1075" s="5"/>
      <c r="P1075" s="5"/>
    </row>
    <row r="1076" spans="1:16" x14ac:dyDescent="0.25">
      <c r="A1076" s="10"/>
      <c r="B1076" s="10"/>
      <c r="C1076" s="10"/>
      <c r="D1076" s="12"/>
      <c r="E1076" s="10"/>
      <c r="F1076" s="10"/>
      <c r="G1076" s="10"/>
      <c r="H1076" s="5"/>
      <c r="I1076" s="5"/>
      <c r="J1076" s="5"/>
      <c r="K1076" s="5"/>
      <c r="L1076" s="5"/>
      <c r="M1076" s="5"/>
      <c r="N1076" s="5"/>
      <c r="O1076" s="5"/>
      <c r="P1076" s="5"/>
    </row>
    <row r="1077" spans="1:16" x14ac:dyDescent="0.25">
      <c r="A1077" s="10"/>
      <c r="B1077" s="10"/>
      <c r="C1077" s="10"/>
      <c r="D1077" s="12"/>
      <c r="E1077" s="10"/>
      <c r="F1077" s="10"/>
      <c r="G1077" s="10"/>
      <c r="H1077" s="5"/>
      <c r="I1077" s="5"/>
      <c r="J1077" s="5"/>
      <c r="K1077" s="5"/>
      <c r="L1077" s="5"/>
      <c r="M1077" s="5"/>
      <c r="N1077" s="5"/>
      <c r="O1077" s="5"/>
      <c r="P1077" s="5"/>
    </row>
    <row r="1078" spans="1:16" x14ac:dyDescent="0.25">
      <c r="A1078" s="10"/>
      <c r="B1078" s="10"/>
      <c r="C1078" s="10"/>
      <c r="D1078" s="12"/>
      <c r="E1078" s="10"/>
      <c r="F1078" s="10"/>
      <c r="G1078" s="10"/>
      <c r="H1078" s="5"/>
      <c r="I1078" s="5"/>
      <c r="J1078" s="5"/>
      <c r="K1078" s="5"/>
      <c r="L1078" s="5"/>
      <c r="M1078" s="5"/>
      <c r="N1078" s="5"/>
      <c r="O1078" s="5"/>
      <c r="P1078" s="5"/>
    </row>
    <row r="1079" spans="1:16" x14ac:dyDescent="0.25">
      <c r="A1079" s="10"/>
      <c r="B1079" s="10"/>
      <c r="C1079" s="10"/>
      <c r="D1079" s="12"/>
      <c r="E1079" s="10"/>
      <c r="F1079" s="10"/>
      <c r="G1079" s="10"/>
      <c r="H1079" s="5"/>
      <c r="I1079" s="5"/>
      <c r="J1079" s="5"/>
      <c r="K1079" s="5"/>
      <c r="L1079" s="5"/>
      <c r="M1079" s="5"/>
      <c r="N1079" s="5"/>
      <c r="O1079" s="5"/>
      <c r="P1079" s="5"/>
    </row>
    <row r="1080" spans="1:16" x14ac:dyDescent="0.25">
      <c r="A1080" s="10"/>
      <c r="B1080" s="10"/>
      <c r="C1080" s="10"/>
      <c r="D1080" s="12"/>
      <c r="E1080" s="10"/>
      <c r="F1080" s="10"/>
      <c r="G1080" s="10"/>
      <c r="H1080" s="5"/>
      <c r="I1080" s="5"/>
      <c r="J1080" s="5"/>
      <c r="K1080" s="5"/>
      <c r="L1080" s="5"/>
      <c r="M1080" s="5"/>
      <c r="N1080" s="5"/>
      <c r="O1080" s="5"/>
      <c r="P1080" s="5"/>
    </row>
    <row r="1081" spans="1:16" x14ac:dyDescent="0.25">
      <c r="A1081" s="10"/>
      <c r="B1081" s="10"/>
      <c r="C1081" s="10"/>
      <c r="D1081" s="12"/>
      <c r="E1081" s="10"/>
      <c r="F1081" s="10"/>
      <c r="G1081" s="10"/>
      <c r="H1081" s="5"/>
      <c r="I1081" s="5"/>
      <c r="J1081" s="5"/>
      <c r="K1081" s="5"/>
      <c r="L1081" s="5"/>
      <c r="M1081" s="5"/>
      <c r="N1081" s="5"/>
      <c r="O1081" s="5"/>
      <c r="P1081" s="5"/>
    </row>
    <row r="1082" spans="1:16" x14ac:dyDescent="0.25">
      <c r="A1082" s="10"/>
      <c r="B1082" s="10"/>
      <c r="C1082" s="10"/>
      <c r="D1082" s="12"/>
      <c r="E1082" s="10"/>
      <c r="F1082" s="10"/>
      <c r="G1082" s="10"/>
      <c r="H1082" s="5"/>
      <c r="I1082" s="5"/>
      <c r="J1082" s="5"/>
      <c r="K1082" s="5"/>
      <c r="L1082" s="5"/>
      <c r="M1082" s="5"/>
      <c r="N1082" s="5"/>
      <c r="O1082" s="5"/>
      <c r="P1082" s="5"/>
    </row>
    <row r="1083" spans="1:16" x14ac:dyDescent="0.25">
      <c r="A1083" s="10"/>
      <c r="B1083" s="10"/>
      <c r="C1083" s="10"/>
      <c r="D1083" s="12"/>
      <c r="E1083" s="10"/>
      <c r="F1083" s="10"/>
      <c r="G1083" s="10"/>
      <c r="H1083" s="5"/>
      <c r="I1083" s="5"/>
      <c r="J1083" s="5"/>
      <c r="K1083" s="5"/>
      <c r="L1083" s="5"/>
      <c r="M1083" s="5"/>
      <c r="N1083" s="5"/>
      <c r="O1083" s="5"/>
      <c r="P1083" s="5"/>
    </row>
    <row r="1084" spans="1:16" x14ac:dyDescent="0.25">
      <c r="A1084" s="10"/>
      <c r="B1084" s="10"/>
      <c r="C1084" s="10"/>
      <c r="D1084" s="12"/>
      <c r="E1084" s="10"/>
      <c r="F1084" s="10"/>
      <c r="G1084" s="10"/>
      <c r="H1084" s="5"/>
      <c r="I1084" s="5"/>
      <c r="J1084" s="5"/>
      <c r="K1084" s="5"/>
      <c r="L1084" s="5"/>
      <c r="M1084" s="5"/>
      <c r="N1084" s="5"/>
      <c r="O1084" s="5"/>
      <c r="P1084" s="5"/>
    </row>
    <row r="1085" spans="1:16" x14ac:dyDescent="0.25">
      <c r="A1085" s="10"/>
      <c r="B1085" s="10"/>
      <c r="C1085" s="10"/>
      <c r="D1085" s="12"/>
      <c r="E1085" s="10"/>
      <c r="F1085" s="10"/>
      <c r="G1085" s="10"/>
      <c r="H1085" s="5"/>
      <c r="I1085" s="5"/>
      <c r="J1085" s="5"/>
      <c r="K1085" s="5"/>
      <c r="L1085" s="5"/>
      <c r="M1085" s="5"/>
      <c r="N1085" s="5"/>
      <c r="O1085" s="5"/>
      <c r="P1085" s="5"/>
    </row>
    <row r="1086" spans="1:16" x14ac:dyDescent="0.25">
      <c r="A1086" s="10"/>
      <c r="B1086" s="10"/>
      <c r="C1086" s="10"/>
      <c r="D1086" s="12"/>
      <c r="E1086" s="10"/>
      <c r="F1086" s="10"/>
      <c r="G1086" s="10"/>
      <c r="H1086" s="5"/>
      <c r="I1086" s="5"/>
      <c r="J1086" s="5"/>
      <c r="K1086" s="5"/>
      <c r="L1086" s="5"/>
      <c r="M1086" s="5"/>
      <c r="N1086" s="5"/>
      <c r="O1086" s="5"/>
      <c r="P1086" s="5"/>
    </row>
    <row r="1087" spans="1:16" x14ac:dyDescent="0.25">
      <c r="A1087" s="10"/>
      <c r="B1087" s="10"/>
      <c r="C1087" s="10"/>
      <c r="D1087" s="12"/>
      <c r="E1087" s="10"/>
      <c r="F1087" s="10"/>
      <c r="G1087" s="10"/>
      <c r="H1087" s="5"/>
      <c r="I1087" s="5"/>
      <c r="J1087" s="5"/>
      <c r="K1087" s="5"/>
      <c r="L1087" s="5"/>
      <c r="M1087" s="5"/>
      <c r="N1087" s="5"/>
      <c r="O1087" s="5"/>
      <c r="P1087" s="5"/>
    </row>
    <row r="1088" spans="1:16" x14ac:dyDescent="0.25">
      <c r="A1088" s="10"/>
      <c r="B1088" s="10"/>
      <c r="C1088" s="10"/>
      <c r="D1088" s="12"/>
      <c r="E1088" s="10"/>
      <c r="F1088" s="10"/>
      <c r="G1088" s="10"/>
      <c r="H1088" s="5"/>
      <c r="I1088" s="5"/>
      <c r="J1088" s="5"/>
      <c r="K1088" s="5"/>
      <c r="L1088" s="5"/>
      <c r="M1088" s="5"/>
      <c r="N1088" s="5"/>
      <c r="O1088" s="5"/>
      <c r="P1088" s="5"/>
    </row>
    <row r="1089" spans="1:16" x14ac:dyDescent="0.25">
      <c r="A1089" s="10"/>
      <c r="B1089" s="10"/>
      <c r="C1089" s="10"/>
      <c r="D1089" s="12"/>
      <c r="E1089" s="10"/>
      <c r="F1089" s="10"/>
      <c r="G1089" s="10"/>
      <c r="H1089" s="5"/>
      <c r="I1089" s="5"/>
      <c r="J1089" s="5"/>
      <c r="K1089" s="5"/>
      <c r="L1089" s="5"/>
      <c r="M1089" s="5"/>
      <c r="N1089" s="5"/>
      <c r="O1089" s="5"/>
      <c r="P1089" s="5"/>
    </row>
    <row r="1090" spans="1:16" x14ac:dyDescent="0.25">
      <c r="A1090" s="10"/>
      <c r="B1090" s="10"/>
      <c r="C1090" s="10"/>
      <c r="D1090" s="12"/>
      <c r="E1090" s="10"/>
      <c r="F1090" s="10"/>
      <c r="G1090" s="10"/>
      <c r="H1090" s="5"/>
      <c r="I1090" s="5"/>
      <c r="J1090" s="5"/>
      <c r="K1090" s="5"/>
      <c r="L1090" s="5"/>
      <c r="M1090" s="5"/>
      <c r="N1090" s="5"/>
      <c r="O1090" s="5"/>
      <c r="P1090" s="5"/>
    </row>
    <row r="1091" spans="1:16" x14ac:dyDescent="0.25">
      <c r="A1091" s="10"/>
      <c r="B1091" s="10"/>
      <c r="C1091" s="10"/>
      <c r="D1091" s="12"/>
      <c r="E1091" s="10"/>
      <c r="F1091" s="10"/>
      <c r="G1091" s="10"/>
      <c r="H1091" s="5"/>
      <c r="I1091" s="5"/>
      <c r="J1091" s="5"/>
      <c r="K1091" s="5"/>
      <c r="L1091" s="5"/>
      <c r="M1091" s="5"/>
      <c r="N1091" s="5"/>
      <c r="O1091" s="5"/>
      <c r="P1091" s="5"/>
    </row>
    <row r="1092" spans="1:16" x14ac:dyDescent="0.25">
      <c r="A1092" s="10"/>
      <c r="B1092" s="10"/>
      <c r="C1092" s="10"/>
      <c r="D1092" s="12"/>
      <c r="E1092" s="10"/>
      <c r="F1092" s="10"/>
      <c r="G1092" s="10"/>
      <c r="H1092" s="5"/>
      <c r="I1092" s="5"/>
      <c r="J1092" s="5"/>
      <c r="K1092" s="5"/>
      <c r="L1092" s="5"/>
      <c r="M1092" s="5"/>
      <c r="N1092" s="5"/>
      <c r="O1092" s="5"/>
      <c r="P1092" s="5"/>
    </row>
    <row r="1093" spans="1:16" x14ac:dyDescent="0.25">
      <c r="A1093" s="10"/>
      <c r="B1093" s="10"/>
      <c r="C1093" s="10"/>
      <c r="D1093" s="12"/>
      <c r="E1093" s="10"/>
      <c r="F1093" s="10"/>
      <c r="G1093" s="10"/>
      <c r="H1093" s="5"/>
      <c r="I1093" s="5"/>
      <c r="J1093" s="5"/>
      <c r="K1093" s="5"/>
      <c r="L1093" s="5"/>
      <c r="M1093" s="5"/>
      <c r="N1093" s="5"/>
      <c r="O1093" s="5"/>
      <c r="P1093" s="5"/>
    </row>
    <row r="1094" spans="1:16" x14ac:dyDescent="0.25">
      <c r="A1094" s="10"/>
      <c r="B1094" s="10"/>
      <c r="C1094" s="10"/>
      <c r="D1094" s="12"/>
      <c r="E1094" s="10"/>
      <c r="F1094" s="10"/>
      <c r="G1094" s="10"/>
      <c r="H1094" s="5"/>
      <c r="I1094" s="5"/>
      <c r="J1094" s="5"/>
      <c r="K1094" s="5"/>
      <c r="L1094" s="5"/>
      <c r="M1094" s="5"/>
      <c r="N1094" s="5"/>
      <c r="O1094" s="5"/>
      <c r="P1094" s="5"/>
    </row>
    <row r="1095" spans="1:16" x14ac:dyDescent="0.25">
      <c r="A1095" s="10"/>
      <c r="B1095" s="10"/>
      <c r="C1095" s="10"/>
      <c r="D1095" s="12"/>
      <c r="E1095" s="10"/>
      <c r="F1095" s="10"/>
      <c r="G1095" s="10"/>
      <c r="H1095" s="5"/>
      <c r="I1095" s="5"/>
      <c r="J1095" s="5"/>
      <c r="K1095" s="5"/>
      <c r="L1095" s="5"/>
      <c r="M1095" s="5"/>
      <c r="N1095" s="5"/>
      <c r="O1095" s="5"/>
      <c r="P1095" s="5"/>
    </row>
    <row r="1096" spans="1:16" x14ac:dyDescent="0.25">
      <c r="A1096" s="10"/>
      <c r="B1096" s="10"/>
      <c r="C1096" s="10"/>
      <c r="D1096" s="12"/>
      <c r="E1096" s="10"/>
      <c r="F1096" s="10"/>
      <c r="G1096" s="10"/>
      <c r="H1096" s="5"/>
      <c r="I1096" s="5"/>
      <c r="J1096" s="5"/>
      <c r="K1096" s="5"/>
      <c r="L1096" s="5"/>
      <c r="M1096" s="5"/>
      <c r="N1096" s="5"/>
      <c r="O1096" s="5"/>
      <c r="P1096" s="5"/>
    </row>
    <row r="1097" spans="1:16" x14ac:dyDescent="0.25">
      <c r="A1097" s="10"/>
      <c r="B1097" s="10"/>
      <c r="C1097" s="10"/>
      <c r="D1097" s="12"/>
      <c r="E1097" s="10"/>
      <c r="F1097" s="10"/>
      <c r="G1097" s="10"/>
      <c r="H1097" s="5"/>
      <c r="I1097" s="5"/>
      <c r="J1097" s="5"/>
      <c r="K1097" s="5"/>
      <c r="L1097" s="5"/>
      <c r="M1097" s="5"/>
      <c r="N1097" s="5"/>
      <c r="O1097" s="5"/>
      <c r="P1097" s="5"/>
    </row>
    <row r="1098" spans="1:16" x14ac:dyDescent="0.25">
      <c r="A1098" s="10"/>
      <c r="B1098" s="10"/>
      <c r="C1098" s="10"/>
      <c r="D1098" s="12"/>
      <c r="E1098" s="10"/>
      <c r="F1098" s="10"/>
      <c r="G1098" s="10"/>
      <c r="H1098" s="5"/>
      <c r="I1098" s="5"/>
      <c r="J1098" s="5"/>
      <c r="K1098" s="5"/>
      <c r="L1098" s="5"/>
      <c r="M1098" s="5"/>
      <c r="N1098" s="5"/>
      <c r="O1098" s="5"/>
      <c r="P1098" s="5"/>
    </row>
    <row r="1099" spans="1:16" x14ac:dyDescent="0.25">
      <c r="A1099" s="10"/>
      <c r="B1099" s="10"/>
      <c r="C1099" s="10"/>
      <c r="D1099" s="12"/>
      <c r="E1099" s="10"/>
      <c r="F1099" s="10"/>
      <c r="G1099" s="10"/>
      <c r="H1099" s="5"/>
      <c r="I1099" s="5"/>
      <c r="J1099" s="5"/>
      <c r="K1099" s="5"/>
      <c r="L1099" s="5"/>
      <c r="M1099" s="5"/>
      <c r="N1099" s="5"/>
      <c r="O1099" s="5"/>
      <c r="P1099" s="5"/>
    </row>
    <row r="1100" spans="1:16" x14ac:dyDescent="0.25">
      <c r="A1100" s="10"/>
      <c r="B1100" s="10"/>
      <c r="C1100" s="10"/>
      <c r="D1100" s="12"/>
      <c r="E1100" s="10"/>
      <c r="F1100" s="10"/>
      <c r="G1100" s="10"/>
      <c r="H1100" s="5"/>
      <c r="I1100" s="5"/>
      <c r="J1100" s="5"/>
      <c r="K1100" s="5"/>
      <c r="L1100" s="5"/>
      <c r="M1100" s="5"/>
      <c r="N1100" s="5"/>
      <c r="O1100" s="5"/>
      <c r="P1100" s="5"/>
    </row>
    <row r="1101" spans="1:16" x14ac:dyDescent="0.25">
      <c r="A1101" s="10"/>
      <c r="B1101" s="10"/>
      <c r="C1101" s="10"/>
      <c r="D1101" s="12"/>
      <c r="E1101" s="10"/>
      <c r="F1101" s="10"/>
      <c r="G1101" s="10"/>
      <c r="H1101" s="5"/>
      <c r="I1101" s="5"/>
      <c r="J1101" s="5"/>
      <c r="K1101" s="5"/>
      <c r="L1101" s="5"/>
      <c r="M1101" s="5"/>
      <c r="N1101" s="5"/>
      <c r="O1101" s="5"/>
      <c r="P1101" s="5"/>
    </row>
    <row r="1102" spans="1:16" x14ac:dyDescent="0.25">
      <c r="A1102" s="10"/>
      <c r="B1102" s="10"/>
      <c r="C1102" s="10"/>
      <c r="D1102" s="12"/>
      <c r="E1102" s="10"/>
      <c r="F1102" s="10"/>
      <c r="G1102" s="10"/>
      <c r="H1102" s="5"/>
      <c r="I1102" s="5"/>
      <c r="J1102" s="5"/>
      <c r="K1102" s="5"/>
      <c r="L1102" s="5"/>
      <c r="M1102" s="5"/>
      <c r="N1102" s="5"/>
      <c r="O1102" s="5"/>
      <c r="P1102" s="5"/>
    </row>
    <row r="1103" spans="1:16" x14ac:dyDescent="0.25">
      <c r="A1103" s="10"/>
      <c r="B1103" s="10"/>
      <c r="C1103" s="10"/>
      <c r="D1103" s="12"/>
      <c r="E1103" s="10"/>
      <c r="F1103" s="10"/>
      <c r="G1103" s="10"/>
      <c r="H1103" s="5"/>
      <c r="I1103" s="5"/>
      <c r="J1103" s="5"/>
      <c r="K1103" s="5"/>
      <c r="L1103" s="5"/>
      <c r="M1103" s="5"/>
      <c r="N1103" s="5"/>
      <c r="O1103" s="5"/>
      <c r="P1103" s="5"/>
    </row>
    <row r="1104" spans="1:16" x14ac:dyDescent="0.25">
      <c r="A1104" s="10"/>
      <c r="B1104" s="10"/>
      <c r="C1104" s="10"/>
      <c r="D1104" s="12"/>
      <c r="E1104" s="10"/>
      <c r="F1104" s="10"/>
      <c r="G1104" s="10"/>
      <c r="H1104" s="5"/>
      <c r="I1104" s="5"/>
      <c r="J1104" s="5"/>
      <c r="K1104" s="5"/>
      <c r="L1104" s="5"/>
      <c r="M1104" s="5"/>
      <c r="N1104" s="5"/>
      <c r="O1104" s="5"/>
      <c r="P1104" s="5"/>
    </row>
    <row r="1105" spans="1:16" x14ac:dyDescent="0.25">
      <c r="A1105" s="10"/>
      <c r="B1105" s="10"/>
      <c r="C1105" s="10"/>
      <c r="D1105" s="12"/>
      <c r="E1105" s="10"/>
      <c r="F1105" s="10"/>
      <c r="G1105" s="10"/>
      <c r="H1105" s="5"/>
      <c r="I1105" s="5"/>
      <c r="J1105" s="5"/>
      <c r="K1105" s="5"/>
      <c r="L1105" s="5"/>
      <c r="M1105" s="5"/>
      <c r="N1105" s="5"/>
      <c r="O1105" s="5"/>
      <c r="P1105" s="5"/>
    </row>
    <row r="1106" spans="1:16" x14ac:dyDescent="0.25">
      <c r="A1106" s="10"/>
      <c r="B1106" s="10"/>
      <c r="C1106" s="10"/>
      <c r="D1106" s="12"/>
      <c r="E1106" s="10"/>
      <c r="F1106" s="10"/>
      <c r="G1106" s="10"/>
      <c r="H1106" s="5"/>
      <c r="I1106" s="5"/>
      <c r="J1106" s="5"/>
      <c r="K1106" s="5"/>
      <c r="L1106" s="5"/>
      <c r="M1106" s="5"/>
      <c r="N1106" s="5"/>
      <c r="O1106" s="5"/>
      <c r="P1106" s="5"/>
    </row>
    <row r="1107" spans="1:16" x14ac:dyDescent="0.25">
      <c r="A1107" s="10"/>
      <c r="B1107" s="10"/>
      <c r="C1107" s="10"/>
      <c r="D1107" s="12"/>
      <c r="E1107" s="10"/>
      <c r="F1107" s="10"/>
      <c r="G1107" s="10"/>
      <c r="H1107" s="5"/>
      <c r="I1107" s="5"/>
      <c r="J1107" s="5"/>
      <c r="K1107" s="5"/>
      <c r="L1107" s="5"/>
      <c r="M1107" s="5"/>
      <c r="N1107" s="5"/>
      <c r="O1107" s="5"/>
      <c r="P1107" s="5"/>
    </row>
    <row r="1108" spans="1:16" x14ac:dyDescent="0.25">
      <c r="A1108" s="10"/>
      <c r="B1108" s="10"/>
      <c r="C1108" s="10"/>
      <c r="D1108" s="12"/>
      <c r="E1108" s="10"/>
      <c r="F1108" s="10"/>
      <c r="G1108" s="10"/>
      <c r="H1108" s="5"/>
      <c r="I1108" s="5"/>
      <c r="J1108" s="5"/>
      <c r="K1108" s="5"/>
      <c r="L1108" s="5"/>
      <c r="M1108" s="5"/>
      <c r="N1108" s="5"/>
      <c r="O1108" s="5"/>
      <c r="P1108" s="5"/>
    </row>
    <row r="1109" spans="1:16" x14ac:dyDescent="0.25">
      <c r="A1109" s="10"/>
      <c r="B1109" s="10"/>
      <c r="C1109" s="10"/>
      <c r="D1109" s="12"/>
      <c r="E1109" s="10"/>
      <c r="F1109" s="10"/>
      <c r="G1109" s="10"/>
      <c r="H1109" s="5"/>
      <c r="I1109" s="5"/>
      <c r="J1109" s="5"/>
      <c r="K1109" s="5"/>
      <c r="L1109" s="5"/>
      <c r="M1109" s="5"/>
      <c r="N1109" s="5"/>
      <c r="O1109" s="5"/>
      <c r="P1109" s="5"/>
    </row>
    <row r="1110" spans="1:16" x14ac:dyDescent="0.25">
      <c r="A1110" s="10"/>
      <c r="B1110" s="10"/>
      <c r="C1110" s="10"/>
      <c r="D1110" s="12"/>
      <c r="E1110" s="10"/>
      <c r="F1110" s="10"/>
      <c r="G1110" s="10"/>
      <c r="H1110" s="5"/>
      <c r="I1110" s="5"/>
      <c r="J1110" s="5"/>
      <c r="K1110" s="5"/>
      <c r="L1110" s="5"/>
      <c r="M1110" s="5"/>
      <c r="N1110" s="5"/>
      <c r="O1110" s="5"/>
      <c r="P1110" s="5"/>
    </row>
    <row r="1111" spans="1:16" x14ac:dyDescent="0.25">
      <c r="A1111" s="10"/>
      <c r="B1111" s="10"/>
      <c r="C1111" s="10"/>
      <c r="D1111" s="12"/>
      <c r="E1111" s="10"/>
      <c r="F1111" s="10"/>
      <c r="G1111" s="10"/>
      <c r="H1111" s="5"/>
      <c r="I1111" s="5"/>
      <c r="J1111" s="5"/>
      <c r="K1111" s="5"/>
      <c r="L1111" s="5"/>
      <c r="M1111" s="5"/>
      <c r="N1111" s="5"/>
      <c r="O1111" s="5"/>
      <c r="P1111" s="5"/>
    </row>
    <row r="1112" spans="1:16" x14ac:dyDescent="0.25">
      <c r="A1112" s="10"/>
      <c r="B1112" s="10"/>
      <c r="C1112" s="10"/>
      <c r="D1112" s="12"/>
      <c r="E1112" s="10"/>
      <c r="F1112" s="10"/>
      <c r="G1112" s="10"/>
      <c r="H1112" s="5"/>
      <c r="I1112" s="5"/>
      <c r="J1112" s="5"/>
      <c r="K1112" s="5"/>
      <c r="L1112" s="5"/>
      <c r="M1112" s="5"/>
      <c r="N1112" s="5"/>
      <c r="O1112" s="5"/>
      <c r="P1112" s="5"/>
    </row>
    <row r="1113" spans="1:16" x14ac:dyDescent="0.25">
      <c r="A1113" s="10"/>
      <c r="B1113" s="10"/>
      <c r="C1113" s="10"/>
      <c r="D1113" s="12"/>
      <c r="E1113" s="10"/>
      <c r="F1113" s="10"/>
      <c r="G1113" s="10"/>
      <c r="H1113" s="5"/>
      <c r="I1113" s="5"/>
      <c r="J1113" s="5"/>
      <c r="K1113" s="5"/>
      <c r="L1113" s="5"/>
      <c r="M1113" s="5"/>
      <c r="N1113" s="5"/>
      <c r="O1113" s="5"/>
      <c r="P1113" s="5"/>
    </row>
    <row r="1114" spans="1:16" x14ac:dyDescent="0.25">
      <c r="A1114" s="10"/>
      <c r="B1114" s="10"/>
      <c r="C1114" s="10"/>
      <c r="D1114" s="12"/>
      <c r="E1114" s="10"/>
      <c r="F1114" s="10"/>
      <c r="G1114" s="10"/>
      <c r="H1114" s="5"/>
      <c r="I1114" s="5"/>
      <c r="J1114" s="5"/>
      <c r="K1114" s="5"/>
      <c r="L1114" s="5"/>
      <c r="M1114" s="5"/>
      <c r="N1114" s="5"/>
      <c r="O1114" s="5"/>
      <c r="P1114" s="5"/>
    </row>
    <row r="1115" spans="1:16" x14ac:dyDescent="0.25">
      <c r="A1115" s="10"/>
      <c r="B1115" s="10"/>
      <c r="C1115" s="10"/>
      <c r="D1115" s="12"/>
      <c r="E1115" s="10"/>
      <c r="F1115" s="10"/>
      <c r="G1115" s="10"/>
      <c r="H1115" s="5"/>
      <c r="I1115" s="5"/>
      <c r="J1115" s="5"/>
      <c r="K1115" s="5"/>
      <c r="L1115" s="5"/>
      <c r="M1115" s="5"/>
      <c r="N1115" s="5"/>
      <c r="O1115" s="5"/>
      <c r="P1115" s="5"/>
    </row>
    <row r="1116" spans="1:16" x14ac:dyDescent="0.25">
      <c r="A1116" s="10"/>
      <c r="B1116" s="10"/>
      <c r="C1116" s="10"/>
      <c r="D1116" s="12"/>
      <c r="E1116" s="10"/>
      <c r="F1116" s="10"/>
      <c r="G1116" s="10"/>
      <c r="H1116" s="5"/>
      <c r="I1116" s="5"/>
      <c r="J1116" s="5"/>
      <c r="K1116" s="5"/>
      <c r="L1116" s="5"/>
      <c r="M1116" s="5"/>
      <c r="N1116" s="5"/>
      <c r="O1116" s="5"/>
      <c r="P1116" s="5"/>
    </row>
    <row r="1117" spans="1:16" x14ac:dyDescent="0.25">
      <c r="A1117" s="10"/>
      <c r="B1117" s="10"/>
      <c r="C1117" s="10"/>
      <c r="D1117" s="12"/>
      <c r="E1117" s="10"/>
      <c r="F1117" s="10"/>
      <c r="G1117" s="10"/>
      <c r="H1117" s="5"/>
      <c r="I1117" s="5"/>
      <c r="J1117" s="5"/>
      <c r="K1117" s="5"/>
      <c r="L1117" s="5"/>
      <c r="M1117" s="5"/>
      <c r="N1117" s="5"/>
      <c r="O1117" s="5"/>
      <c r="P1117" s="5"/>
    </row>
    <row r="1118" spans="1:16" x14ac:dyDescent="0.25">
      <c r="A1118" s="10"/>
      <c r="B1118" s="10"/>
      <c r="C1118" s="10"/>
      <c r="D1118" s="12"/>
      <c r="E1118" s="10"/>
      <c r="F1118" s="10"/>
      <c r="G1118" s="10"/>
      <c r="H1118" s="5"/>
      <c r="I1118" s="5"/>
      <c r="J1118" s="5"/>
      <c r="K1118" s="5"/>
      <c r="L1118" s="5"/>
      <c r="M1118" s="5"/>
      <c r="N1118" s="5"/>
      <c r="O1118" s="5"/>
      <c r="P1118" s="5"/>
    </row>
    <row r="1119" spans="1:16" x14ac:dyDescent="0.25">
      <c r="A1119" s="10"/>
      <c r="B1119" s="10"/>
      <c r="C1119" s="10"/>
      <c r="D1119" s="12"/>
      <c r="E1119" s="10"/>
      <c r="F1119" s="10"/>
      <c r="G1119" s="10"/>
      <c r="H1119" s="5"/>
      <c r="I1119" s="5"/>
      <c r="J1119" s="5"/>
      <c r="K1119" s="5"/>
      <c r="L1119" s="5"/>
      <c r="M1119" s="5"/>
      <c r="N1119" s="5"/>
      <c r="O1119" s="5"/>
      <c r="P1119" s="5"/>
    </row>
    <row r="1120" spans="1:16" x14ac:dyDescent="0.25">
      <c r="A1120" s="10"/>
      <c r="B1120" s="10"/>
      <c r="C1120" s="10"/>
      <c r="D1120" s="12"/>
      <c r="E1120" s="10"/>
      <c r="F1120" s="10"/>
      <c r="G1120" s="10"/>
      <c r="H1120" s="5"/>
      <c r="I1120" s="5"/>
      <c r="J1120" s="5"/>
      <c r="K1120" s="5"/>
      <c r="L1120" s="5"/>
      <c r="M1120" s="5"/>
      <c r="N1120" s="5"/>
      <c r="O1120" s="5"/>
      <c r="P1120" s="5"/>
    </row>
    <row r="1121" spans="1:16" x14ac:dyDescent="0.25">
      <c r="A1121" s="10"/>
      <c r="B1121" s="10"/>
      <c r="C1121" s="10"/>
      <c r="D1121" s="12"/>
      <c r="E1121" s="10"/>
      <c r="F1121" s="10"/>
      <c r="G1121" s="10"/>
      <c r="H1121" s="5"/>
      <c r="I1121" s="5"/>
      <c r="J1121" s="5"/>
      <c r="K1121" s="5"/>
      <c r="L1121" s="5"/>
      <c r="M1121" s="5"/>
      <c r="N1121" s="5"/>
      <c r="O1121" s="5"/>
      <c r="P1121" s="5"/>
    </row>
    <row r="1122" spans="1:16" x14ac:dyDescent="0.25">
      <c r="A1122" s="10"/>
      <c r="B1122" s="10"/>
      <c r="C1122" s="10"/>
      <c r="D1122" s="12"/>
      <c r="E1122" s="10"/>
      <c r="F1122" s="10"/>
      <c r="G1122" s="10"/>
      <c r="H1122" s="5"/>
      <c r="I1122" s="5"/>
      <c r="J1122" s="5"/>
      <c r="K1122" s="5"/>
      <c r="L1122" s="5"/>
      <c r="M1122" s="5"/>
      <c r="N1122" s="5"/>
      <c r="O1122" s="5"/>
      <c r="P1122" s="5"/>
    </row>
    <row r="1123" spans="1:16" x14ac:dyDescent="0.25">
      <c r="A1123" s="10"/>
      <c r="B1123" s="10"/>
      <c r="C1123" s="10"/>
      <c r="D1123" s="12"/>
      <c r="E1123" s="10"/>
      <c r="F1123" s="10"/>
      <c r="G1123" s="10"/>
      <c r="H1123" s="5"/>
      <c r="I1123" s="5"/>
      <c r="J1123" s="5"/>
      <c r="K1123" s="5"/>
      <c r="L1123" s="5"/>
      <c r="M1123" s="5"/>
      <c r="N1123" s="5"/>
      <c r="O1123" s="5"/>
      <c r="P1123" s="5"/>
    </row>
    <row r="1124" spans="1:16" x14ac:dyDescent="0.25">
      <c r="A1124" s="10"/>
      <c r="B1124" s="10"/>
      <c r="C1124" s="10"/>
      <c r="D1124" s="12"/>
      <c r="E1124" s="10"/>
      <c r="F1124" s="10"/>
      <c r="G1124" s="10"/>
      <c r="H1124" s="5"/>
      <c r="I1124" s="5"/>
      <c r="J1124" s="5"/>
      <c r="K1124" s="5"/>
      <c r="L1124" s="5"/>
      <c r="M1124" s="5"/>
      <c r="N1124" s="5"/>
      <c r="O1124" s="5"/>
      <c r="P1124" s="5"/>
    </row>
    <row r="1125" spans="1:16" x14ac:dyDescent="0.25">
      <c r="A1125" s="10"/>
      <c r="B1125" s="10"/>
      <c r="C1125" s="10"/>
      <c r="D1125" s="12"/>
      <c r="E1125" s="10"/>
      <c r="F1125" s="10"/>
      <c r="G1125" s="10"/>
      <c r="H1125" s="5"/>
      <c r="I1125" s="5"/>
      <c r="J1125" s="5"/>
      <c r="K1125" s="5"/>
      <c r="L1125" s="5"/>
      <c r="M1125" s="5"/>
      <c r="N1125" s="5"/>
      <c r="O1125" s="5"/>
      <c r="P1125" s="5"/>
    </row>
    <row r="1126" spans="1:16" x14ac:dyDescent="0.25">
      <c r="A1126" s="10"/>
      <c r="B1126" s="10"/>
      <c r="C1126" s="10"/>
      <c r="D1126" s="12"/>
      <c r="E1126" s="10"/>
      <c r="F1126" s="10"/>
      <c r="G1126" s="10"/>
      <c r="H1126" s="5"/>
      <c r="I1126" s="5"/>
      <c r="J1126" s="5"/>
      <c r="K1126" s="5"/>
      <c r="L1126" s="5"/>
      <c r="M1126" s="5"/>
      <c r="N1126" s="5"/>
      <c r="O1126" s="5"/>
      <c r="P1126" s="5"/>
    </row>
    <row r="1127" spans="1:16" x14ac:dyDescent="0.25">
      <c r="A1127" s="10"/>
      <c r="B1127" s="10"/>
      <c r="C1127" s="10"/>
      <c r="D1127" s="12"/>
      <c r="E1127" s="10"/>
      <c r="F1127" s="10"/>
      <c r="G1127" s="10"/>
      <c r="H1127" s="5"/>
      <c r="I1127" s="5"/>
      <c r="J1127" s="5"/>
      <c r="K1127" s="5"/>
      <c r="L1127" s="5"/>
      <c r="M1127" s="5"/>
      <c r="N1127" s="5"/>
      <c r="O1127" s="5"/>
      <c r="P1127" s="5"/>
    </row>
    <row r="1128" spans="1:16" x14ac:dyDescent="0.25">
      <c r="A1128" s="10"/>
      <c r="B1128" s="10"/>
      <c r="C1128" s="10"/>
      <c r="D1128" s="12"/>
      <c r="E1128" s="10"/>
      <c r="F1128" s="10"/>
      <c r="G1128" s="10"/>
      <c r="H1128" s="5"/>
      <c r="I1128" s="5"/>
      <c r="J1128" s="5"/>
      <c r="K1128" s="5"/>
      <c r="L1128" s="5"/>
      <c r="M1128" s="5"/>
      <c r="N1128" s="5"/>
      <c r="O1128" s="5"/>
      <c r="P1128" s="5"/>
    </row>
    <row r="1129" spans="1:16" x14ac:dyDescent="0.25">
      <c r="A1129" s="10"/>
      <c r="B1129" s="10"/>
      <c r="C1129" s="10"/>
      <c r="D1129" s="12"/>
      <c r="E1129" s="10"/>
      <c r="F1129" s="10"/>
      <c r="G1129" s="10"/>
      <c r="H1129" s="5"/>
      <c r="I1129" s="5"/>
      <c r="J1129" s="5"/>
      <c r="K1129" s="5"/>
      <c r="L1129" s="5"/>
      <c r="M1129" s="5"/>
      <c r="N1129" s="5"/>
      <c r="O1129" s="5"/>
      <c r="P1129" s="5"/>
    </row>
    <row r="1130" spans="1:16" x14ac:dyDescent="0.25">
      <c r="A1130" s="10"/>
      <c r="B1130" s="10"/>
      <c r="C1130" s="10"/>
      <c r="D1130" s="12"/>
      <c r="E1130" s="10"/>
      <c r="F1130" s="10"/>
      <c r="G1130" s="10"/>
      <c r="H1130" s="5"/>
      <c r="I1130" s="5"/>
      <c r="J1130" s="5"/>
      <c r="K1130" s="5"/>
      <c r="L1130" s="5"/>
      <c r="M1130" s="5"/>
      <c r="N1130" s="5"/>
      <c r="O1130" s="5"/>
      <c r="P1130" s="5"/>
    </row>
    <row r="1131" spans="1:16" x14ac:dyDescent="0.25">
      <c r="A1131" s="10"/>
      <c r="B1131" s="10"/>
      <c r="C1131" s="10"/>
      <c r="D1131" s="12"/>
      <c r="E1131" s="10"/>
      <c r="F1131" s="10"/>
      <c r="G1131" s="10"/>
      <c r="H1131" s="5"/>
      <c r="I1131" s="5"/>
      <c r="J1131" s="5"/>
      <c r="K1131" s="5"/>
      <c r="L1131" s="5"/>
      <c r="M1131" s="5"/>
      <c r="N1131" s="5"/>
      <c r="O1131" s="5"/>
      <c r="P1131" s="5"/>
    </row>
    <row r="1132" spans="1:16" x14ac:dyDescent="0.25">
      <c r="A1132" s="10"/>
      <c r="B1132" s="10"/>
      <c r="C1132" s="10"/>
      <c r="D1132" s="12"/>
      <c r="E1132" s="10"/>
      <c r="F1132" s="10"/>
      <c r="G1132" s="10"/>
      <c r="H1132" s="5"/>
      <c r="I1132" s="5"/>
      <c r="J1132" s="5"/>
      <c r="K1132" s="5"/>
      <c r="L1132" s="5"/>
      <c r="M1132" s="5"/>
      <c r="N1132" s="5"/>
      <c r="O1132" s="5"/>
      <c r="P1132" s="5"/>
    </row>
    <row r="1133" spans="1:16" x14ac:dyDescent="0.25">
      <c r="A1133" s="10"/>
      <c r="B1133" s="10"/>
      <c r="C1133" s="10"/>
      <c r="D1133" s="12"/>
      <c r="E1133" s="10"/>
      <c r="F1133" s="10"/>
      <c r="G1133" s="10"/>
      <c r="H1133" s="5"/>
      <c r="I1133" s="5"/>
      <c r="J1133" s="5"/>
      <c r="K1133" s="5"/>
      <c r="L1133" s="5"/>
      <c r="M1133" s="5"/>
      <c r="N1133" s="5"/>
      <c r="O1133" s="5"/>
      <c r="P1133" s="5"/>
    </row>
    <row r="1134" spans="1:16" x14ac:dyDescent="0.25">
      <c r="A1134" s="10"/>
      <c r="B1134" s="10"/>
      <c r="C1134" s="10"/>
      <c r="D1134" s="12"/>
      <c r="E1134" s="10"/>
      <c r="F1134" s="10"/>
      <c r="G1134" s="10"/>
      <c r="H1134" s="5"/>
      <c r="I1134" s="5"/>
      <c r="J1134" s="5"/>
      <c r="K1134" s="5"/>
      <c r="L1134" s="5"/>
      <c r="M1134" s="5"/>
      <c r="N1134" s="5"/>
      <c r="O1134" s="5"/>
      <c r="P1134" s="5"/>
    </row>
    <row r="1135" spans="1:16" x14ac:dyDescent="0.25">
      <c r="A1135" s="10"/>
      <c r="B1135" s="10"/>
      <c r="C1135" s="10"/>
      <c r="D1135" s="12"/>
      <c r="E1135" s="10"/>
      <c r="F1135" s="10"/>
      <c r="G1135" s="10"/>
      <c r="H1135" s="5"/>
      <c r="I1135" s="5"/>
      <c r="J1135" s="5"/>
      <c r="K1135" s="5"/>
      <c r="L1135" s="5"/>
      <c r="M1135" s="5"/>
      <c r="N1135" s="5"/>
      <c r="O1135" s="5"/>
      <c r="P1135" s="5"/>
    </row>
    <row r="1136" spans="1:16" x14ac:dyDescent="0.25">
      <c r="A1136" s="10"/>
      <c r="B1136" s="10"/>
      <c r="C1136" s="10"/>
      <c r="D1136" s="12"/>
      <c r="E1136" s="10"/>
      <c r="F1136" s="10"/>
      <c r="G1136" s="10"/>
      <c r="H1136" s="5"/>
      <c r="I1136" s="5"/>
      <c r="J1136" s="5"/>
      <c r="K1136" s="5"/>
      <c r="L1136" s="5"/>
      <c r="M1136" s="5"/>
      <c r="N1136" s="5"/>
      <c r="O1136" s="5"/>
      <c r="P1136" s="5"/>
    </row>
    <row r="1137" spans="1:16" x14ac:dyDescent="0.25">
      <c r="A1137" s="10"/>
      <c r="B1137" s="10"/>
      <c r="C1137" s="10"/>
      <c r="D1137" s="12"/>
      <c r="E1137" s="10"/>
      <c r="F1137" s="10"/>
      <c r="G1137" s="10"/>
      <c r="H1137" s="5"/>
      <c r="I1137" s="5"/>
      <c r="J1137" s="5"/>
      <c r="K1137" s="5"/>
      <c r="L1137" s="5"/>
      <c r="M1137" s="5"/>
      <c r="N1137" s="5"/>
      <c r="O1137" s="5"/>
      <c r="P1137" s="5"/>
    </row>
    <row r="1138" spans="1:16" x14ac:dyDescent="0.25">
      <c r="A1138" s="10"/>
      <c r="B1138" s="10"/>
      <c r="C1138" s="10"/>
      <c r="D1138" s="12"/>
      <c r="E1138" s="10"/>
      <c r="F1138" s="10"/>
      <c r="G1138" s="10"/>
      <c r="H1138" s="5"/>
      <c r="I1138" s="5"/>
      <c r="J1138" s="5"/>
      <c r="K1138" s="5"/>
      <c r="L1138" s="5"/>
      <c r="M1138" s="5"/>
      <c r="N1138" s="5"/>
      <c r="O1138" s="5"/>
      <c r="P1138" s="5"/>
    </row>
    <row r="1139" spans="1:16" x14ac:dyDescent="0.25">
      <c r="A1139" s="10"/>
      <c r="B1139" s="10"/>
      <c r="C1139" s="10"/>
      <c r="D1139" s="12"/>
      <c r="E1139" s="10"/>
      <c r="F1139" s="10"/>
      <c r="G1139" s="10"/>
      <c r="H1139" s="5"/>
      <c r="I1139" s="5"/>
      <c r="J1139" s="5"/>
      <c r="K1139" s="5"/>
      <c r="L1139" s="5"/>
      <c r="M1139" s="5"/>
      <c r="N1139" s="5"/>
      <c r="O1139" s="5"/>
      <c r="P1139" s="5"/>
    </row>
    <row r="1140" spans="1:16" x14ac:dyDescent="0.25">
      <c r="A1140" s="10"/>
      <c r="B1140" s="10"/>
      <c r="C1140" s="10"/>
      <c r="D1140" s="12"/>
      <c r="E1140" s="10"/>
      <c r="F1140" s="10"/>
      <c r="G1140" s="10"/>
      <c r="H1140" s="5"/>
      <c r="I1140" s="5"/>
      <c r="J1140" s="5"/>
      <c r="K1140" s="5"/>
      <c r="L1140" s="5"/>
      <c r="M1140" s="5"/>
      <c r="N1140" s="5"/>
      <c r="O1140" s="5"/>
      <c r="P1140" s="5"/>
    </row>
    <row r="1141" spans="1:16" x14ac:dyDescent="0.25">
      <c r="A1141" s="10"/>
      <c r="B1141" s="10"/>
      <c r="C1141" s="10"/>
      <c r="D1141" s="12"/>
      <c r="E1141" s="10"/>
      <c r="F1141" s="10"/>
      <c r="G1141" s="10"/>
      <c r="H1141" s="5"/>
      <c r="I1141" s="5"/>
      <c r="J1141" s="5"/>
      <c r="K1141" s="5"/>
      <c r="L1141" s="5"/>
      <c r="M1141" s="5"/>
      <c r="N1141" s="5"/>
      <c r="O1141" s="5"/>
      <c r="P1141" s="5"/>
    </row>
    <row r="1142" spans="1:16" x14ac:dyDescent="0.25">
      <c r="A1142" s="10"/>
      <c r="B1142" s="10"/>
      <c r="C1142" s="10"/>
      <c r="D1142" s="12"/>
      <c r="E1142" s="10"/>
      <c r="F1142" s="10"/>
      <c r="G1142" s="10"/>
      <c r="H1142" s="5"/>
      <c r="I1142" s="5"/>
      <c r="J1142" s="5"/>
      <c r="K1142" s="5"/>
      <c r="L1142" s="5"/>
      <c r="M1142" s="5"/>
      <c r="N1142" s="5"/>
      <c r="O1142" s="5"/>
      <c r="P1142" s="5"/>
    </row>
    <row r="1143" spans="1:16" x14ac:dyDescent="0.25">
      <c r="A1143" s="10"/>
      <c r="B1143" s="10"/>
      <c r="C1143" s="10"/>
      <c r="D1143" s="12"/>
      <c r="E1143" s="10"/>
      <c r="F1143" s="10"/>
      <c r="G1143" s="10"/>
      <c r="H1143" s="5"/>
      <c r="I1143" s="5"/>
      <c r="J1143" s="5"/>
      <c r="K1143" s="5"/>
      <c r="L1143" s="5"/>
      <c r="M1143" s="5"/>
      <c r="N1143" s="5"/>
      <c r="O1143" s="5"/>
      <c r="P1143" s="5"/>
    </row>
    <row r="1144" spans="1:16" x14ac:dyDescent="0.25">
      <c r="A1144" s="10"/>
      <c r="B1144" s="10"/>
      <c r="C1144" s="10"/>
      <c r="D1144" s="12"/>
      <c r="E1144" s="10"/>
      <c r="F1144" s="10"/>
      <c r="G1144" s="10"/>
      <c r="H1144" s="5"/>
      <c r="I1144" s="5"/>
      <c r="J1144" s="5"/>
      <c r="K1144" s="5"/>
      <c r="L1144" s="5"/>
      <c r="M1144" s="5"/>
      <c r="N1144" s="5"/>
      <c r="O1144" s="5"/>
      <c r="P1144" s="5"/>
    </row>
    <row r="1145" spans="1:16" x14ac:dyDescent="0.25">
      <c r="A1145" s="10"/>
      <c r="B1145" s="10"/>
      <c r="C1145" s="10"/>
      <c r="D1145" s="12"/>
      <c r="E1145" s="10"/>
      <c r="F1145" s="10"/>
      <c r="G1145" s="10"/>
      <c r="H1145" s="5"/>
      <c r="I1145" s="5"/>
      <c r="J1145" s="5"/>
      <c r="K1145" s="5"/>
      <c r="L1145" s="5"/>
      <c r="M1145" s="5"/>
      <c r="N1145" s="5"/>
      <c r="O1145" s="5"/>
      <c r="P1145" s="5"/>
    </row>
    <row r="1146" spans="1:16" x14ac:dyDescent="0.25">
      <c r="A1146" s="10"/>
      <c r="B1146" s="10"/>
      <c r="C1146" s="10"/>
      <c r="D1146" s="12"/>
      <c r="E1146" s="10"/>
      <c r="F1146" s="10"/>
      <c r="G1146" s="10"/>
      <c r="H1146" s="5"/>
      <c r="I1146" s="5"/>
      <c r="J1146" s="5"/>
      <c r="K1146" s="5"/>
      <c r="L1146" s="5"/>
      <c r="M1146" s="5"/>
      <c r="N1146" s="5"/>
      <c r="O1146" s="5"/>
      <c r="P1146" s="5"/>
    </row>
    <row r="1147" spans="1:16" x14ac:dyDescent="0.25">
      <c r="A1147" s="10"/>
      <c r="B1147" s="10"/>
      <c r="C1147" s="10"/>
      <c r="D1147" s="12"/>
      <c r="E1147" s="10"/>
      <c r="F1147" s="10"/>
      <c r="G1147" s="10"/>
      <c r="H1147" s="5"/>
      <c r="I1147" s="5"/>
      <c r="J1147" s="5"/>
      <c r="K1147" s="5"/>
      <c r="L1147" s="5"/>
      <c r="M1147" s="5"/>
      <c r="N1147" s="5"/>
      <c r="O1147" s="5"/>
      <c r="P1147" s="5"/>
    </row>
    <row r="1148" spans="1:16" x14ac:dyDescent="0.25">
      <c r="A1148" s="10"/>
      <c r="B1148" s="10"/>
      <c r="C1148" s="10"/>
      <c r="D1148" s="12"/>
      <c r="E1148" s="10"/>
      <c r="F1148" s="10"/>
      <c r="G1148" s="10"/>
      <c r="H1148" s="5"/>
      <c r="I1148" s="5"/>
      <c r="J1148" s="5"/>
      <c r="K1148" s="5"/>
      <c r="L1148" s="5"/>
      <c r="M1148" s="5"/>
      <c r="N1148" s="5"/>
      <c r="O1148" s="5"/>
      <c r="P1148" s="5"/>
    </row>
    <row r="1149" spans="1:16" x14ac:dyDescent="0.25">
      <c r="A1149" s="10"/>
      <c r="B1149" s="10"/>
      <c r="C1149" s="10"/>
      <c r="D1149" s="12"/>
      <c r="E1149" s="10"/>
      <c r="F1149" s="10"/>
      <c r="G1149" s="10"/>
      <c r="H1149" s="5"/>
      <c r="I1149" s="5"/>
      <c r="J1149" s="5"/>
      <c r="K1149" s="5"/>
      <c r="L1149" s="5"/>
      <c r="M1149" s="5"/>
      <c r="N1149" s="5"/>
      <c r="O1149" s="5"/>
      <c r="P1149" s="5"/>
    </row>
    <row r="1150" spans="1:16" x14ac:dyDescent="0.25">
      <c r="A1150" s="10"/>
      <c r="B1150" s="10"/>
      <c r="C1150" s="10"/>
      <c r="D1150" s="12"/>
      <c r="E1150" s="10"/>
      <c r="F1150" s="10"/>
      <c r="G1150" s="10"/>
      <c r="H1150" s="5"/>
      <c r="I1150" s="5"/>
      <c r="J1150" s="5"/>
      <c r="K1150" s="5"/>
      <c r="L1150" s="5"/>
      <c r="M1150" s="5"/>
      <c r="N1150" s="5"/>
      <c r="O1150" s="5"/>
      <c r="P1150" s="5"/>
    </row>
    <row r="1151" spans="1:16" x14ac:dyDescent="0.25">
      <c r="A1151" s="10"/>
      <c r="B1151" s="10"/>
      <c r="C1151" s="10"/>
      <c r="D1151" s="12"/>
      <c r="E1151" s="10"/>
      <c r="F1151" s="10"/>
      <c r="G1151" s="10"/>
      <c r="H1151" s="5"/>
      <c r="I1151" s="5"/>
      <c r="J1151" s="5"/>
      <c r="K1151" s="5"/>
      <c r="L1151" s="5"/>
      <c r="M1151" s="5"/>
      <c r="N1151" s="5"/>
      <c r="O1151" s="5"/>
      <c r="P1151" s="5"/>
    </row>
    <row r="1152" spans="1:16" x14ac:dyDescent="0.25">
      <c r="A1152" s="10"/>
      <c r="B1152" s="10"/>
      <c r="C1152" s="10"/>
      <c r="D1152" s="12"/>
      <c r="E1152" s="10"/>
      <c r="F1152" s="10"/>
      <c r="G1152" s="10"/>
      <c r="H1152" s="5"/>
      <c r="I1152" s="5"/>
      <c r="J1152" s="5"/>
      <c r="K1152" s="5"/>
      <c r="L1152" s="5"/>
      <c r="M1152" s="5"/>
      <c r="N1152" s="5"/>
      <c r="O1152" s="5"/>
      <c r="P1152" s="5"/>
    </row>
    <row r="1153" spans="1:16" x14ac:dyDescent="0.25">
      <c r="A1153" s="10"/>
      <c r="B1153" s="10"/>
      <c r="C1153" s="10"/>
      <c r="D1153" s="12"/>
      <c r="E1153" s="10"/>
      <c r="F1153" s="10"/>
      <c r="G1153" s="10"/>
      <c r="H1153" s="5"/>
      <c r="I1153" s="5"/>
      <c r="J1153" s="5"/>
      <c r="K1153" s="5"/>
      <c r="L1153" s="5"/>
      <c r="M1153" s="5"/>
      <c r="N1153" s="5"/>
      <c r="O1153" s="5"/>
      <c r="P1153" s="5"/>
    </row>
    <row r="1154" spans="1:16" x14ac:dyDescent="0.25">
      <c r="A1154" s="10"/>
      <c r="B1154" s="10"/>
      <c r="C1154" s="10"/>
      <c r="D1154" s="12"/>
      <c r="E1154" s="10"/>
      <c r="F1154" s="10"/>
      <c r="G1154" s="10"/>
      <c r="H1154" s="5"/>
      <c r="I1154" s="5"/>
      <c r="J1154" s="5"/>
      <c r="K1154" s="5"/>
      <c r="L1154" s="5"/>
      <c r="M1154" s="5"/>
      <c r="N1154" s="5"/>
      <c r="O1154" s="5"/>
      <c r="P1154" s="5"/>
    </row>
    <row r="1155" spans="1:16" x14ac:dyDescent="0.25">
      <c r="A1155" s="10"/>
      <c r="B1155" s="10"/>
      <c r="C1155" s="10"/>
      <c r="D1155" s="12"/>
      <c r="E1155" s="10"/>
      <c r="F1155" s="10"/>
      <c r="G1155" s="10"/>
      <c r="H1155" s="5"/>
      <c r="I1155" s="5"/>
      <c r="J1155" s="5"/>
      <c r="K1155" s="5"/>
      <c r="L1155" s="5"/>
      <c r="M1155" s="5"/>
      <c r="N1155" s="5"/>
      <c r="O1155" s="5"/>
      <c r="P1155" s="5"/>
    </row>
    <row r="1156" spans="1:16" x14ac:dyDescent="0.25">
      <c r="A1156" s="10"/>
      <c r="B1156" s="10"/>
      <c r="C1156" s="10"/>
      <c r="D1156" s="12"/>
      <c r="E1156" s="10"/>
      <c r="F1156" s="10"/>
      <c r="G1156" s="10"/>
      <c r="H1156" s="5"/>
      <c r="I1156" s="5"/>
      <c r="J1156" s="5"/>
      <c r="K1156" s="5"/>
      <c r="L1156" s="5"/>
      <c r="M1156" s="5"/>
      <c r="N1156" s="5"/>
      <c r="O1156" s="5"/>
      <c r="P1156" s="5"/>
    </row>
    <row r="1157" spans="1:16" x14ac:dyDescent="0.25">
      <c r="A1157" s="10"/>
      <c r="B1157" s="10"/>
      <c r="C1157" s="10"/>
      <c r="D1157" s="12"/>
      <c r="E1157" s="10"/>
      <c r="F1157" s="10"/>
      <c r="G1157" s="10"/>
      <c r="H1157" s="5"/>
      <c r="I1157" s="5"/>
      <c r="J1157" s="5"/>
      <c r="K1157" s="5"/>
      <c r="L1157" s="5"/>
      <c r="M1157" s="5"/>
      <c r="N1157" s="5"/>
      <c r="O1157" s="5"/>
      <c r="P1157" s="5"/>
    </row>
    <row r="1158" spans="1:16" x14ac:dyDescent="0.25">
      <c r="A1158" s="10"/>
      <c r="B1158" s="10"/>
      <c r="C1158" s="10"/>
      <c r="D1158" s="12"/>
      <c r="E1158" s="10"/>
      <c r="F1158" s="10"/>
      <c r="G1158" s="10"/>
      <c r="H1158" s="5"/>
      <c r="I1158" s="5"/>
      <c r="J1158" s="5"/>
      <c r="K1158" s="5"/>
      <c r="L1158" s="5"/>
      <c r="M1158" s="5"/>
      <c r="N1158" s="5"/>
      <c r="O1158" s="5"/>
      <c r="P1158" s="5"/>
    </row>
    <row r="1159" spans="1:16" x14ac:dyDescent="0.25">
      <c r="A1159" s="10"/>
      <c r="B1159" s="10"/>
      <c r="C1159" s="10"/>
      <c r="D1159" s="12"/>
      <c r="E1159" s="10"/>
      <c r="F1159" s="10"/>
      <c r="G1159" s="10"/>
      <c r="H1159" s="5"/>
      <c r="I1159" s="5"/>
      <c r="J1159" s="5"/>
      <c r="K1159" s="5"/>
      <c r="L1159" s="5"/>
      <c r="M1159" s="5"/>
      <c r="N1159" s="5"/>
      <c r="O1159" s="5"/>
      <c r="P1159" s="5"/>
    </row>
    <row r="1160" spans="1:16" x14ac:dyDescent="0.25">
      <c r="A1160" s="10"/>
      <c r="B1160" s="10"/>
      <c r="C1160" s="10"/>
      <c r="D1160" s="12"/>
      <c r="E1160" s="10"/>
      <c r="F1160" s="10"/>
      <c r="G1160" s="10"/>
      <c r="H1160" s="5"/>
      <c r="I1160" s="5"/>
      <c r="J1160" s="5"/>
      <c r="K1160" s="5"/>
      <c r="L1160" s="5"/>
      <c r="M1160" s="5"/>
      <c r="N1160" s="5"/>
      <c r="O1160" s="5"/>
      <c r="P1160" s="5"/>
    </row>
    <row r="1161" spans="1:16" x14ac:dyDescent="0.25">
      <c r="A1161" s="10"/>
      <c r="B1161" s="10"/>
      <c r="C1161" s="10"/>
      <c r="D1161" s="12"/>
      <c r="E1161" s="10"/>
      <c r="F1161" s="10"/>
      <c r="G1161" s="10"/>
      <c r="H1161" s="5"/>
      <c r="I1161" s="5"/>
      <c r="J1161" s="5"/>
      <c r="K1161" s="5"/>
      <c r="L1161" s="5"/>
      <c r="M1161" s="5"/>
      <c r="N1161" s="5"/>
      <c r="O1161" s="5"/>
      <c r="P1161" s="5"/>
    </row>
    <row r="1162" spans="1:16" x14ac:dyDescent="0.25">
      <c r="A1162" s="10"/>
      <c r="B1162" s="10"/>
      <c r="C1162" s="10"/>
      <c r="D1162" s="12"/>
      <c r="E1162" s="10"/>
      <c r="F1162" s="10"/>
      <c r="G1162" s="10"/>
      <c r="H1162" s="5"/>
      <c r="I1162" s="5"/>
      <c r="J1162" s="5"/>
      <c r="K1162" s="5"/>
      <c r="L1162" s="5"/>
      <c r="M1162" s="5"/>
      <c r="N1162" s="5"/>
      <c r="O1162" s="5"/>
      <c r="P1162" s="5"/>
    </row>
    <row r="1163" spans="1:16" x14ac:dyDescent="0.25">
      <c r="A1163" s="10"/>
      <c r="B1163" s="10"/>
      <c r="C1163" s="10"/>
      <c r="D1163" s="12"/>
      <c r="E1163" s="10"/>
      <c r="F1163" s="10"/>
      <c r="G1163" s="10"/>
      <c r="H1163" s="5"/>
      <c r="I1163" s="5"/>
      <c r="J1163" s="5"/>
      <c r="K1163" s="5"/>
      <c r="L1163" s="5"/>
      <c r="M1163" s="5"/>
      <c r="N1163" s="5"/>
      <c r="O1163" s="5"/>
      <c r="P1163" s="5"/>
    </row>
    <row r="1164" spans="1:16" x14ac:dyDescent="0.25">
      <c r="A1164" s="10"/>
      <c r="B1164" s="10"/>
      <c r="C1164" s="10"/>
      <c r="D1164" s="12"/>
      <c r="E1164" s="10"/>
      <c r="F1164" s="10"/>
      <c r="G1164" s="10"/>
      <c r="H1164" s="5"/>
      <c r="I1164" s="5"/>
      <c r="J1164" s="5"/>
      <c r="K1164" s="5"/>
      <c r="L1164" s="5"/>
      <c r="M1164" s="5"/>
      <c r="N1164" s="5"/>
      <c r="O1164" s="5"/>
      <c r="P1164" s="5"/>
    </row>
    <row r="1165" spans="1:16" x14ac:dyDescent="0.25">
      <c r="A1165" s="10"/>
      <c r="B1165" s="10"/>
      <c r="C1165" s="10"/>
      <c r="D1165" s="12"/>
      <c r="E1165" s="10"/>
      <c r="F1165" s="10"/>
      <c r="G1165" s="10"/>
      <c r="H1165" s="5"/>
      <c r="I1165" s="5"/>
      <c r="J1165" s="5"/>
      <c r="K1165" s="5"/>
      <c r="L1165" s="5"/>
      <c r="M1165" s="5"/>
      <c r="N1165" s="5"/>
      <c r="O1165" s="5"/>
      <c r="P1165" s="5"/>
    </row>
    <row r="1166" spans="1:16" x14ac:dyDescent="0.25">
      <c r="A1166" s="10"/>
      <c r="B1166" s="10"/>
      <c r="C1166" s="10"/>
      <c r="D1166" s="12"/>
      <c r="E1166" s="10"/>
      <c r="F1166" s="10"/>
      <c r="G1166" s="10"/>
      <c r="H1166" s="5"/>
      <c r="I1166" s="5"/>
      <c r="J1166" s="5"/>
      <c r="K1166" s="5"/>
      <c r="L1166" s="5"/>
      <c r="M1166" s="5"/>
      <c r="N1166" s="5"/>
      <c r="O1166" s="5"/>
      <c r="P1166" s="5"/>
    </row>
    <row r="1167" spans="1:16" x14ac:dyDescent="0.25">
      <c r="A1167" s="10"/>
      <c r="B1167" s="10"/>
      <c r="C1167" s="10"/>
      <c r="D1167" s="12"/>
      <c r="E1167" s="10"/>
      <c r="F1167" s="10"/>
      <c r="G1167" s="10"/>
      <c r="H1167" s="5"/>
      <c r="I1167" s="5"/>
      <c r="J1167" s="5"/>
      <c r="K1167" s="5"/>
      <c r="L1167" s="5"/>
      <c r="M1167" s="5"/>
      <c r="N1167" s="5"/>
      <c r="O1167" s="5"/>
      <c r="P1167" s="5"/>
    </row>
    <row r="1168" spans="1:16" x14ac:dyDescent="0.25">
      <c r="A1168" s="10"/>
      <c r="B1168" s="10"/>
      <c r="C1168" s="10"/>
      <c r="D1168" s="12"/>
      <c r="E1168" s="10"/>
      <c r="F1168" s="10"/>
      <c r="G1168" s="10"/>
      <c r="H1168" s="5"/>
      <c r="I1168" s="5"/>
      <c r="J1168" s="5"/>
      <c r="K1168" s="5"/>
      <c r="L1168" s="5"/>
      <c r="M1168" s="5"/>
      <c r="N1168" s="5"/>
      <c r="O1168" s="5"/>
      <c r="P1168" s="5"/>
    </row>
    <row r="1169" spans="1:16" x14ac:dyDescent="0.25">
      <c r="A1169" s="10"/>
      <c r="B1169" s="10"/>
      <c r="C1169" s="10"/>
      <c r="D1169" s="12"/>
      <c r="E1169" s="10"/>
      <c r="F1169" s="10"/>
      <c r="G1169" s="10"/>
      <c r="H1169" s="5"/>
      <c r="I1169" s="5"/>
      <c r="J1169" s="5"/>
      <c r="K1169" s="5"/>
      <c r="L1169" s="5"/>
      <c r="M1169" s="5"/>
      <c r="N1169" s="5"/>
      <c r="O1169" s="5"/>
      <c r="P1169" s="5"/>
    </row>
    <row r="1170" spans="1:16" x14ac:dyDescent="0.25">
      <c r="A1170" s="10"/>
      <c r="B1170" s="10"/>
      <c r="C1170" s="10"/>
      <c r="D1170" s="12"/>
      <c r="E1170" s="10"/>
      <c r="F1170" s="10"/>
      <c r="G1170" s="10"/>
      <c r="H1170" s="5"/>
      <c r="I1170" s="5"/>
      <c r="J1170" s="5"/>
      <c r="K1170" s="5"/>
      <c r="L1170" s="5"/>
      <c r="M1170" s="5"/>
      <c r="N1170" s="5"/>
      <c r="O1170" s="5"/>
      <c r="P1170" s="5"/>
    </row>
    <row r="1171" spans="1:16" x14ac:dyDescent="0.25">
      <c r="A1171" s="10"/>
      <c r="B1171" s="10"/>
      <c r="C1171" s="10"/>
      <c r="D1171" s="12"/>
      <c r="E1171" s="10"/>
      <c r="F1171" s="10"/>
      <c r="G1171" s="10"/>
      <c r="H1171" s="5"/>
      <c r="I1171" s="5"/>
      <c r="J1171" s="5"/>
      <c r="K1171" s="5"/>
      <c r="L1171" s="5"/>
      <c r="M1171" s="5"/>
      <c r="N1171" s="5"/>
      <c r="O1171" s="5"/>
      <c r="P1171" s="5"/>
    </row>
    <row r="1172" spans="1:16" x14ac:dyDescent="0.25">
      <c r="A1172" s="10"/>
      <c r="B1172" s="10"/>
      <c r="C1172" s="10"/>
      <c r="D1172" s="12"/>
      <c r="E1172" s="10"/>
      <c r="F1172" s="10"/>
      <c r="G1172" s="10"/>
      <c r="H1172" s="5"/>
      <c r="I1172" s="5"/>
      <c r="J1172" s="5"/>
      <c r="K1172" s="5"/>
      <c r="L1172" s="5"/>
      <c r="M1172" s="5"/>
      <c r="N1172" s="5"/>
      <c r="O1172" s="5"/>
      <c r="P1172" s="5"/>
    </row>
    <row r="1173" spans="1:16" x14ac:dyDescent="0.25">
      <c r="A1173" s="10"/>
      <c r="B1173" s="10"/>
      <c r="C1173" s="10"/>
      <c r="D1173" s="12"/>
      <c r="E1173" s="10"/>
      <c r="F1173" s="10"/>
      <c r="G1173" s="10"/>
      <c r="H1173" s="5"/>
      <c r="I1173" s="5"/>
      <c r="J1173" s="5"/>
      <c r="K1173" s="5"/>
      <c r="L1173" s="5"/>
      <c r="M1173" s="5"/>
      <c r="N1173" s="5"/>
      <c r="O1173" s="5"/>
      <c r="P1173" s="5"/>
    </row>
    <row r="1174" spans="1:16" x14ac:dyDescent="0.25">
      <c r="A1174" s="10"/>
      <c r="B1174" s="10"/>
      <c r="C1174" s="10"/>
      <c r="D1174" s="12"/>
      <c r="E1174" s="10"/>
      <c r="F1174" s="10"/>
      <c r="G1174" s="10"/>
      <c r="H1174" s="5"/>
      <c r="I1174" s="5"/>
      <c r="J1174" s="5"/>
      <c r="K1174" s="5"/>
      <c r="L1174" s="5"/>
      <c r="M1174" s="5"/>
      <c r="N1174" s="5"/>
      <c r="O1174" s="5"/>
      <c r="P1174" s="5"/>
    </row>
    <row r="1175" spans="1:16" x14ac:dyDescent="0.25">
      <c r="A1175" s="10"/>
      <c r="B1175" s="10"/>
      <c r="C1175" s="10"/>
      <c r="D1175" s="12"/>
      <c r="E1175" s="10"/>
      <c r="F1175" s="10"/>
      <c r="G1175" s="10"/>
      <c r="H1175" s="5"/>
      <c r="I1175" s="5"/>
      <c r="J1175" s="5"/>
      <c r="K1175" s="5"/>
      <c r="L1175" s="5"/>
      <c r="M1175" s="5"/>
      <c r="N1175" s="5"/>
      <c r="O1175" s="5"/>
      <c r="P1175" s="5"/>
    </row>
    <row r="1176" spans="1:16" x14ac:dyDescent="0.25">
      <c r="A1176" s="10"/>
      <c r="B1176" s="10"/>
      <c r="C1176" s="10"/>
      <c r="D1176" s="12"/>
      <c r="E1176" s="10"/>
      <c r="F1176" s="10"/>
      <c r="G1176" s="10"/>
      <c r="H1176" s="5"/>
      <c r="I1176" s="5"/>
      <c r="J1176" s="5"/>
      <c r="K1176" s="5"/>
      <c r="L1176" s="5"/>
      <c r="M1176" s="5"/>
      <c r="N1176" s="5"/>
      <c r="O1176" s="5"/>
      <c r="P1176" s="5"/>
    </row>
    <row r="1177" spans="1:16" x14ac:dyDescent="0.25">
      <c r="A1177" s="10"/>
      <c r="B1177" s="10"/>
      <c r="C1177" s="10"/>
      <c r="D1177" s="12"/>
      <c r="E1177" s="10"/>
      <c r="F1177" s="10"/>
      <c r="G1177" s="10"/>
      <c r="H1177" s="5"/>
      <c r="I1177" s="5"/>
      <c r="J1177" s="5"/>
      <c r="K1177" s="5"/>
      <c r="L1177" s="5"/>
      <c r="M1177" s="5"/>
      <c r="N1177" s="5"/>
      <c r="O1177" s="5"/>
      <c r="P1177" s="5"/>
    </row>
    <row r="1178" spans="1:16" x14ac:dyDescent="0.25">
      <c r="A1178" s="10"/>
      <c r="B1178" s="10"/>
      <c r="C1178" s="10"/>
      <c r="D1178" s="12"/>
      <c r="E1178" s="10"/>
      <c r="F1178" s="10"/>
      <c r="G1178" s="10"/>
      <c r="H1178" s="5"/>
      <c r="I1178" s="5"/>
      <c r="J1178" s="5"/>
      <c r="K1178" s="5"/>
      <c r="L1178" s="5"/>
      <c r="M1178" s="5"/>
      <c r="N1178" s="5"/>
      <c r="O1178" s="5"/>
      <c r="P1178" s="5"/>
    </row>
    <row r="1179" spans="1:16" x14ac:dyDescent="0.25">
      <c r="A1179" s="10"/>
      <c r="B1179" s="10"/>
      <c r="C1179" s="10"/>
      <c r="D1179" s="12"/>
      <c r="E1179" s="10"/>
      <c r="F1179" s="10"/>
      <c r="G1179" s="10"/>
      <c r="H1179" s="5"/>
      <c r="I1179" s="5"/>
      <c r="J1179" s="5"/>
      <c r="K1179" s="5"/>
      <c r="L1179" s="5"/>
      <c r="M1179" s="5"/>
      <c r="N1179" s="5"/>
      <c r="O1179" s="5"/>
      <c r="P1179" s="5"/>
    </row>
    <row r="1180" spans="1:16" x14ac:dyDescent="0.25">
      <c r="A1180" s="10"/>
      <c r="B1180" s="10"/>
      <c r="C1180" s="10"/>
      <c r="D1180" s="12"/>
      <c r="E1180" s="10"/>
      <c r="F1180" s="10"/>
      <c r="G1180" s="10"/>
      <c r="H1180" s="5"/>
      <c r="I1180" s="5"/>
      <c r="J1180" s="5"/>
      <c r="K1180" s="5"/>
      <c r="L1180" s="5"/>
      <c r="M1180" s="5"/>
      <c r="N1180" s="5"/>
      <c r="O1180" s="5"/>
      <c r="P1180" s="5"/>
    </row>
    <row r="1181" spans="1:16" x14ac:dyDescent="0.25">
      <c r="A1181" s="10"/>
      <c r="B1181" s="10"/>
      <c r="C1181" s="10"/>
      <c r="D1181" s="12"/>
      <c r="E1181" s="10"/>
      <c r="F1181" s="10"/>
      <c r="G1181" s="10"/>
      <c r="H1181" s="5"/>
      <c r="I1181" s="5"/>
      <c r="J1181" s="5"/>
      <c r="K1181" s="5"/>
      <c r="L1181" s="5"/>
      <c r="M1181" s="5"/>
      <c r="N1181" s="5"/>
      <c r="O1181" s="5"/>
      <c r="P1181" s="5"/>
    </row>
    <row r="1182" spans="1:16" x14ac:dyDescent="0.25">
      <c r="A1182" s="10"/>
      <c r="B1182" s="10"/>
      <c r="C1182" s="10"/>
      <c r="D1182" s="12"/>
      <c r="E1182" s="10"/>
      <c r="F1182" s="10"/>
      <c r="G1182" s="10"/>
      <c r="H1182" s="5"/>
      <c r="I1182" s="5"/>
      <c r="J1182" s="5"/>
      <c r="K1182" s="5"/>
      <c r="L1182" s="5"/>
      <c r="M1182" s="5"/>
      <c r="N1182" s="5"/>
      <c r="O1182" s="5"/>
      <c r="P1182" s="5"/>
    </row>
    <row r="1183" spans="1:16" x14ac:dyDescent="0.25">
      <c r="A1183" s="10"/>
      <c r="B1183" s="10"/>
      <c r="C1183" s="10"/>
      <c r="D1183" s="12"/>
      <c r="E1183" s="10"/>
      <c r="F1183" s="10"/>
      <c r="G1183" s="10"/>
      <c r="H1183" s="5"/>
      <c r="I1183" s="5"/>
      <c r="J1183" s="5"/>
      <c r="K1183" s="5"/>
      <c r="L1183" s="5"/>
      <c r="M1183" s="5"/>
      <c r="N1183" s="5"/>
      <c r="O1183" s="5"/>
      <c r="P1183" s="5"/>
    </row>
    <row r="1184" spans="1:16" x14ac:dyDescent="0.25">
      <c r="A1184" s="10"/>
      <c r="B1184" s="10"/>
      <c r="C1184" s="10"/>
      <c r="D1184" s="12"/>
      <c r="E1184" s="10"/>
      <c r="F1184" s="10"/>
      <c r="G1184" s="10"/>
      <c r="H1184" s="5"/>
      <c r="I1184" s="5"/>
      <c r="J1184" s="5"/>
      <c r="K1184" s="5"/>
      <c r="L1184" s="5"/>
      <c r="M1184" s="5"/>
      <c r="N1184" s="5"/>
      <c r="O1184" s="5"/>
      <c r="P1184" s="5"/>
    </row>
    <row r="1185" spans="1:16" x14ac:dyDescent="0.25">
      <c r="A1185" s="10"/>
      <c r="B1185" s="10"/>
      <c r="C1185" s="10"/>
      <c r="D1185" s="12"/>
      <c r="E1185" s="10"/>
      <c r="F1185" s="10"/>
      <c r="G1185" s="10"/>
      <c r="H1185" s="5"/>
      <c r="I1185" s="5"/>
      <c r="J1185" s="5"/>
      <c r="K1185" s="5"/>
      <c r="L1185" s="5"/>
      <c r="M1185" s="5"/>
      <c r="N1185" s="5"/>
      <c r="O1185" s="5"/>
      <c r="P1185" s="5"/>
    </row>
    <row r="1186" spans="1:16" x14ac:dyDescent="0.25">
      <c r="A1186" s="10"/>
      <c r="B1186" s="10"/>
      <c r="C1186" s="10"/>
      <c r="D1186" s="12"/>
      <c r="E1186" s="10"/>
      <c r="F1186" s="10"/>
      <c r="G1186" s="10"/>
      <c r="H1186" s="5"/>
      <c r="I1186" s="5"/>
      <c r="J1186" s="5"/>
      <c r="K1186" s="5"/>
      <c r="L1186" s="5"/>
      <c r="M1186" s="5"/>
      <c r="N1186" s="5"/>
      <c r="O1186" s="5"/>
      <c r="P1186" s="5"/>
    </row>
    <row r="1187" spans="1:16" x14ac:dyDescent="0.25">
      <c r="A1187" s="10"/>
      <c r="B1187" s="10"/>
      <c r="C1187" s="10"/>
      <c r="D1187" s="12"/>
      <c r="E1187" s="10"/>
      <c r="F1187" s="10"/>
      <c r="G1187" s="10"/>
      <c r="H1187" s="5"/>
      <c r="I1187" s="5"/>
      <c r="J1187" s="5"/>
      <c r="K1187" s="5"/>
      <c r="L1187" s="5"/>
      <c r="M1187" s="5"/>
      <c r="N1187" s="5"/>
      <c r="O1187" s="5"/>
      <c r="P1187" s="5"/>
    </row>
    <row r="1188" spans="1:16" x14ac:dyDescent="0.25">
      <c r="A1188" s="10"/>
      <c r="B1188" s="10"/>
      <c r="C1188" s="10"/>
      <c r="D1188" s="12"/>
      <c r="E1188" s="10"/>
      <c r="F1188" s="10"/>
      <c r="G1188" s="10"/>
      <c r="H1188" s="5"/>
      <c r="I1188" s="5"/>
      <c r="J1188" s="5"/>
      <c r="K1188" s="5"/>
      <c r="L1188" s="5"/>
      <c r="M1188" s="5"/>
      <c r="N1188" s="5"/>
      <c r="O1188" s="5"/>
      <c r="P1188" s="5"/>
    </row>
    <row r="1189" spans="1:16" x14ac:dyDescent="0.25">
      <c r="A1189" s="10"/>
      <c r="B1189" s="10"/>
      <c r="C1189" s="10"/>
      <c r="D1189" s="12"/>
      <c r="E1189" s="10"/>
      <c r="F1189" s="10"/>
      <c r="G1189" s="10"/>
      <c r="H1189" s="5"/>
      <c r="I1189" s="5"/>
      <c r="J1189" s="5"/>
      <c r="K1189" s="5"/>
      <c r="L1189" s="5"/>
      <c r="M1189" s="5"/>
      <c r="N1189" s="5"/>
      <c r="O1189" s="5"/>
      <c r="P1189" s="5"/>
    </row>
    <row r="1190" spans="1:16" x14ac:dyDescent="0.25">
      <c r="A1190" s="10"/>
      <c r="B1190" s="10"/>
      <c r="C1190" s="10"/>
      <c r="D1190" s="12"/>
      <c r="E1190" s="10"/>
      <c r="F1190" s="10"/>
      <c r="G1190" s="10"/>
      <c r="H1190" s="5"/>
      <c r="I1190" s="5"/>
      <c r="J1190" s="5"/>
      <c r="K1190" s="5"/>
      <c r="L1190" s="5"/>
      <c r="M1190" s="5"/>
      <c r="N1190" s="5"/>
      <c r="O1190" s="5"/>
      <c r="P1190" s="5"/>
    </row>
    <row r="1191" spans="1:16" x14ac:dyDescent="0.25">
      <c r="A1191" s="10"/>
      <c r="B1191" s="10"/>
      <c r="C1191" s="10"/>
      <c r="D1191" s="12"/>
      <c r="E1191" s="10"/>
      <c r="F1191" s="10"/>
      <c r="G1191" s="10"/>
      <c r="H1191" s="5"/>
      <c r="I1191" s="5"/>
      <c r="J1191" s="5"/>
      <c r="K1191" s="5"/>
      <c r="L1191" s="5"/>
      <c r="M1191" s="5"/>
      <c r="N1191" s="5"/>
      <c r="O1191" s="5"/>
      <c r="P1191" s="5"/>
    </row>
    <row r="1192" spans="1:16" x14ac:dyDescent="0.25">
      <c r="A1192" s="10"/>
      <c r="B1192" s="10"/>
      <c r="C1192" s="10"/>
      <c r="D1192" s="12"/>
      <c r="E1192" s="10"/>
      <c r="F1192" s="10"/>
      <c r="G1192" s="10"/>
      <c r="H1192" s="5"/>
      <c r="I1192" s="5"/>
      <c r="J1192" s="5"/>
      <c r="K1192" s="5"/>
      <c r="L1192" s="5"/>
      <c r="M1192" s="5"/>
      <c r="N1192" s="5"/>
      <c r="O1192" s="5"/>
      <c r="P1192" s="5"/>
    </row>
    <row r="1193" spans="1:16" x14ac:dyDescent="0.25">
      <c r="A1193" s="10"/>
      <c r="B1193" s="10"/>
      <c r="C1193" s="10"/>
      <c r="D1193" s="12"/>
      <c r="E1193" s="10"/>
      <c r="F1193" s="10"/>
      <c r="G1193" s="10"/>
      <c r="H1193" s="5"/>
      <c r="I1193" s="5"/>
      <c r="J1193" s="5"/>
      <c r="K1193" s="5"/>
      <c r="L1193" s="5"/>
      <c r="M1193" s="5"/>
      <c r="N1193" s="5"/>
      <c r="O1193" s="5"/>
      <c r="P1193" s="5"/>
    </row>
    <row r="1194" spans="1:16" x14ac:dyDescent="0.25">
      <c r="A1194" s="10"/>
      <c r="B1194" s="10"/>
      <c r="C1194" s="10"/>
      <c r="D1194" s="12"/>
      <c r="E1194" s="10"/>
      <c r="F1194" s="10"/>
      <c r="G1194" s="10"/>
      <c r="H1194" s="5"/>
      <c r="I1194" s="5"/>
      <c r="J1194" s="5"/>
      <c r="K1194" s="5"/>
      <c r="L1194" s="5"/>
      <c r="M1194" s="5"/>
      <c r="N1194" s="5"/>
      <c r="O1194" s="5"/>
      <c r="P1194" s="5"/>
    </row>
    <row r="1195" spans="1:16" x14ac:dyDescent="0.25">
      <c r="A1195" s="10"/>
      <c r="B1195" s="10"/>
      <c r="C1195" s="10"/>
      <c r="D1195" s="12"/>
      <c r="E1195" s="10"/>
      <c r="F1195" s="10"/>
      <c r="G1195" s="10"/>
      <c r="H1195" s="5"/>
      <c r="I1195" s="5"/>
      <c r="J1195" s="5"/>
      <c r="K1195" s="5"/>
      <c r="L1195" s="5"/>
      <c r="M1195" s="5"/>
      <c r="N1195" s="5"/>
      <c r="O1195" s="5"/>
      <c r="P1195" s="5"/>
    </row>
    <row r="1196" spans="1:16" x14ac:dyDescent="0.25">
      <c r="A1196" s="10"/>
      <c r="B1196" s="10"/>
      <c r="C1196" s="10"/>
      <c r="D1196" s="12"/>
      <c r="E1196" s="10"/>
      <c r="F1196" s="10"/>
      <c r="G1196" s="10"/>
      <c r="H1196" s="5"/>
      <c r="I1196" s="5"/>
      <c r="J1196" s="5"/>
      <c r="K1196" s="5"/>
      <c r="L1196" s="5"/>
      <c r="M1196" s="5"/>
      <c r="N1196" s="5"/>
      <c r="O1196" s="5"/>
      <c r="P1196" s="5"/>
    </row>
    <row r="1197" spans="1:16" x14ac:dyDescent="0.25">
      <c r="A1197" s="10"/>
      <c r="B1197" s="10"/>
      <c r="C1197" s="10"/>
      <c r="D1197" s="12"/>
      <c r="E1197" s="10"/>
      <c r="F1197" s="10"/>
      <c r="G1197" s="10"/>
      <c r="H1197" s="5"/>
      <c r="I1197" s="5"/>
      <c r="J1197" s="5"/>
      <c r="K1197" s="5"/>
      <c r="L1197" s="5"/>
      <c r="M1197" s="5"/>
      <c r="N1197" s="5"/>
      <c r="O1197" s="5"/>
      <c r="P1197" s="5"/>
    </row>
    <row r="1198" spans="1:16" x14ac:dyDescent="0.25">
      <c r="A1198" s="10"/>
      <c r="B1198" s="10"/>
      <c r="C1198" s="10"/>
      <c r="D1198" s="12"/>
      <c r="E1198" s="10"/>
      <c r="F1198" s="10"/>
      <c r="G1198" s="10"/>
      <c r="H1198" s="5"/>
      <c r="I1198" s="5"/>
      <c r="J1198" s="5"/>
      <c r="K1198" s="5"/>
      <c r="L1198" s="5"/>
      <c r="M1198" s="5"/>
      <c r="N1198" s="5"/>
      <c r="O1198" s="5"/>
      <c r="P1198" s="5"/>
    </row>
    <row r="1199" spans="1:16" x14ac:dyDescent="0.25">
      <c r="A1199" s="10"/>
      <c r="B1199" s="10"/>
      <c r="C1199" s="10"/>
      <c r="D1199" s="12"/>
      <c r="E1199" s="10"/>
      <c r="F1199" s="10"/>
      <c r="G1199" s="10"/>
      <c r="H1199" s="5"/>
      <c r="I1199" s="5"/>
      <c r="J1199" s="5"/>
      <c r="K1199" s="5"/>
      <c r="L1199" s="5"/>
      <c r="M1199" s="5"/>
      <c r="N1199" s="5"/>
      <c r="O1199" s="5"/>
      <c r="P1199" s="5"/>
    </row>
    <row r="1200" spans="1:16" x14ac:dyDescent="0.25">
      <c r="A1200" s="10"/>
      <c r="B1200" s="10"/>
      <c r="C1200" s="10"/>
      <c r="D1200" s="12"/>
      <c r="E1200" s="10"/>
      <c r="F1200" s="10"/>
      <c r="G1200" s="10"/>
      <c r="H1200" s="5"/>
      <c r="I1200" s="5"/>
      <c r="J1200" s="5"/>
      <c r="K1200" s="5"/>
      <c r="L1200" s="5"/>
      <c r="M1200" s="5"/>
      <c r="N1200" s="5"/>
      <c r="O1200" s="5"/>
      <c r="P1200" s="5"/>
    </row>
    <row r="1201" spans="1:16" x14ac:dyDescent="0.25">
      <c r="A1201" s="10"/>
      <c r="B1201" s="10"/>
      <c r="C1201" s="10"/>
      <c r="D1201" s="12"/>
      <c r="E1201" s="10"/>
      <c r="F1201" s="10"/>
      <c r="G1201" s="10"/>
      <c r="H1201" s="5"/>
      <c r="I1201" s="5"/>
      <c r="J1201" s="5"/>
      <c r="K1201" s="5"/>
      <c r="L1201" s="5"/>
      <c r="M1201" s="5"/>
      <c r="N1201" s="5"/>
      <c r="O1201" s="5"/>
      <c r="P1201" s="5"/>
    </row>
    <row r="1202" spans="1:16" x14ac:dyDescent="0.25">
      <c r="A1202" s="10"/>
      <c r="B1202" s="10"/>
      <c r="C1202" s="10"/>
      <c r="D1202" s="12"/>
      <c r="E1202" s="10"/>
      <c r="F1202" s="10"/>
      <c r="G1202" s="10"/>
      <c r="H1202" s="5"/>
      <c r="I1202" s="5"/>
      <c r="J1202" s="5"/>
      <c r="K1202" s="5"/>
      <c r="L1202" s="5"/>
      <c r="M1202" s="5"/>
      <c r="N1202" s="5"/>
      <c r="O1202" s="5"/>
      <c r="P1202" s="5"/>
    </row>
    <row r="1203" spans="1:16" x14ac:dyDescent="0.25">
      <c r="A1203" s="10"/>
      <c r="B1203" s="10"/>
      <c r="C1203" s="10"/>
      <c r="D1203" s="12"/>
      <c r="E1203" s="10"/>
      <c r="F1203" s="10"/>
      <c r="G1203" s="10"/>
      <c r="H1203" s="5"/>
      <c r="I1203" s="5"/>
      <c r="J1203" s="5"/>
      <c r="K1203" s="5"/>
      <c r="L1203" s="5"/>
      <c r="M1203" s="5"/>
      <c r="N1203" s="5"/>
      <c r="O1203" s="5"/>
      <c r="P1203" s="5"/>
    </row>
    <row r="1204" spans="1:16" x14ac:dyDescent="0.25">
      <c r="A1204" s="10"/>
      <c r="B1204" s="10"/>
      <c r="C1204" s="10"/>
      <c r="D1204" s="12"/>
      <c r="E1204" s="10"/>
      <c r="F1204" s="10"/>
      <c r="G1204" s="10"/>
      <c r="H1204" s="5"/>
      <c r="I1204" s="5"/>
      <c r="J1204" s="5"/>
      <c r="K1204" s="5"/>
      <c r="L1204" s="5"/>
      <c r="M1204" s="5"/>
      <c r="N1204" s="5"/>
      <c r="O1204" s="5"/>
      <c r="P1204" s="5"/>
    </row>
    <row r="1205" spans="1:16" x14ac:dyDescent="0.25">
      <c r="A1205" s="10"/>
      <c r="B1205" s="10"/>
      <c r="C1205" s="10"/>
      <c r="D1205" s="12"/>
      <c r="E1205" s="10"/>
      <c r="F1205" s="10"/>
      <c r="G1205" s="10"/>
      <c r="H1205" s="5"/>
      <c r="I1205" s="5"/>
      <c r="J1205" s="5"/>
      <c r="K1205" s="5"/>
      <c r="L1205" s="5"/>
      <c r="M1205" s="5"/>
      <c r="N1205" s="5"/>
      <c r="O1205" s="5"/>
      <c r="P1205" s="5"/>
    </row>
    <row r="1206" spans="1:16" x14ac:dyDescent="0.25">
      <c r="A1206" s="10"/>
      <c r="B1206" s="10"/>
      <c r="C1206" s="10"/>
      <c r="D1206" s="12"/>
      <c r="E1206" s="10"/>
      <c r="F1206" s="10"/>
      <c r="G1206" s="10"/>
      <c r="H1206" s="5"/>
      <c r="I1206" s="5"/>
      <c r="J1206" s="5"/>
      <c r="K1206" s="5"/>
      <c r="L1206" s="5"/>
      <c r="M1206" s="5"/>
      <c r="N1206" s="5"/>
      <c r="O1206" s="5"/>
      <c r="P1206" s="5"/>
    </row>
    <row r="1207" spans="1:16" x14ac:dyDescent="0.25">
      <c r="A1207" s="10"/>
      <c r="B1207" s="10"/>
      <c r="C1207" s="10"/>
      <c r="D1207" s="12"/>
      <c r="E1207" s="10"/>
      <c r="F1207" s="10"/>
      <c r="G1207" s="10"/>
      <c r="H1207" s="5"/>
      <c r="I1207" s="5"/>
      <c r="J1207" s="5"/>
      <c r="K1207" s="5"/>
      <c r="L1207" s="5"/>
      <c r="M1207" s="5"/>
      <c r="N1207" s="5"/>
      <c r="O1207" s="5"/>
      <c r="P1207" s="5"/>
    </row>
    <row r="1208" spans="1:16" x14ac:dyDescent="0.25">
      <c r="A1208" s="10"/>
      <c r="B1208" s="10"/>
      <c r="C1208" s="10"/>
      <c r="D1208" s="12"/>
      <c r="E1208" s="10"/>
      <c r="F1208" s="10"/>
      <c r="G1208" s="10"/>
      <c r="H1208" s="5"/>
      <c r="I1208" s="5"/>
      <c r="J1208" s="5"/>
      <c r="K1208" s="5"/>
      <c r="L1208" s="5"/>
      <c r="M1208" s="5"/>
      <c r="N1208" s="5"/>
      <c r="O1208" s="5"/>
      <c r="P1208" s="5"/>
    </row>
    <row r="1209" spans="1:16" x14ac:dyDescent="0.25">
      <c r="A1209" s="10"/>
      <c r="B1209" s="10"/>
      <c r="C1209" s="10"/>
      <c r="D1209" s="12"/>
      <c r="E1209" s="10"/>
      <c r="F1209" s="10"/>
      <c r="G1209" s="10"/>
      <c r="H1209" s="5"/>
      <c r="I1209" s="5"/>
      <c r="J1209" s="5"/>
      <c r="K1209" s="5"/>
      <c r="L1209" s="5"/>
      <c r="M1209" s="5"/>
      <c r="N1209" s="5"/>
      <c r="O1209" s="5"/>
      <c r="P1209" s="5"/>
    </row>
    <row r="1210" spans="1:16" x14ac:dyDescent="0.25">
      <c r="A1210" s="10"/>
      <c r="B1210" s="10"/>
      <c r="C1210" s="10"/>
      <c r="D1210" s="12"/>
      <c r="E1210" s="10"/>
      <c r="F1210" s="10"/>
      <c r="G1210" s="10"/>
      <c r="H1210" s="5"/>
      <c r="I1210" s="5"/>
      <c r="J1210" s="5"/>
      <c r="K1210" s="5"/>
      <c r="L1210" s="5"/>
      <c r="M1210" s="5"/>
      <c r="N1210" s="5"/>
      <c r="O1210" s="5"/>
      <c r="P1210" s="5"/>
    </row>
    <row r="1211" spans="1:16" x14ac:dyDescent="0.25">
      <c r="A1211" s="10"/>
      <c r="B1211" s="10"/>
      <c r="C1211" s="10"/>
      <c r="D1211" s="12"/>
      <c r="E1211" s="10"/>
      <c r="F1211" s="10"/>
      <c r="G1211" s="10"/>
      <c r="H1211" s="5"/>
      <c r="I1211" s="5"/>
      <c r="J1211" s="5"/>
      <c r="K1211" s="5"/>
      <c r="L1211" s="5"/>
      <c r="M1211" s="5"/>
      <c r="N1211" s="5"/>
      <c r="O1211" s="5"/>
      <c r="P1211" s="5"/>
    </row>
    <row r="1212" spans="1:16" x14ac:dyDescent="0.25">
      <c r="A1212" s="10"/>
      <c r="B1212" s="10"/>
      <c r="C1212" s="10"/>
      <c r="D1212" s="12"/>
      <c r="E1212" s="10"/>
      <c r="F1212" s="10"/>
      <c r="G1212" s="10"/>
      <c r="H1212" s="5"/>
      <c r="I1212" s="5"/>
      <c r="J1212" s="5"/>
      <c r="K1212" s="5"/>
      <c r="L1212" s="5"/>
      <c r="M1212" s="5"/>
      <c r="N1212" s="5"/>
      <c r="O1212" s="5"/>
      <c r="P1212" s="5"/>
    </row>
    <row r="1213" spans="1:16" x14ac:dyDescent="0.25">
      <c r="A1213" s="10"/>
      <c r="B1213" s="10"/>
      <c r="C1213" s="10"/>
      <c r="D1213" s="12"/>
      <c r="E1213" s="10"/>
      <c r="F1213" s="10"/>
      <c r="G1213" s="10"/>
      <c r="H1213" s="5"/>
      <c r="I1213" s="5"/>
      <c r="J1213" s="5"/>
      <c r="K1213" s="5"/>
      <c r="L1213" s="5"/>
      <c r="M1213" s="5"/>
      <c r="N1213" s="5"/>
      <c r="O1213" s="5"/>
      <c r="P1213" s="5"/>
    </row>
    <row r="1214" spans="1:16" x14ac:dyDescent="0.25">
      <c r="A1214" s="10"/>
      <c r="B1214" s="10"/>
      <c r="C1214" s="10"/>
      <c r="D1214" s="12"/>
      <c r="E1214" s="10"/>
      <c r="F1214" s="10"/>
      <c r="G1214" s="10"/>
      <c r="H1214" s="5"/>
      <c r="I1214" s="5"/>
      <c r="J1214" s="5"/>
      <c r="K1214" s="5"/>
      <c r="L1214" s="5"/>
      <c r="M1214" s="5"/>
      <c r="N1214" s="5"/>
      <c r="O1214" s="5"/>
      <c r="P1214" s="5"/>
    </row>
    <row r="1215" spans="1:16" x14ac:dyDescent="0.25">
      <c r="A1215" s="10"/>
      <c r="B1215" s="10"/>
      <c r="C1215" s="10"/>
      <c r="D1215" s="12"/>
      <c r="E1215" s="10"/>
      <c r="F1215" s="10"/>
      <c r="G1215" s="10"/>
      <c r="H1215" s="5"/>
      <c r="I1215" s="5"/>
      <c r="J1215" s="5"/>
      <c r="K1215" s="5"/>
      <c r="L1215" s="5"/>
      <c r="M1215" s="5"/>
      <c r="N1215" s="5"/>
      <c r="O1215" s="5"/>
      <c r="P1215" s="5"/>
    </row>
    <row r="1216" spans="1:16" x14ac:dyDescent="0.25">
      <c r="A1216" s="10"/>
      <c r="B1216" s="10"/>
      <c r="C1216" s="10"/>
      <c r="D1216" s="12"/>
      <c r="E1216" s="10"/>
      <c r="F1216" s="10"/>
      <c r="G1216" s="10"/>
      <c r="H1216" s="5"/>
      <c r="I1216" s="5"/>
      <c r="J1216" s="5"/>
      <c r="K1216" s="5"/>
      <c r="L1216" s="5"/>
      <c r="M1216" s="5"/>
      <c r="N1216" s="5"/>
      <c r="O1216" s="5"/>
      <c r="P1216" s="5"/>
    </row>
    <row r="1217" spans="1:16" x14ac:dyDescent="0.25">
      <c r="A1217" s="10"/>
      <c r="B1217" s="10"/>
      <c r="C1217" s="10"/>
      <c r="D1217" s="12"/>
      <c r="E1217" s="10"/>
      <c r="F1217" s="10"/>
      <c r="G1217" s="10"/>
      <c r="H1217" s="5"/>
      <c r="I1217" s="5"/>
      <c r="J1217" s="5"/>
      <c r="K1217" s="5"/>
      <c r="L1217" s="5"/>
      <c r="M1217" s="5"/>
      <c r="N1217" s="5"/>
      <c r="O1217" s="5"/>
      <c r="P1217" s="5"/>
    </row>
    <row r="1218" spans="1:16" x14ac:dyDescent="0.25">
      <c r="A1218" s="10"/>
      <c r="B1218" s="10"/>
      <c r="C1218" s="10"/>
      <c r="D1218" s="12"/>
      <c r="E1218" s="10"/>
      <c r="F1218" s="10"/>
      <c r="G1218" s="10"/>
      <c r="H1218" s="5"/>
      <c r="I1218" s="5"/>
      <c r="J1218" s="5"/>
      <c r="K1218" s="5"/>
      <c r="L1218" s="5"/>
      <c r="M1218" s="5"/>
      <c r="N1218" s="5"/>
      <c r="O1218" s="5"/>
      <c r="P1218" s="5"/>
    </row>
    <row r="1219" spans="1:16" x14ac:dyDescent="0.25">
      <c r="A1219" s="10"/>
      <c r="B1219" s="10"/>
      <c r="C1219" s="10"/>
      <c r="D1219" s="12"/>
      <c r="E1219" s="10"/>
      <c r="F1219" s="10"/>
      <c r="G1219" s="10"/>
      <c r="H1219" s="5"/>
      <c r="I1219" s="5"/>
      <c r="J1219" s="5"/>
      <c r="K1219" s="5"/>
      <c r="L1219" s="5"/>
      <c r="M1219" s="5"/>
      <c r="N1219" s="5"/>
      <c r="O1219" s="5"/>
      <c r="P1219" s="5"/>
    </row>
    <row r="1220" spans="1:16" x14ac:dyDescent="0.25">
      <c r="A1220" s="10"/>
      <c r="B1220" s="10"/>
      <c r="C1220" s="10"/>
      <c r="D1220" s="12"/>
      <c r="E1220" s="10"/>
      <c r="F1220" s="10"/>
      <c r="G1220" s="10"/>
      <c r="H1220" s="5"/>
      <c r="I1220" s="5"/>
      <c r="J1220" s="5"/>
      <c r="K1220" s="5"/>
      <c r="L1220" s="5"/>
      <c r="M1220" s="5"/>
      <c r="N1220" s="5"/>
      <c r="O1220" s="5"/>
      <c r="P1220" s="5"/>
    </row>
    <row r="1221" spans="1:16" x14ac:dyDescent="0.25">
      <c r="A1221" s="10"/>
      <c r="B1221" s="10"/>
      <c r="C1221" s="10"/>
      <c r="D1221" s="12"/>
      <c r="E1221" s="10"/>
      <c r="F1221" s="10"/>
      <c r="G1221" s="10"/>
      <c r="H1221" s="5"/>
      <c r="I1221" s="5"/>
      <c r="J1221" s="5"/>
      <c r="K1221" s="5"/>
      <c r="L1221" s="5"/>
      <c r="M1221" s="5"/>
      <c r="N1221" s="5"/>
      <c r="O1221" s="5"/>
      <c r="P1221" s="5"/>
    </row>
    <row r="1222" spans="1:16" x14ac:dyDescent="0.25">
      <c r="A1222" s="10"/>
      <c r="B1222" s="10"/>
      <c r="C1222" s="10"/>
      <c r="D1222" s="12"/>
      <c r="E1222" s="10"/>
      <c r="F1222" s="10"/>
      <c r="G1222" s="10"/>
      <c r="H1222" s="5"/>
      <c r="I1222" s="5"/>
      <c r="J1222" s="5"/>
      <c r="K1222" s="5"/>
      <c r="L1222" s="5"/>
      <c r="M1222" s="5"/>
      <c r="N1222" s="5"/>
      <c r="O1222" s="5"/>
      <c r="P1222" s="5"/>
    </row>
    <row r="1223" spans="1:16" x14ac:dyDescent="0.25">
      <c r="A1223" s="10"/>
      <c r="B1223" s="10"/>
      <c r="C1223" s="10"/>
      <c r="D1223" s="12"/>
      <c r="E1223" s="10"/>
      <c r="F1223" s="10"/>
      <c r="G1223" s="10"/>
      <c r="H1223" s="5"/>
      <c r="I1223" s="5"/>
      <c r="J1223" s="5"/>
      <c r="K1223" s="5"/>
      <c r="L1223" s="5"/>
      <c r="M1223" s="5"/>
      <c r="N1223" s="5"/>
      <c r="O1223" s="5"/>
      <c r="P1223" s="5"/>
    </row>
    <row r="1224" spans="1:16" x14ac:dyDescent="0.25">
      <c r="A1224" s="10"/>
      <c r="B1224" s="10"/>
      <c r="C1224" s="10"/>
      <c r="D1224" s="12"/>
      <c r="E1224" s="10"/>
      <c r="F1224" s="10"/>
      <c r="G1224" s="10"/>
      <c r="H1224" s="5"/>
      <c r="I1224" s="5"/>
      <c r="J1224" s="5"/>
      <c r="K1224" s="5"/>
      <c r="L1224" s="5"/>
      <c r="M1224" s="5"/>
      <c r="N1224" s="5"/>
      <c r="O1224" s="5"/>
      <c r="P1224" s="5"/>
    </row>
    <row r="1225" spans="1:16" x14ac:dyDescent="0.25">
      <c r="A1225" s="10"/>
      <c r="B1225" s="10"/>
      <c r="C1225" s="10"/>
      <c r="D1225" s="12"/>
      <c r="E1225" s="10"/>
      <c r="F1225" s="10"/>
      <c r="G1225" s="10"/>
      <c r="H1225" s="5"/>
      <c r="I1225" s="5"/>
      <c r="J1225" s="5"/>
      <c r="K1225" s="5"/>
      <c r="L1225" s="5"/>
      <c r="M1225" s="5"/>
      <c r="N1225" s="5"/>
      <c r="O1225" s="5"/>
      <c r="P1225" s="5"/>
    </row>
    <row r="1226" spans="1:16" x14ac:dyDescent="0.25">
      <c r="A1226" s="10"/>
      <c r="B1226" s="10"/>
      <c r="C1226" s="10"/>
      <c r="D1226" s="12"/>
      <c r="E1226" s="10"/>
      <c r="F1226" s="10"/>
      <c r="G1226" s="10"/>
      <c r="H1226" s="5"/>
      <c r="I1226" s="5"/>
      <c r="J1226" s="5"/>
      <c r="K1226" s="5"/>
      <c r="L1226" s="5"/>
      <c r="M1226" s="5"/>
      <c r="N1226" s="5"/>
      <c r="O1226" s="5"/>
      <c r="P1226" s="5"/>
    </row>
    <row r="1227" spans="1:16" x14ac:dyDescent="0.25">
      <c r="A1227" s="10"/>
      <c r="B1227" s="10"/>
      <c r="C1227" s="10"/>
      <c r="D1227" s="12"/>
      <c r="E1227" s="10"/>
      <c r="F1227" s="10"/>
      <c r="G1227" s="10"/>
      <c r="H1227" s="5"/>
      <c r="I1227" s="5"/>
      <c r="J1227" s="5"/>
      <c r="K1227" s="5"/>
      <c r="L1227" s="5"/>
      <c r="M1227" s="5"/>
      <c r="N1227" s="5"/>
      <c r="O1227" s="5"/>
      <c r="P1227" s="5"/>
    </row>
    <row r="1228" spans="1:16" x14ac:dyDescent="0.25">
      <c r="A1228" s="10"/>
      <c r="B1228" s="10"/>
      <c r="C1228" s="10"/>
      <c r="D1228" s="12"/>
      <c r="E1228" s="10"/>
      <c r="F1228" s="10"/>
      <c r="G1228" s="10"/>
      <c r="H1228" s="5"/>
      <c r="I1228" s="5"/>
      <c r="J1228" s="5"/>
      <c r="K1228" s="5"/>
      <c r="L1228" s="5"/>
      <c r="M1228" s="5"/>
      <c r="N1228" s="5"/>
      <c r="O1228" s="5"/>
      <c r="P1228" s="5"/>
    </row>
    <row r="1229" spans="1:16" x14ac:dyDescent="0.25">
      <c r="A1229" s="10"/>
      <c r="B1229" s="10"/>
      <c r="C1229" s="10"/>
      <c r="D1229" s="12"/>
      <c r="E1229" s="10"/>
      <c r="F1229" s="10"/>
      <c r="G1229" s="10"/>
      <c r="H1229" s="5"/>
      <c r="I1229" s="5"/>
      <c r="J1229" s="5"/>
      <c r="K1229" s="5"/>
      <c r="L1229" s="5"/>
      <c r="M1229" s="5"/>
      <c r="N1229" s="5"/>
      <c r="O1229" s="5"/>
      <c r="P1229" s="5"/>
    </row>
    <row r="1230" spans="1:16" x14ac:dyDescent="0.25">
      <c r="A1230" s="10"/>
      <c r="B1230" s="10"/>
      <c r="C1230" s="10"/>
      <c r="D1230" s="12"/>
      <c r="E1230" s="10"/>
      <c r="F1230" s="10"/>
      <c r="G1230" s="10"/>
      <c r="H1230" s="5"/>
      <c r="I1230" s="5"/>
      <c r="J1230" s="5"/>
      <c r="K1230" s="5"/>
      <c r="L1230" s="5"/>
      <c r="M1230" s="5"/>
      <c r="N1230" s="5"/>
      <c r="O1230" s="5"/>
      <c r="P1230" s="5"/>
    </row>
    <row r="1231" spans="1:16" x14ac:dyDescent="0.25">
      <c r="A1231" s="10"/>
      <c r="B1231" s="10"/>
      <c r="C1231" s="10"/>
      <c r="D1231" s="12"/>
      <c r="E1231" s="10"/>
      <c r="F1231" s="10"/>
      <c r="G1231" s="10"/>
      <c r="H1231" s="5"/>
      <c r="I1231" s="5"/>
      <c r="J1231" s="5"/>
      <c r="K1231" s="5"/>
      <c r="L1231" s="5"/>
      <c r="M1231" s="5"/>
      <c r="N1231" s="5"/>
      <c r="O1231" s="5"/>
      <c r="P1231" s="5"/>
    </row>
    <row r="1232" spans="1:16" x14ac:dyDescent="0.25">
      <c r="A1232" s="10"/>
      <c r="B1232" s="10"/>
      <c r="C1232" s="10"/>
      <c r="D1232" s="12"/>
      <c r="E1232" s="10"/>
      <c r="F1232" s="10"/>
      <c r="G1232" s="10"/>
      <c r="H1232" s="5"/>
      <c r="I1232" s="5"/>
      <c r="J1232" s="5"/>
      <c r="K1232" s="5"/>
      <c r="L1232" s="5"/>
      <c r="M1232" s="5"/>
      <c r="N1232" s="5"/>
      <c r="O1232" s="5"/>
      <c r="P1232" s="5"/>
    </row>
    <row r="1233" spans="1:16" x14ac:dyDescent="0.25">
      <c r="A1233" s="10"/>
      <c r="B1233" s="10"/>
      <c r="C1233" s="10"/>
      <c r="D1233" s="12"/>
      <c r="E1233" s="10"/>
      <c r="F1233" s="10"/>
      <c r="G1233" s="10"/>
      <c r="H1233" s="5"/>
      <c r="I1233" s="5"/>
      <c r="J1233" s="5"/>
      <c r="K1233" s="5"/>
      <c r="L1233" s="5"/>
      <c r="M1233" s="5"/>
      <c r="N1233" s="5"/>
      <c r="O1233" s="5"/>
      <c r="P1233" s="5"/>
    </row>
    <row r="1234" spans="1:16" x14ac:dyDescent="0.25">
      <c r="A1234" s="10"/>
      <c r="B1234" s="10"/>
      <c r="C1234" s="10"/>
      <c r="D1234" s="12"/>
      <c r="E1234" s="10"/>
      <c r="F1234" s="10"/>
      <c r="G1234" s="10"/>
      <c r="H1234" s="5"/>
      <c r="I1234" s="5"/>
      <c r="J1234" s="5"/>
      <c r="K1234" s="5"/>
      <c r="L1234" s="5"/>
      <c r="M1234" s="5"/>
      <c r="N1234" s="5"/>
      <c r="O1234" s="5"/>
      <c r="P1234" s="5"/>
    </row>
    <row r="1235" spans="1:16" x14ac:dyDescent="0.25">
      <c r="A1235" s="10"/>
      <c r="B1235" s="10"/>
      <c r="C1235" s="10"/>
      <c r="D1235" s="12"/>
      <c r="E1235" s="10"/>
      <c r="F1235" s="10"/>
      <c r="G1235" s="10"/>
      <c r="H1235" s="5"/>
      <c r="I1235" s="5"/>
      <c r="J1235" s="5"/>
      <c r="K1235" s="5"/>
      <c r="L1235" s="5"/>
      <c r="M1235" s="5"/>
      <c r="N1235" s="5"/>
      <c r="O1235" s="5"/>
      <c r="P1235" s="5"/>
    </row>
    <row r="1236" spans="1:16" x14ac:dyDescent="0.25">
      <c r="A1236" s="10"/>
      <c r="B1236" s="10"/>
      <c r="C1236" s="10"/>
      <c r="D1236" s="12"/>
      <c r="E1236" s="10"/>
      <c r="F1236" s="10"/>
      <c r="G1236" s="10"/>
      <c r="H1236" s="5"/>
      <c r="I1236" s="5"/>
      <c r="J1236" s="5"/>
      <c r="K1236" s="5"/>
      <c r="L1236" s="5"/>
      <c r="M1236" s="5"/>
      <c r="N1236" s="5"/>
      <c r="O1236" s="5"/>
      <c r="P1236" s="5"/>
    </row>
    <row r="1237" spans="1:16" x14ac:dyDescent="0.25">
      <c r="A1237" s="10"/>
      <c r="B1237" s="10"/>
      <c r="C1237" s="10"/>
      <c r="D1237" s="12"/>
      <c r="E1237" s="10"/>
      <c r="F1237" s="10"/>
      <c r="G1237" s="10"/>
      <c r="H1237" s="5"/>
      <c r="I1237" s="5"/>
      <c r="J1237" s="5"/>
      <c r="K1237" s="5"/>
      <c r="L1237" s="5"/>
      <c r="M1237" s="5"/>
      <c r="N1237" s="5"/>
      <c r="O1237" s="5"/>
      <c r="P1237" s="5"/>
    </row>
    <row r="1238" spans="1:16" x14ac:dyDescent="0.25">
      <c r="A1238" s="10"/>
      <c r="B1238" s="10"/>
      <c r="C1238" s="10"/>
      <c r="D1238" s="12"/>
      <c r="E1238" s="10"/>
      <c r="F1238" s="10"/>
      <c r="G1238" s="10"/>
      <c r="H1238" s="5"/>
      <c r="I1238" s="5"/>
      <c r="J1238" s="5"/>
      <c r="K1238" s="5"/>
      <c r="L1238" s="5"/>
      <c r="M1238" s="5"/>
      <c r="N1238" s="5"/>
      <c r="O1238" s="5"/>
      <c r="P1238" s="5"/>
    </row>
    <row r="1239" spans="1:16" x14ac:dyDescent="0.25">
      <c r="A1239" s="10"/>
      <c r="B1239" s="10"/>
      <c r="C1239" s="10"/>
      <c r="D1239" s="12"/>
      <c r="E1239" s="10"/>
      <c r="F1239" s="10"/>
      <c r="G1239" s="10"/>
      <c r="H1239" s="5"/>
      <c r="I1239" s="5"/>
      <c r="J1239" s="5"/>
      <c r="K1239" s="5"/>
      <c r="L1239" s="5"/>
      <c r="M1239" s="5"/>
      <c r="N1239" s="5"/>
      <c r="O1239" s="5"/>
      <c r="P1239" s="5"/>
    </row>
    <row r="1240" spans="1:16" x14ac:dyDescent="0.25">
      <c r="A1240" s="10"/>
      <c r="B1240" s="10"/>
      <c r="C1240" s="10"/>
      <c r="D1240" s="12"/>
      <c r="E1240" s="10"/>
      <c r="F1240" s="10"/>
      <c r="G1240" s="10"/>
      <c r="H1240" s="5"/>
      <c r="I1240" s="5"/>
      <c r="J1240" s="5"/>
      <c r="K1240" s="5"/>
      <c r="L1240" s="5"/>
      <c r="M1240" s="5"/>
      <c r="N1240" s="5"/>
      <c r="O1240" s="5"/>
      <c r="P1240" s="5"/>
    </row>
    <row r="1241" spans="1:16" x14ac:dyDescent="0.25">
      <c r="A1241" s="10"/>
      <c r="B1241" s="10"/>
      <c r="C1241" s="10"/>
      <c r="D1241" s="12"/>
      <c r="E1241" s="10"/>
      <c r="F1241" s="10"/>
      <c r="G1241" s="10"/>
      <c r="H1241" s="5"/>
      <c r="I1241" s="5"/>
      <c r="J1241" s="5"/>
      <c r="K1241" s="5"/>
      <c r="L1241" s="5"/>
      <c r="M1241" s="5"/>
      <c r="N1241" s="5"/>
      <c r="O1241" s="5"/>
      <c r="P1241" s="5"/>
    </row>
    <row r="1242" spans="1:16" x14ac:dyDescent="0.25">
      <c r="A1242" s="10"/>
      <c r="B1242" s="10"/>
      <c r="C1242" s="10"/>
      <c r="D1242" s="12"/>
      <c r="E1242" s="10"/>
      <c r="F1242" s="10"/>
      <c r="G1242" s="10"/>
      <c r="H1242" s="5"/>
      <c r="I1242" s="5"/>
      <c r="J1242" s="5"/>
      <c r="K1242" s="5"/>
      <c r="L1242" s="5"/>
      <c r="M1242" s="5"/>
      <c r="N1242" s="5"/>
      <c r="O1242" s="5"/>
      <c r="P1242" s="5"/>
    </row>
    <row r="1243" spans="1:16" x14ac:dyDescent="0.25">
      <c r="A1243" s="10"/>
      <c r="B1243" s="10"/>
      <c r="C1243" s="10"/>
      <c r="D1243" s="12"/>
      <c r="E1243" s="10"/>
      <c r="F1243" s="10"/>
      <c r="G1243" s="10"/>
      <c r="H1243" s="5"/>
      <c r="I1243" s="5"/>
      <c r="J1243" s="5"/>
      <c r="K1243" s="5"/>
      <c r="L1243" s="5"/>
      <c r="M1243" s="5"/>
      <c r="N1243" s="5"/>
      <c r="O1243" s="5"/>
      <c r="P1243" s="5"/>
    </row>
    <row r="1244" spans="1:16" x14ac:dyDescent="0.25">
      <c r="A1244" s="10"/>
      <c r="B1244" s="10"/>
      <c r="C1244" s="10"/>
      <c r="D1244" s="12"/>
      <c r="E1244" s="10"/>
      <c r="F1244" s="10"/>
      <c r="G1244" s="10"/>
      <c r="H1244" s="5"/>
      <c r="I1244" s="5"/>
      <c r="J1244" s="5"/>
      <c r="K1244" s="5"/>
      <c r="L1244" s="5"/>
      <c r="M1244" s="5"/>
      <c r="N1244" s="5"/>
      <c r="O1244" s="5"/>
      <c r="P1244" s="5"/>
    </row>
    <row r="1245" spans="1:16" x14ac:dyDescent="0.25">
      <c r="A1245" s="10"/>
      <c r="B1245" s="10"/>
      <c r="C1245" s="10"/>
      <c r="D1245" s="12"/>
      <c r="E1245" s="10"/>
      <c r="F1245" s="10"/>
      <c r="G1245" s="10"/>
      <c r="H1245" s="5"/>
      <c r="I1245" s="5"/>
      <c r="J1245" s="5"/>
      <c r="K1245" s="5"/>
      <c r="L1245" s="5"/>
      <c r="M1245" s="5"/>
      <c r="N1245" s="5"/>
      <c r="O1245" s="5"/>
      <c r="P1245" s="5"/>
    </row>
    <row r="1246" spans="1:16" x14ac:dyDescent="0.25">
      <c r="A1246" s="10"/>
      <c r="B1246" s="10"/>
      <c r="C1246" s="10"/>
      <c r="D1246" s="12"/>
      <c r="E1246" s="10"/>
      <c r="F1246" s="10"/>
      <c r="G1246" s="10"/>
      <c r="H1246" s="5"/>
      <c r="I1246" s="5"/>
      <c r="J1246" s="5"/>
      <c r="K1246" s="5"/>
      <c r="L1246" s="5"/>
      <c r="M1246" s="5"/>
      <c r="N1246" s="5"/>
      <c r="O1246" s="5"/>
      <c r="P1246" s="5"/>
    </row>
    <row r="1247" spans="1:16" x14ac:dyDescent="0.25">
      <c r="A1247" s="10"/>
      <c r="B1247" s="10"/>
      <c r="C1247" s="10"/>
      <c r="D1247" s="12"/>
      <c r="E1247" s="10"/>
      <c r="F1247" s="10"/>
      <c r="G1247" s="10"/>
      <c r="H1247" s="5"/>
      <c r="I1247" s="5"/>
      <c r="J1247" s="5"/>
      <c r="K1247" s="5"/>
      <c r="L1247" s="5"/>
      <c r="M1247" s="5"/>
      <c r="N1247" s="5"/>
      <c r="O1247" s="5"/>
      <c r="P1247" s="5"/>
    </row>
    <row r="1248" spans="1:16" x14ac:dyDescent="0.25">
      <c r="A1248" s="10"/>
      <c r="B1248" s="10"/>
      <c r="C1248" s="10"/>
      <c r="D1248" s="12"/>
      <c r="E1248" s="10"/>
      <c r="F1248" s="10"/>
      <c r="G1248" s="10"/>
      <c r="H1248" s="5"/>
      <c r="I1248" s="5"/>
      <c r="J1248" s="5"/>
      <c r="K1248" s="5"/>
      <c r="L1248" s="5"/>
      <c r="M1248" s="5"/>
      <c r="N1248" s="5"/>
      <c r="O1248" s="5"/>
      <c r="P1248" s="5"/>
    </row>
    <row r="1249" spans="1:16" x14ac:dyDescent="0.25">
      <c r="A1249" s="10"/>
      <c r="B1249" s="10"/>
      <c r="C1249" s="10"/>
      <c r="D1249" s="12"/>
      <c r="E1249" s="10"/>
      <c r="F1249" s="10"/>
      <c r="G1249" s="10"/>
      <c r="H1249" s="5"/>
      <c r="I1249" s="5"/>
      <c r="J1249" s="5"/>
      <c r="K1249" s="5"/>
      <c r="L1249" s="5"/>
      <c r="M1249" s="5"/>
      <c r="N1249" s="5"/>
      <c r="O1249" s="5"/>
      <c r="P1249" s="5"/>
    </row>
    <row r="1250" spans="1:16" x14ac:dyDescent="0.25">
      <c r="A1250" s="10"/>
      <c r="B1250" s="10"/>
      <c r="C1250" s="10"/>
      <c r="D1250" s="12"/>
      <c r="E1250" s="10"/>
      <c r="F1250" s="10"/>
      <c r="G1250" s="10"/>
      <c r="H1250" s="5"/>
      <c r="I1250" s="5"/>
      <c r="J1250" s="5"/>
      <c r="K1250" s="5"/>
      <c r="L1250" s="5"/>
      <c r="M1250" s="5"/>
      <c r="N1250" s="5"/>
      <c r="O1250" s="5"/>
      <c r="P1250" s="5"/>
    </row>
    <row r="1251" spans="1:16" x14ac:dyDescent="0.25">
      <c r="A1251" s="10"/>
      <c r="B1251" s="10"/>
      <c r="C1251" s="10"/>
      <c r="D1251" s="12"/>
      <c r="E1251" s="10"/>
      <c r="F1251" s="10"/>
      <c r="G1251" s="10"/>
      <c r="H1251" s="5"/>
      <c r="I1251" s="5"/>
      <c r="J1251" s="5"/>
      <c r="K1251" s="5"/>
      <c r="L1251" s="5"/>
      <c r="M1251" s="5"/>
      <c r="N1251" s="5"/>
      <c r="O1251" s="5"/>
      <c r="P1251" s="5"/>
    </row>
    <row r="1252" spans="1:16" x14ac:dyDescent="0.25">
      <c r="A1252" s="10"/>
      <c r="B1252" s="10"/>
      <c r="C1252" s="10"/>
      <c r="D1252" s="12"/>
      <c r="E1252" s="10"/>
      <c r="F1252" s="10"/>
      <c r="G1252" s="10"/>
      <c r="H1252" s="5"/>
      <c r="I1252" s="5"/>
      <c r="J1252" s="5"/>
      <c r="K1252" s="5"/>
      <c r="L1252" s="5"/>
      <c r="M1252" s="5"/>
      <c r="N1252" s="5"/>
      <c r="O1252" s="5"/>
      <c r="P1252" s="5"/>
    </row>
    <row r="1253" spans="1:16" x14ac:dyDescent="0.25">
      <c r="A1253" s="10"/>
      <c r="B1253" s="10"/>
      <c r="C1253" s="10"/>
      <c r="D1253" s="12"/>
      <c r="E1253" s="10"/>
      <c r="F1253" s="10"/>
      <c r="G1253" s="10"/>
      <c r="H1253" s="5"/>
      <c r="I1253" s="5"/>
      <c r="J1253" s="5"/>
      <c r="K1253" s="5"/>
      <c r="L1253" s="5"/>
      <c r="M1253" s="5"/>
      <c r="N1253" s="5"/>
      <c r="O1253" s="5"/>
      <c r="P1253" s="5"/>
    </row>
    <row r="1254" spans="1:16" x14ac:dyDescent="0.25">
      <c r="A1254" s="10"/>
      <c r="B1254" s="10"/>
      <c r="C1254" s="10"/>
      <c r="D1254" s="12"/>
      <c r="E1254" s="10"/>
      <c r="F1254" s="10"/>
      <c r="G1254" s="10"/>
      <c r="H1254" s="5"/>
      <c r="I1254" s="5"/>
      <c r="J1254" s="5"/>
      <c r="K1254" s="5"/>
      <c r="L1254" s="5"/>
      <c r="M1254" s="5"/>
      <c r="N1254" s="5"/>
      <c r="O1254" s="5"/>
      <c r="P1254" s="5"/>
    </row>
    <row r="1255" spans="1:16" x14ac:dyDescent="0.25">
      <c r="A1255" s="10"/>
      <c r="B1255" s="10"/>
      <c r="C1255" s="10"/>
      <c r="D1255" s="12"/>
      <c r="E1255" s="10"/>
      <c r="F1255" s="10"/>
      <c r="G1255" s="10"/>
      <c r="H1255" s="5"/>
      <c r="I1255" s="5"/>
      <c r="J1255" s="5"/>
      <c r="K1255" s="5"/>
      <c r="L1255" s="5"/>
      <c r="M1255" s="5"/>
      <c r="N1255" s="5"/>
      <c r="O1255" s="5"/>
      <c r="P1255" s="5"/>
    </row>
    <row r="1256" spans="1:16" x14ac:dyDescent="0.25">
      <c r="A1256" s="10"/>
      <c r="B1256" s="10"/>
      <c r="C1256" s="10"/>
      <c r="D1256" s="12"/>
      <c r="E1256" s="10"/>
      <c r="F1256" s="10"/>
      <c r="G1256" s="10"/>
      <c r="H1256" s="5"/>
      <c r="I1256" s="5"/>
      <c r="J1256" s="5"/>
      <c r="K1256" s="5"/>
      <c r="L1256" s="5"/>
      <c r="M1256" s="5"/>
      <c r="N1256" s="5"/>
      <c r="O1256" s="5"/>
      <c r="P1256" s="5"/>
    </row>
    <row r="1257" spans="1:16" x14ac:dyDescent="0.25">
      <c r="A1257" s="10"/>
      <c r="B1257" s="10"/>
      <c r="C1257" s="10"/>
      <c r="D1257" s="12"/>
      <c r="E1257" s="10"/>
      <c r="F1257" s="10"/>
      <c r="G1257" s="10"/>
      <c r="H1257" s="5"/>
      <c r="I1257" s="5"/>
      <c r="J1257" s="5"/>
      <c r="K1257" s="5"/>
      <c r="L1257" s="5"/>
      <c r="M1257" s="5"/>
      <c r="N1257" s="5"/>
      <c r="O1257" s="5"/>
      <c r="P1257" s="5"/>
    </row>
    <row r="1258" spans="1:16" x14ac:dyDescent="0.25">
      <c r="A1258" s="10"/>
      <c r="B1258" s="10"/>
      <c r="C1258" s="10"/>
      <c r="D1258" s="12"/>
      <c r="E1258" s="10"/>
      <c r="F1258" s="10"/>
      <c r="G1258" s="10"/>
      <c r="H1258" s="5"/>
      <c r="I1258" s="5"/>
      <c r="J1258" s="5"/>
      <c r="K1258" s="5"/>
      <c r="L1258" s="5"/>
      <c r="M1258" s="5"/>
      <c r="N1258" s="5"/>
      <c r="O1258" s="5"/>
      <c r="P1258" s="5"/>
    </row>
    <row r="1259" spans="1:16" x14ac:dyDescent="0.25">
      <c r="A1259" s="10"/>
      <c r="B1259" s="10"/>
      <c r="C1259" s="10"/>
      <c r="D1259" s="12"/>
      <c r="E1259" s="10"/>
      <c r="F1259" s="10"/>
      <c r="G1259" s="10"/>
      <c r="H1259" s="5"/>
      <c r="I1259" s="5"/>
      <c r="J1259" s="5"/>
      <c r="K1259" s="5"/>
      <c r="L1259" s="5"/>
      <c r="M1259" s="5"/>
      <c r="N1259" s="5"/>
      <c r="O1259" s="5"/>
      <c r="P1259" s="5"/>
    </row>
    <row r="1260" spans="1:16" x14ac:dyDescent="0.25">
      <c r="A1260" s="10"/>
      <c r="B1260" s="10"/>
      <c r="C1260" s="10"/>
      <c r="D1260" s="12"/>
      <c r="E1260" s="10"/>
      <c r="F1260" s="10"/>
      <c r="G1260" s="10"/>
      <c r="H1260" s="5"/>
      <c r="I1260" s="5"/>
      <c r="J1260" s="5"/>
      <c r="K1260" s="5"/>
      <c r="L1260" s="5"/>
      <c r="M1260" s="5"/>
      <c r="N1260" s="5"/>
      <c r="O1260" s="5"/>
      <c r="P1260" s="5"/>
    </row>
    <row r="1261" spans="1:16" x14ac:dyDescent="0.25">
      <c r="A1261" s="10"/>
      <c r="B1261" s="10"/>
      <c r="C1261" s="10"/>
      <c r="D1261" s="12"/>
      <c r="E1261" s="10"/>
      <c r="F1261" s="10"/>
      <c r="G1261" s="10"/>
      <c r="H1261" s="5"/>
      <c r="I1261" s="5"/>
      <c r="J1261" s="5"/>
      <c r="K1261" s="5"/>
      <c r="L1261" s="5"/>
      <c r="M1261" s="5"/>
      <c r="N1261" s="5"/>
      <c r="O1261" s="5"/>
      <c r="P1261" s="5"/>
    </row>
    <row r="1262" spans="1:16" x14ac:dyDescent="0.25">
      <c r="A1262" s="10"/>
      <c r="B1262" s="10"/>
      <c r="C1262" s="10"/>
      <c r="D1262" s="12"/>
      <c r="E1262" s="10"/>
      <c r="F1262" s="10"/>
      <c r="G1262" s="10"/>
      <c r="H1262" s="5"/>
      <c r="I1262" s="5"/>
      <c r="J1262" s="5"/>
      <c r="K1262" s="5"/>
      <c r="L1262" s="5"/>
      <c r="M1262" s="5"/>
      <c r="N1262" s="5"/>
      <c r="O1262" s="5"/>
      <c r="P1262" s="5"/>
    </row>
    <row r="1263" spans="1:16" x14ac:dyDescent="0.25">
      <c r="A1263" s="10"/>
      <c r="B1263" s="10"/>
      <c r="C1263" s="10"/>
      <c r="D1263" s="12"/>
      <c r="E1263" s="10"/>
      <c r="F1263" s="10"/>
      <c r="G1263" s="10"/>
      <c r="H1263" s="5"/>
      <c r="I1263" s="5"/>
      <c r="J1263" s="5"/>
      <c r="K1263" s="5"/>
      <c r="L1263" s="5"/>
      <c r="M1263" s="5"/>
      <c r="N1263" s="5"/>
      <c r="O1263" s="5"/>
      <c r="P1263" s="5"/>
    </row>
    <row r="1264" spans="1:16" x14ac:dyDescent="0.25">
      <c r="A1264" s="10"/>
      <c r="B1264" s="10"/>
      <c r="C1264" s="10"/>
      <c r="D1264" s="12"/>
      <c r="E1264" s="10"/>
      <c r="F1264" s="10"/>
      <c r="G1264" s="10"/>
      <c r="H1264" s="5"/>
      <c r="I1264" s="5"/>
      <c r="J1264" s="5"/>
      <c r="K1264" s="5"/>
      <c r="L1264" s="5"/>
      <c r="M1264" s="5"/>
      <c r="N1264" s="5"/>
      <c r="O1264" s="5"/>
      <c r="P1264" s="5"/>
    </row>
    <row r="1265" spans="1:16" x14ac:dyDescent="0.25">
      <c r="A1265" s="10"/>
      <c r="B1265" s="10"/>
      <c r="C1265" s="10"/>
      <c r="D1265" s="12"/>
      <c r="E1265" s="10"/>
      <c r="F1265" s="10"/>
      <c r="G1265" s="10"/>
      <c r="H1265" s="5"/>
      <c r="I1265" s="5"/>
      <c r="J1265" s="5"/>
      <c r="K1265" s="5"/>
      <c r="L1265" s="5"/>
      <c r="M1265" s="5"/>
      <c r="N1265" s="5"/>
      <c r="O1265" s="5"/>
      <c r="P1265" s="5"/>
    </row>
    <row r="1266" spans="1:16" x14ac:dyDescent="0.25">
      <c r="A1266" s="10"/>
      <c r="B1266" s="10"/>
      <c r="C1266" s="10"/>
      <c r="D1266" s="12"/>
      <c r="E1266" s="10"/>
      <c r="F1266" s="10"/>
      <c r="G1266" s="10"/>
      <c r="H1266" s="5"/>
      <c r="I1266" s="5"/>
      <c r="J1266" s="5"/>
      <c r="K1266" s="5"/>
      <c r="L1266" s="5"/>
      <c r="M1266" s="5"/>
      <c r="N1266" s="5"/>
      <c r="O1266" s="5"/>
      <c r="P1266" s="5"/>
    </row>
    <row r="1267" spans="1:16" x14ac:dyDescent="0.25">
      <c r="A1267" s="10"/>
      <c r="B1267" s="10"/>
      <c r="C1267" s="10"/>
      <c r="D1267" s="12"/>
      <c r="E1267" s="10"/>
      <c r="F1267" s="10"/>
      <c r="G1267" s="10"/>
      <c r="H1267" s="5"/>
      <c r="I1267" s="5"/>
      <c r="J1267" s="5"/>
      <c r="K1267" s="5"/>
      <c r="L1267" s="5"/>
      <c r="M1267" s="5"/>
      <c r="N1267" s="5"/>
      <c r="O1267" s="5"/>
      <c r="P1267" s="5"/>
    </row>
    <row r="1268" spans="1:16" x14ac:dyDescent="0.25">
      <c r="A1268" s="10"/>
      <c r="B1268" s="10"/>
      <c r="C1268" s="10"/>
      <c r="D1268" s="12"/>
      <c r="E1268" s="10"/>
      <c r="F1268" s="10"/>
      <c r="G1268" s="10"/>
      <c r="H1268" s="5"/>
      <c r="I1268" s="5"/>
      <c r="J1268" s="5"/>
      <c r="K1268" s="5"/>
      <c r="L1268" s="5"/>
      <c r="M1268" s="5"/>
      <c r="N1268" s="5"/>
      <c r="O1268" s="5"/>
      <c r="P1268" s="5"/>
    </row>
    <row r="1269" spans="1:16" x14ac:dyDescent="0.25">
      <c r="A1269" s="10"/>
      <c r="B1269" s="10"/>
      <c r="C1269" s="10"/>
      <c r="D1269" s="12"/>
      <c r="E1269" s="10"/>
      <c r="F1269" s="10"/>
      <c r="G1269" s="10"/>
      <c r="H1269" s="5"/>
      <c r="I1269" s="5"/>
      <c r="J1269" s="5"/>
      <c r="K1269" s="5"/>
      <c r="L1269" s="5"/>
      <c r="M1269" s="5"/>
      <c r="N1269" s="5"/>
      <c r="O1269" s="5"/>
      <c r="P1269" s="5"/>
    </row>
    <row r="1270" spans="1:16" x14ac:dyDescent="0.25">
      <c r="A1270" s="10"/>
      <c r="B1270" s="10"/>
      <c r="C1270" s="10"/>
      <c r="D1270" s="12"/>
      <c r="E1270" s="10"/>
      <c r="F1270" s="10"/>
      <c r="G1270" s="10"/>
      <c r="H1270" s="5"/>
      <c r="I1270" s="5"/>
      <c r="J1270" s="5"/>
      <c r="K1270" s="5"/>
      <c r="L1270" s="5"/>
      <c r="M1270" s="5"/>
      <c r="N1270" s="5"/>
      <c r="O1270" s="5"/>
      <c r="P1270" s="5"/>
    </row>
    <row r="1271" spans="1:16" x14ac:dyDescent="0.25">
      <c r="A1271" s="10"/>
      <c r="B1271" s="10"/>
      <c r="C1271" s="10"/>
      <c r="D1271" s="12"/>
      <c r="E1271" s="10"/>
      <c r="F1271" s="10"/>
      <c r="G1271" s="10"/>
      <c r="H1271" s="5"/>
      <c r="I1271" s="5"/>
      <c r="J1271" s="5"/>
      <c r="K1271" s="5"/>
      <c r="L1271" s="5"/>
      <c r="M1271" s="5"/>
      <c r="N1271" s="5"/>
      <c r="O1271" s="5"/>
      <c r="P1271" s="5"/>
    </row>
    <row r="1272" spans="1:16" x14ac:dyDescent="0.25">
      <c r="A1272" s="10"/>
      <c r="B1272" s="10"/>
      <c r="C1272" s="10"/>
      <c r="D1272" s="12"/>
      <c r="E1272" s="10"/>
      <c r="F1272" s="10"/>
      <c r="G1272" s="10"/>
      <c r="H1272" s="5"/>
      <c r="I1272" s="5"/>
      <c r="J1272" s="5"/>
      <c r="K1272" s="5"/>
      <c r="L1272" s="5"/>
      <c r="M1272" s="5"/>
      <c r="N1272" s="5"/>
      <c r="O1272" s="5"/>
      <c r="P1272" s="5"/>
    </row>
    <row r="1273" spans="1:16" x14ac:dyDescent="0.25">
      <c r="A1273" s="10"/>
      <c r="B1273" s="10"/>
      <c r="C1273" s="10"/>
      <c r="D1273" s="12"/>
      <c r="E1273" s="10"/>
      <c r="F1273" s="10"/>
      <c r="G1273" s="10"/>
      <c r="H1273" s="5"/>
      <c r="I1273" s="5"/>
      <c r="J1273" s="5"/>
      <c r="K1273" s="5"/>
      <c r="L1273" s="5"/>
      <c r="M1273" s="5"/>
      <c r="N1273" s="5"/>
      <c r="O1273" s="5"/>
      <c r="P1273" s="5"/>
    </row>
    <row r="1274" spans="1:16" x14ac:dyDescent="0.25">
      <c r="A1274" s="10"/>
      <c r="B1274" s="10"/>
      <c r="C1274" s="10"/>
      <c r="D1274" s="12"/>
      <c r="E1274" s="10"/>
      <c r="F1274" s="10"/>
      <c r="G1274" s="10"/>
      <c r="H1274" s="5"/>
      <c r="I1274" s="5"/>
      <c r="J1274" s="5"/>
      <c r="K1274" s="5"/>
      <c r="L1274" s="5"/>
      <c r="M1274" s="5"/>
      <c r="N1274" s="5"/>
      <c r="O1274" s="5"/>
      <c r="P1274" s="5"/>
    </row>
    <row r="1275" spans="1:16" x14ac:dyDescent="0.25">
      <c r="A1275" s="10"/>
      <c r="B1275" s="10"/>
      <c r="C1275" s="10"/>
      <c r="D1275" s="12"/>
      <c r="E1275" s="10"/>
      <c r="F1275" s="10"/>
      <c r="G1275" s="10"/>
      <c r="H1275" s="5"/>
      <c r="I1275" s="5"/>
      <c r="J1275" s="5"/>
      <c r="K1275" s="5"/>
      <c r="L1275" s="5"/>
      <c r="M1275" s="5"/>
      <c r="N1275" s="5"/>
      <c r="O1275" s="5"/>
      <c r="P1275" s="5"/>
    </row>
    <row r="1276" spans="1:16" x14ac:dyDescent="0.25">
      <c r="A1276" s="10"/>
      <c r="B1276" s="10"/>
      <c r="C1276" s="10"/>
      <c r="D1276" s="12"/>
      <c r="E1276" s="10"/>
      <c r="F1276" s="10"/>
      <c r="G1276" s="10"/>
      <c r="H1276" s="5"/>
      <c r="I1276" s="5"/>
      <c r="J1276" s="5"/>
      <c r="K1276" s="5"/>
      <c r="L1276" s="5"/>
      <c r="M1276" s="5"/>
      <c r="N1276" s="5"/>
      <c r="O1276" s="5"/>
      <c r="P1276" s="5"/>
    </row>
    <row r="1277" spans="1:16" x14ac:dyDescent="0.25">
      <c r="A1277" s="10"/>
      <c r="B1277" s="10"/>
      <c r="C1277" s="10"/>
      <c r="D1277" s="12"/>
      <c r="E1277" s="10"/>
      <c r="F1277" s="10"/>
      <c r="G1277" s="10"/>
      <c r="H1277" s="5"/>
      <c r="I1277" s="5"/>
      <c r="J1277" s="5"/>
      <c r="K1277" s="5"/>
      <c r="L1277" s="5"/>
      <c r="M1277" s="5"/>
      <c r="N1277" s="5"/>
      <c r="O1277" s="5"/>
      <c r="P1277" s="5"/>
    </row>
    <row r="1278" spans="1:16" x14ac:dyDescent="0.25">
      <c r="A1278" s="10"/>
      <c r="B1278" s="10"/>
      <c r="C1278" s="10"/>
      <c r="D1278" s="12"/>
      <c r="E1278" s="10"/>
      <c r="F1278" s="10"/>
      <c r="G1278" s="10"/>
      <c r="H1278" s="5"/>
      <c r="I1278" s="5"/>
      <c r="J1278" s="5"/>
      <c r="K1278" s="5"/>
      <c r="L1278" s="5"/>
      <c r="M1278" s="5"/>
      <c r="N1278" s="5"/>
      <c r="O1278" s="5"/>
      <c r="P1278" s="5"/>
    </row>
    <row r="1279" spans="1:16" x14ac:dyDescent="0.25">
      <c r="A1279" s="10"/>
      <c r="B1279" s="10"/>
      <c r="C1279" s="10"/>
      <c r="D1279" s="12"/>
      <c r="E1279" s="10"/>
      <c r="F1279" s="10"/>
      <c r="G1279" s="10"/>
      <c r="H1279" s="5"/>
      <c r="I1279" s="5"/>
      <c r="J1279" s="5"/>
      <c r="K1279" s="5"/>
      <c r="L1279" s="5"/>
      <c r="M1279" s="5"/>
      <c r="N1279" s="5"/>
      <c r="O1279" s="5"/>
      <c r="P1279" s="5"/>
    </row>
    <row r="1280" spans="1:16" x14ac:dyDescent="0.25">
      <c r="A1280" s="10"/>
      <c r="B1280" s="10"/>
      <c r="C1280" s="10"/>
      <c r="D1280" s="12"/>
      <c r="E1280" s="10"/>
      <c r="F1280" s="10"/>
      <c r="G1280" s="10"/>
      <c r="H1280" s="5"/>
      <c r="I1280" s="5"/>
      <c r="J1280" s="5"/>
      <c r="K1280" s="5"/>
      <c r="L1280" s="5"/>
      <c r="M1280" s="5"/>
      <c r="N1280" s="5"/>
      <c r="O1280" s="5"/>
      <c r="P1280" s="5"/>
    </row>
    <row r="1281" spans="1:16" x14ac:dyDescent="0.25">
      <c r="A1281" s="10"/>
      <c r="B1281" s="10"/>
      <c r="C1281" s="10"/>
      <c r="D1281" s="12"/>
      <c r="E1281" s="10"/>
      <c r="F1281" s="10"/>
      <c r="G1281" s="10"/>
      <c r="H1281" s="5"/>
      <c r="I1281" s="5"/>
      <c r="J1281" s="5"/>
      <c r="K1281" s="5"/>
      <c r="L1281" s="5"/>
      <c r="M1281" s="5"/>
      <c r="N1281" s="5"/>
      <c r="O1281" s="5"/>
      <c r="P1281" s="5"/>
    </row>
    <row r="1282" spans="1:16" x14ac:dyDescent="0.25">
      <c r="A1282" s="10"/>
      <c r="B1282" s="10"/>
      <c r="C1282" s="10"/>
      <c r="D1282" s="12"/>
      <c r="E1282" s="10"/>
      <c r="F1282" s="10"/>
      <c r="G1282" s="10"/>
      <c r="H1282" s="5"/>
      <c r="I1282" s="5"/>
      <c r="J1282" s="5"/>
      <c r="K1282" s="5"/>
      <c r="L1282" s="5"/>
      <c r="M1282" s="5"/>
      <c r="N1282" s="5"/>
      <c r="O1282" s="5"/>
      <c r="P1282" s="5"/>
    </row>
    <row r="1283" spans="1:16" x14ac:dyDescent="0.25">
      <c r="A1283" s="10"/>
      <c r="B1283" s="10"/>
      <c r="C1283" s="10"/>
      <c r="D1283" s="12"/>
      <c r="E1283" s="10"/>
      <c r="F1283" s="10"/>
      <c r="G1283" s="10"/>
    </row>
    <row r="1284" spans="1:16" x14ac:dyDescent="0.25">
      <c r="A1284" s="10"/>
      <c r="B1284" s="10"/>
      <c r="C1284" s="10"/>
      <c r="D1284" s="12"/>
      <c r="E1284" s="10"/>
      <c r="F1284" s="10"/>
      <c r="G1284" s="10"/>
    </row>
    <row r="1285" spans="1:16" x14ac:dyDescent="0.25">
      <c r="A1285" s="10"/>
      <c r="B1285" s="10"/>
      <c r="C1285" s="10"/>
      <c r="D1285" s="12"/>
      <c r="E1285" s="10"/>
      <c r="F1285" s="10"/>
      <c r="G1285" s="10"/>
    </row>
    <row r="1286" spans="1:16" x14ac:dyDescent="0.25">
      <c r="A1286" s="10"/>
      <c r="B1286" s="10"/>
      <c r="C1286" s="10"/>
      <c r="D1286" s="12"/>
      <c r="E1286" s="10"/>
      <c r="F1286" s="10"/>
      <c r="G1286" s="10"/>
    </row>
    <row r="1287" spans="1:16" x14ac:dyDescent="0.25">
      <c r="A1287" s="10"/>
      <c r="B1287" s="10"/>
      <c r="C1287" s="10"/>
      <c r="D1287" s="12"/>
      <c r="E1287" s="10"/>
      <c r="F1287" s="10"/>
      <c r="G1287" s="10"/>
    </row>
    <row r="1288" spans="1:16" x14ac:dyDescent="0.25">
      <c r="A1288" s="10"/>
      <c r="B1288" s="10"/>
      <c r="C1288" s="10"/>
      <c r="D1288" s="12"/>
      <c r="E1288" s="10"/>
      <c r="F1288" s="10"/>
      <c r="G1288" s="10"/>
    </row>
    <row r="1289" spans="1:16" x14ac:dyDescent="0.25">
      <c r="A1289" s="10"/>
      <c r="B1289" s="10"/>
      <c r="C1289" s="10"/>
      <c r="D1289" s="12"/>
      <c r="E1289" s="10"/>
      <c r="F1289" s="10"/>
      <c r="G1289" s="10"/>
    </row>
    <row r="1290" spans="1:16" x14ac:dyDescent="0.25">
      <c r="A1290" s="10"/>
      <c r="B1290" s="10"/>
      <c r="C1290" s="10"/>
      <c r="D1290" s="12"/>
      <c r="E1290" s="10"/>
      <c r="F1290" s="10"/>
      <c r="G1290" s="10"/>
    </row>
    <row r="1291" spans="1:16" x14ac:dyDescent="0.25">
      <c r="A1291" s="10"/>
      <c r="B1291" s="10"/>
      <c r="C1291" s="10"/>
      <c r="D1291" s="12"/>
      <c r="E1291" s="10"/>
      <c r="F1291" s="10"/>
      <c r="G1291" s="10"/>
    </row>
    <row r="1292" spans="1:16" x14ac:dyDescent="0.25">
      <c r="A1292" s="10"/>
      <c r="B1292" s="10"/>
      <c r="C1292" s="10"/>
      <c r="D1292" s="12"/>
      <c r="E1292" s="10"/>
      <c r="F1292" s="10"/>
      <c r="G1292" s="10"/>
    </row>
    <row r="1293" spans="1:16" x14ac:dyDescent="0.25">
      <c r="A1293" s="10"/>
      <c r="B1293" s="10"/>
      <c r="C1293" s="10"/>
      <c r="D1293" s="12"/>
      <c r="E1293" s="10"/>
      <c r="F1293" s="10"/>
      <c r="G1293" s="10"/>
    </row>
    <row r="1294" spans="1:16" x14ac:dyDescent="0.25">
      <c r="A1294" s="10"/>
      <c r="B1294" s="10"/>
      <c r="C1294" s="10"/>
      <c r="D1294" s="12"/>
      <c r="E1294" s="10"/>
      <c r="F1294" s="10"/>
      <c r="G1294" s="10"/>
    </row>
    <row r="1295" spans="1:16" x14ac:dyDescent="0.25">
      <c r="A1295" s="10"/>
      <c r="B1295" s="10"/>
      <c r="C1295" s="10"/>
      <c r="D1295" s="12"/>
      <c r="E1295" s="10"/>
      <c r="F1295" s="10"/>
      <c r="G1295" s="10"/>
    </row>
    <row r="1296" spans="1:16" x14ac:dyDescent="0.25">
      <c r="A1296" s="10"/>
      <c r="B1296" s="10"/>
      <c r="C1296" s="10"/>
      <c r="D1296" s="12"/>
      <c r="E1296" s="10"/>
      <c r="F1296" s="10"/>
      <c r="G1296" s="10"/>
    </row>
    <row r="1297" spans="1:7" x14ac:dyDescent="0.25">
      <c r="A1297" s="10"/>
      <c r="B1297" s="10"/>
      <c r="C1297" s="10"/>
      <c r="D1297" s="12"/>
      <c r="E1297" s="10"/>
      <c r="F1297" s="10"/>
      <c r="G1297" s="10"/>
    </row>
    <row r="1298" spans="1:7" x14ac:dyDescent="0.25">
      <c r="A1298" s="10"/>
      <c r="B1298" s="10"/>
      <c r="C1298" s="10"/>
      <c r="D1298" s="12"/>
      <c r="E1298" s="10"/>
      <c r="F1298" s="10"/>
      <c r="G1298" s="10"/>
    </row>
    <row r="1299" spans="1:7" x14ac:dyDescent="0.25">
      <c r="A1299" s="10"/>
      <c r="B1299" s="10"/>
      <c r="C1299" s="10"/>
      <c r="D1299" s="12"/>
      <c r="E1299" s="10"/>
      <c r="F1299" s="10"/>
      <c r="G1299" s="10"/>
    </row>
    <row r="1300" spans="1:7" x14ac:dyDescent="0.25">
      <c r="A1300" s="10"/>
      <c r="B1300" s="10"/>
      <c r="C1300" s="10"/>
      <c r="D1300" s="12"/>
      <c r="E1300" s="10"/>
      <c r="F1300" s="10"/>
      <c r="G1300" s="10"/>
    </row>
    <row r="1301" spans="1:7" x14ac:dyDescent="0.25">
      <c r="A1301" s="10"/>
      <c r="B1301" s="10"/>
      <c r="C1301" s="10"/>
      <c r="D1301" s="12"/>
      <c r="E1301" s="10"/>
      <c r="F1301" s="10"/>
      <c r="G1301" s="10"/>
    </row>
    <row r="1302" spans="1:7" x14ac:dyDescent="0.25">
      <c r="A1302" s="10"/>
      <c r="B1302" s="10"/>
      <c r="C1302" s="10"/>
      <c r="D1302" s="12"/>
      <c r="E1302" s="10"/>
      <c r="F1302" s="10"/>
      <c r="G1302" s="10"/>
    </row>
    <row r="1303" spans="1:7" x14ac:dyDescent="0.25">
      <c r="A1303" s="10"/>
      <c r="B1303" s="10"/>
      <c r="C1303" s="10"/>
      <c r="D1303" s="12"/>
      <c r="E1303" s="10"/>
      <c r="F1303" s="10"/>
      <c r="G1303" s="10"/>
    </row>
    <row r="1304" spans="1:7" x14ac:dyDescent="0.25">
      <c r="A1304" s="10"/>
      <c r="B1304" s="10"/>
      <c r="C1304" s="10"/>
      <c r="D1304" s="12"/>
      <c r="E1304" s="10"/>
      <c r="F1304" s="10"/>
      <c r="G1304" s="10"/>
    </row>
    <row r="1305" spans="1:7" x14ac:dyDescent="0.25">
      <c r="A1305" s="10"/>
      <c r="B1305" s="10"/>
      <c r="C1305" s="10"/>
      <c r="D1305" s="12"/>
      <c r="E1305" s="10"/>
      <c r="F1305" s="10"/>
      <c r="G1305" s="10"/>
    </row>
    <row r="1306" spans="1:7" x14ac:dyDescent="0.25">
      <c r="A1306" s="10"/>
      <c r="B1306" s="10"/>
      <c r="C1306" s="10"/>
      <c r="D1306" s="12"/>
      <c r="E1306" s="10"/>
      <c r="F1306" s="10"/>
      <c r="G1306" s="10"/>
    </row>
    <row r="1307" spans="1:7" x14ac:dyDescent="0.25">
      <c r="A1307" s="10"/>
      <c r="B1307" s="10"/>
      <c r="C1307" s="10"/>
      <c r="D1307" s="12"/>
      <c r="E1307" s="10"/>
      <c r="F1307" s="10"/>
      <c r="G1307" s="10"/>
    </row>
    <row r="1308" spans="1:7" x14ac:dyDescent="0.25">
      <c r="A1308" s="10"/>
      <c r="B1308" s="10"/>
      <c r="C1308" s="10"/>
      <c r="D1308" s="12"/>
      <c r="E1308" s="10"/>
      <c r="F1308" s="10"/>
      <c r="G1308" s="10"/>
    </row>
    <row r="1309" spans="1:7" x14ac:dyDescent="0.25">
      <c r="A1309" s="10"/>
      <c r="B1309" s="10"/>
      <c r="C1309" s="10"/>
      <c r="D1309" s="12"/>
      <c r="E1309" s="10"/>
      <c r="F1309" s="10"/>
      <c r="G1309" s="10"/>
    </row>
    <row r="1310" spans="1:7" x14ac:dyDescent="0.25">
      <c r="A1310" s="10"/>
      <c r="B1310" s="10"/>
      <c r="C1310" s="10"/>
      <c r="D1310" s="12"/>
      <c r="E1310" s="10"/>
      <c r="F1310" s="10"/>
      <c r="G1310" s="10"/>
    </row>
    <row r="1311" spans="1:7" x14ac:dyDescent="0.25">
      <c r="A1311" s="10"/>
      <c r="B1311" s="10"/>
      <c r="C1311" s="10"/>
      <c r="D1311" s="12"/>
      <c r="E1311" s="10"/>
      <c r="F1311" s="10"/>
      <c r="G1311" s="10"/>
    </row>
    <row r="1312" spans="1:7" x14ac:dyDescent="0.25">
      <c r="A1312" s="10"/>
      <c r="B1312" s="10"/>
      <c r="C1312" s="10"/>
      <c r="D1312" s="12"/>
      <c r="E1312" s="10"/>
      <c r="F1312" s="10"/>
      <c r="G1312" s="10"/>
    </row>
    <row r="1313" spans="1:7" x14ac:dyDescent="0.25">
      <c r="A1313" s="10"/>
      <c r="B1313" s="10"/>
      <c r="C1313" s="10"/>
      <c r="D1313" s="12"/>
      <c r="E1313" s="10"/>
      <c r="F1313" s="10"/>
      <c r="G1313" s="10"/>
    </row>
    <row r="1314" spans="1:7" x14ac:dyDescent="0.25">
      <c r="A1314" s="10"/>
      <c r="B1314" s="10"/>
      <c r="C1314" s="10"/>
      <c r="D1314" s="12"/>
      <c r="E1314" s="10"/>
      <c r="F1314" s="10"/>
      <c r="G1314" s="10"/>
    </row>
    <row r="1315" spans="1:7" x14ac:dyDescent="0.25">
      <c r="A1315" s="10"/>
      <c r="B1315" s="10"/>
      <c r="C1315" s="10"/>
      <c r="D1315" s="12"/>
      <c r="E1315" s="10"/>
      <c r="F1315" s="10"/>
      <c r="G1315" s="10"/>
    </row>
    <row r="1316" spans="1:7" x14ac:dyDescent="0.25">
      <c r="A1316" s="10"/>
      <c r="B1316" s="10"/>
      <c r="C1316" s="10"/>
      <c r="D1316" s="12"/>
      <c r="E1316" s="10"/>
      <c r="F1316" s="10"/>
      <c r="G1316" s="10"/>
    </row>
    <row r="1317" spans="1:7" x14ac:dyDescent="0.25">
      <c r="A1317" s="10"/>
      <c r="B1317" s="10"/>
      <c r="C1317" s="10"/>
      <c r="D1317" s="12"/>
      <c r="E1317" s="10"/>
      <c r="F1317" s="10"/>
      <c r="G1317" s="10"/>
    </row>
    <row r="1318" spans="1:7" x14ac:dyDescent="0.25">
      <c r="A1318" s="10"/>
      <c r="B1318" s="10"/>
      <c r="C1318" s="10"/>
      <c r="D1318" s="12"/>
      <c r="E1318" s="10"/>
      <c r="F1318" s="10"/>
      <c r="G1318" s="10"/>
    </row>
    <row r="1319" spans="1:7" x14ac:dyDescent="0.25">
      <c r="A1319" s="10"/>
      <c r="B1319" s="10"/>
      <c r="C1319" s="10"/>
      <c r="D1319" s="12"/>
      <c r="E1319" s="10"/>
      <c r="F1319" s="10"/>
      <c r="G1319" s="10"/>
    </row>
    <row r="1320" spans="1:7" x14ac:dyDescent="0.25">
      <c r="A1320" s="10"/>
      <c r="B1320" s="10"/>
      <c r="C1320" s="10"/>
      <c r="D1320" s="12"/>
      <c r="E1320" s="10"/>
      <c r="F1320" s="10"/>
      <c r="G1320" s="10"/>
    </row>
    <row r="1321" spans="1:7" x14ac:dyDescent="0.25">
      <c r="A1321" s="10"/>
      <c r="B1321" s="10"/>
      <c r="C1321" s="10"/>
      <c r="D1321" s="12"/>
      <c r="E1321" s="10"/>
      <c r="F1321" s="10"/>
      <c r="G1321" s="10"/>
    </row>
    <row r="1322" spans="1:7" x14ac:dyDescent="0.25">
      <c r="A1322" s="10"/>
      <c r="B1322" s="10"/>
      <c r="C1322" s="10"/>
      <c r="D1322" s="12"/>
      <c r="E1322" s="10"/>
      <c r="F1322" s="10"/>
      <c r="G1322" s="10"/>
    </row>
    <row r="1323" spans="1:7" x14ac:dyDescent="0.25">
      <c r="A1323" s="10"/>
      <c r="B1323" s="10"/>
      <c r="C1323" s="10"/>
      <c r="D1323" s="12"/>
      <c r="E1323" s="10"/>
      <c r="F1323" s="10"/>
      <c r="G1323" s="10"/>
    </row>
    <row r="1324" spans="1:7" x14ac:dyDescent="0.25">
      <c r="A1324" s="10"/>
      <c r="B1324" s="10"/>
      <c r="C1324" s="10"/>
      <c r="D1324" s="12"/>
      <c r="E1324" s="10"/>
      <c r="F1324" s="10"/>
      <c r="G1324" s="10"/>
    </row>
    <row r="1325" spans="1:7" x14ac:dyDescent="0.25">
      <c r="A1325" s="10"/>
      <c r="B1325" s="10"/>
      <c r="C1325" s="10"/>
      <c r="D1325" s="12"/>
      <c r="E1325" s="10"/>
      <c r="F1325" s="10"/>
      <c r="G1325" s="10"/>
    </row>
    <row r="1326" spans="1:7" x14ac:dyDescent="0.25">
      <c r="A1326" s="10"/>
      <c r="B1326" s="10"/>
      <c r="C1326" s="10"/>
      <c r="D1326" s="12"/>
      <c r="E1326" s="10"/>
      <c r="F1326" s="10"/>
      <c r="G1326" s="10"/>
    </row>
    <row r="1327" spans="1:7" x14ac:dyDescent="0.25">
      <c r="A1327" s="10"/>
      <c r="B1327" s="10"/>
      <c r="C1327" s="10"/>
      <c r="D1327" s="12"/>
      <c r="E1327" s="10"/>
      <c r="F1327" s="10"/>
      <c r="G1327" s="10"/>
    </row>
    <row r="1328" spans="1:7" x14ac:dyDescent="0.25">
      <c r="A1328" s="10"/>
      <c r="B1328" s="10"/>
      <c r="C1328" s="10"/>
      <c r="D1328" s="12"/>
      <c r="E1328" s="10"/>
      <c r="F1328" s="10"/>
      <c r="G1328" s="10"/>
    </row>
    <row r="1329" spans="1:7" x14ac:dyDescent="0.25">
      <c r="A1329" s="10"/>
      <c r="B1329" s="10"/>
      <c r="C1329" s="10"/>
      <c r="D1329" s="12"/>
      <c r="E1329" s="10"/>
      <c r="F1329" s="10"/>
      <c r="G1329" s="10"/>
    </row>
    <row r="1330" spans="1:7" x14ac:dyDescent="0.25">
      <c r="A1330" s="10"/>
      <c r="B1330" s="10"/>
      <c r="C1330" s="10"/>
      <c r="D1330" s="12"/>
      <c r="E1330" s="10"/>
      <c r="F1330" s="10"/>
      <c r="G1330" s="10"/>
    </row>
    <row r="1331" spans="1:7" x14ac:dyDescent="0.25">
      <c r="A1331" s="10"/>
      <c r="B1331" s="10"/>
      <c r="C1331" s="10"/>
      <c r="D1331" s="12"/>
      <c r="E1331" s="10"/>
      <c r="F1331" s="10"/>
      <c r="G1331" s="10"/>
    </row>
    <row r="1332" spans="1:7" x14ac:dyDescent="0.25">
      <c r="A1332" s="10"/>
      <c r="B1332" s="10"/>
      <c r="C1332" s="10"/>
      <c r="D1332" s="12"/>
      <c r="E1332" s="10"/>
      <c r="F1332" s="10"/>
      <c r="G1332" s="10"/>
    </row>
    <row r="1333" spans="1:7" x14ac:dyDescent="0.25">
      <c r="A1333" s="10"/>
      <c r="B1333" s="10"/>
      <c r="C1333" s="10"/>
      <c r="D1333" s="12"/>
      <c r="E1333" s="10"/>
      <c r="F1333" s="10"/>
      <c r="G1333" s="10"/>
    </row>
    <row r="1334" spans="1:7" x14ac:dyDescent="0.25">
      <c r="A1334" s="10"/>
      <c r="B1334" s="10"/>
      <c r="C1334" s="10"/>
      <c r="D1334" s="12"/>
      <c r="E1334" s="10"/>
      <c r="F1334" s="10"/>
      <c r="G1334" s="10"/>
    </row>
    <row r="1335" spans="1:7" x14ac:dyDescent="0.25">
      <c r="A1335" s="10"/>
      <c r="B1335" s="10"/>
      <c r="C1335" s="10"/>
      <c r="D1335" s="12"/>
      <c r="E1335" s="10"/>
      <c r="F1335" s="10"/>
      <c r="G1335" s="10"/>
    </row>
    <row r="1336" spans="1:7" x14ac:dyDescent="0.25">
      <c r="A1336" s="10"/>
      <c r="B1336" s="10"/>
      <c r="C1336" s="10"/>
      <c r="D1336" s="12"/>
      <c r="E1336" s="10"/>
      <c r="F1336" s="10"/>
      <c r="G1336" s="10"/>
    </row>
    <row r="1337" spans="1:7" x14ac:dyDescent="0.25">
      <c r="A1337" s="10"/>
      <c r="B1337" s="10"/>
      <c r="C1337" s="10"/>
      <c r="D1337" s="12"/>
      <c r="E1337" s="10"/>
      <c r="F1337" s="10"/>
      <c r="G1337" s="10"/>
    </row>
    <row r="1338" spans="1:7" x14ac:dyDescent="0.25">
      <c r="A1338" s="10"/>
      <c r="B1338" s="10"/>
      <c r="C1338" s="10"/>
      <c r="D1338" s="12"/>
      <c r="E1338" s="10"/>
      <c r="F1338" s="10"/>
      <c r="G1338" s="10"/>
    </row>
    <row r="1339" spans="1:7" x14ac:dyDescent="0.25">
      <c r="A1339" s="10"/>
      <c r="B1339" s="10"/>
      <c r="C1339" s="10"/>
      <c r="D1339" s="12"/>
      <c r="E1339" s="10"/>
      <c r="F1339" s="10"/>
      <c r="G1339" s="10"/>
    </row>
    <row r="1340" spans="1:7" x14ac:dyDescent="0.25">
      <c r="A1340" s="10"/>
      <c r="B1340" s="10"/>
      <c r="C1340" s="10"/>
      <c r="D1340" s="12"/>
      <c r="E1340" s="10"/>
      <c r="F1340" s="10"/>
      <c r="G1340" s="10"/>
    </row>
    <row r="1341" spans="1:7" x14ac:dyDescent="0.25">
      <c r="A1341" s="10"/>
      <c r="B1341" s="10"/>
      <c r="C1341" s="10"/>
      <c r="D1341" s="12"/>
      <c r="E1341" s="10"/>
      <c r="F1341" s="10"/>
      <c r="G1341" s="10"/>
    </row>
    <row r="1342" spans="1:7" x14ac:dyDescent="0.25">
      <c r="A1342" s="10"/>
      <c r="B1342" s="10"/>
      <c r="C1342" s="10"/>
      <c r="D1342" s="12"/>
      <c r="E1342" s="10"/>
      <c r="F1342" s="10"/>
      <c r="G1342" s="10"/>
    </row>
    <row r="1343" spans="1:7" x14ac:dyDescent="0.25">
      <c r="A1343" s="10"/>
      <c r="B1343" s="10"/>
      <c r="C1343" s="10"/>
      <c r="D1343" s="12"/>
      <c r="E1343" s="10"/>
      <c r="F1343" s="10"/>
      <c r="G1343" s="10"/>
    </row>
    <row r="1344" spans="1:7" x14ac:dyDescent="0.25">
      <c r="A1344" s="10"/>
      <c r="B1344" s="10"/>
      <c r="C1344" s="10"/>
      <c r="D1344" s="12"/>
      <c r="E1344" s="10"/>
      <c r="F1344" s="10"/>
      <c r="G1344" s="10"/>
    </row>
    <row r="1345" spans="1:7" x14ac:dyDescent="0.25">
      <c r="A1345" s="10"/>
      <c r="B1345" s="10"/>
      <c r="C1345" s="10"/>
      <c r="D1345" s="12"/>
      <c r="E1345" s="10"/>
      <c r="F1345" s="10"/>
      <c r="G1345" s="10"/>
    </row>
    <row r="1346" spans="1:7" x14ac:dyDescent="0.25">
      <c r="A1346" s="10"/>
      <c r="B1346" s="10"/>
      <c r="C1346" s="10"/>
      <c r="D1346" s="12"/>
      <c r="E1346" s="10"/>
      <c r="F1346" s="10"/>
      <c r="G1346" s="10"/>
    </row>
    <row r="1347" spans="1:7" x14ac:dyDescent="0.25">
      <c r="A1347" s="10"/>
      <c r="B1347" s="10"/>
      <c r="C1347" s="10"/>
      <c r="D1347" s="12"/>
      <c r="E1347" s="10"/>
      <c r="F1347" s="10"/>
      <c r="G1347" s="10"/>
    </row>
    <row r="1348" spans="1:7" x14ac:dyDescent="0.25">
      <c r="A1348" s="10"/>
      <c r="B1348" s="10"/>
      <c r="C1348" s="10"/>
      <c r="D1348" s="12"/>
      <c r="E1348" s="10"/>
      <c r="F1348" s="10"/>
      <c r="G1348" s="10"/>
    </row>
    <row r="1349" spans="1:7" x14ac:dyDescent="0.25">
      <c r="A1349" s="10"/>
      <c r="B1349" s="10"/>
      <c r="C1349" s="10"/>
      <c r="D1349" s="12"/>
      <c r="E1349" s="10"/>
      <c r="F1349" s="10"/>
      <c r="G1349" s="10"/>
    </row>
    <row r="1350" spans="1:7" x14ac:dyDescent="0.25">
      <c r="A1350" s="10"/>
      <c r="B1350" s="10"/>
      <c r="C1350" s="10"/>
      <c r="D1350" s="12"/>
      <c r="E1350" s="10"/>
      <c r="F1350" s="10"/>
      <c r="G1350" s="10"/>
    </row>
    <row r="1351" spans="1:7" x14ac:dyDescent="0.25">
      <c r="A1351" s="10"/>
      <c r="B1351" s="10"/>
      <c r="C1351" s="10"/>
      <c r="D1351" s="12"/>
      <c r="E1351" s="10"/>
      <c r="F1351" s="10"/>
      <c r="G1351" s="10"/>
    </row>
    <row r="1352" spans="1:7" x14ac:dyDescent="0.25">
      <c r="A1352" s="10"/>
      <c r="B1352" s="10"/>
      <c r="C1352" s="10"/>
      <c r="D1352" s="12"/>
      <c r="E1352" s="10"/>
      <c r="F1352" s="10"/>
      <c r="G1352" s="10"/>
    </row>
    <row r="1353" spans="1:7" x14ac:dyDescent="0.25">
      <c r="A1353" s="10"/>
      <c r="B1353" s="10"/>
      <c r="C1353" s="10"/>
      <c r="D1353" s="12"/>
      <c r="E1353" s="10"/>
      <c r="F1353" s="10"/>
      <c r="G1353" s="10"/>
    </row>
    <row r="1354" spans="1:7" x14ac:dyDescent="0.25">
      <c r="A1354" s="10"/>
      <c r="B1354" s="10"/>
      <c r="C1354" s="10"/>
      <c r="D1354" s="12"/>
      <c r="E1354" s="10"/>
      <c r="F1354" s="10"/>
      <c r="G1354" s="10"/>
    </row>
    <row r="1355" spans="1:7" x14ac:dyDescent="0.25">
      <c r="A1355" s="10"/>
      <c r="B1355" s="10"/>
      <c r="C1355" s="10"/>
      <c r="D1355" s="12"/>
      <c r="E1355" s="10"/>
      <c r="F1355" s="10"/>
      <c r="G1355" s="10"/>
    </row>
    <row r="1356" spans="1:7" x14ac:dyDescent="0.25">
      <c r="A1356" s="10"/>
      <c r="B1356" s="10"/>
      <c r="C1356" s="10"/>
      <c r="D1356" s="12"/>
      <c r="E1356" s="10"/>
      <c r="F1356" s="10"/>
      <c r="G1356" s="10"/>
    </row>
    <row r="1357" spans="1:7" x14ac:dyDescent="0.25">
      <c r="A1357" s="10"/>
      <c r="B1357" s="10"/>
      <c r="C1357" s="10"/>
      <c r="D1357" s="12"/>
      <c r="E1357" s="10"/>
      <c r="F1357" s="10"/>
      <c r="G1357" s="10"/>
    </row>
    <row r="1358" spans="1:7" x14ac:dyDescent="0.25">
      <c r="A1358" s="10"/>
      <c r="B1358" s="10"/>
      <c r="C1358" s="10"/>
      <c r="D1358" s="12"/>
      <c r="E1358" s="10"/>
      <c r="F1358" s="10"/>
      <c r="G1358" s="10"/>
    </row>
    <row r="1359" spans="1:7" x14ac:dyDescent="0.25">
      <c r="A1359" s="10"/>
      <c r="B1359" s="10"/>
      <c r="C1359" s="10"/>
      <c r="D1359" s="12"/>
      <c r="E1359" s="10"/>
      <c r="F1359" s="10"/>
      <c r="G1359" s="10"/>
    </row>
    <row r="1360" spans="1:7" x14ac:dyDescent="0.25">
      <c r="A1360" s="10"/>
      <c r="B1360" s="10"/>
      <c r="C1360" s="10"/>
      <c r="D1360" s="12"/>
      <c r="E1360" s="10"/>
      <c r="F1360" s="10"/>
      <c r="G1360" s="10"/>
    </row>
    <row r="1361" spans="1:7" x14ac:dyDescent="0.25">
      <c r="A1361" s="10"/>
      <c r="B1361" s="10"/>
      <c r="C1361" s="10"/>
      <c r="D1361" s="12"/>
      <c r="E1361" s="10"/>
      <c r="F1361" s="10"/>
      <c r="G1361" s="10"/>
    </row>
    <row r="1362" spans="1:7" x14ac:dyDescent="0.25">
      <c r="A1362" s="10"/>
      <c r="B1362" s="10"/>
      <c r="C1362" s="10"/>
      <c r="D1362" s="12"/>
      <c r="E1362" s="10"/>
      <c r="F1362" s="10"/>
      <c r="G1362" s="10"/>
    </row>
    <row r="1363" spans="1:7" x14ac:dyDescent="0.25">
      <c r="A1363" s="10"/>
      <c r="B1363" s="10"/>
      <c r="C1363" s="10"/>
      <c r="D1363" s="12"/>
      <c r="E1363" s="10"/>
      <c r="F1363" s="10"/>
      <c r="G1363" s="10"/>
    </row>
    <row r="1364" spans="1:7" x14ac:dyDescent="0.25">
      <c r="A1364" s="10"/>
      <c r="B1364" s="10"/>
      <c r="C1364" s="10"/>
      <c r="D1364" s="12"/>
      <c r="E1364" s="10"/>
      <c r="F1364" s="10"/>
      <c r="G1364" s="10"/>
    </row>
    <row r="1365" spans="1:7" x14ac:dyDescent="0.25">
      <c r="A1365" s="10"/>
      <c r="B1365" s="10"/>
      <c r="C1365" s="10"/>
      <c r="D1365" s="12"/>
      <c r="E1365" s="10"/>
      <c r="F1365" s="10"/>
      <c r="G1365" s="10"/>
    </row>
    <row r="1366" spans="1:7" x14ac:dyDescent="0.25">
      <c r="A1366" s="10"/>
      <c r="B1366" s="10"/>
      <c r="C1366" s="10"/>
      <c r="D1366" s="12"/>
      <c r="E1366" s="10"/>
      <c r="F1366" s="10"/>
      <c r="G1366" s="10"/>
    </row>
    <row r="1367" spans="1:7" x14ac:dyDescent="0.25">
      <c r="A1367" s="10"/>
      <c r="B1367" s="10"/>
      <c r="C1367" s="10"/>
      <c r="D1367" s="12"/>
      <c r="E1367" s="10"/>
      <c r="F1367" s="10"/>
      <c r="G1367" s="10"/>
    </row>
    <row r="1368" spans="1:7" x14ac:dyDescent="0.25">
      <c r="A1368" s="10"/>
      <c r="B1368" s="10"/>
      <c r="C1368" s="10"/>
      <c r="D1368" s="12"/>
      <c r="E1368" s="10"/>
      <c r="F1368" s="10"/>
      <c r="G1368" s="10"/>
    </row>
    <row r="1369" spans="1:7" x14ac:dyDescent="0.25">
      <c r="A1369" s="10"/>
      <c r="B1369" s="10"/>
      <c r="C1369" s="10"/>
      <c r="D1369" s="12"/>
      <c r="E1369" s="10"/>
      <c r="F1369" s="10"/>
      <c r="G1369" s="10"/>
    </row>
    <row r="1370" spans="1:7" x14ac:dyDescent="0.25">
      <c r="A1370" s="10"/>
      <c r="B1370" s="10"/>
      <c r="C1370" s="10"/>
      <c r="D1370" s="12"/>
      <c r="E1370" s="10"/>
      <c r="F1370" s="10"/>
      <c r="G1370" s="10"/>
    </row>
    <row r="1371" spans="1:7" x14ac:dyDescent="0.25">
      <c r="A1371" s="10"/>
      <c r="B1371" s="10"/>
      <c r="C1371" s="10"/>
      <c r="D1371" s="12"/>
      <c r="E1371" s="10"/>
      <c r="F1371" s="10"/>
      <c r="G1371" s="10"/>
    </row>
    <row r="1372" spans="1:7" x14ac:dyDescent="0.25">
      <c r="A1372" s="10"/>
      <c r="B1372" s="10"/>
      <c r="C1372" s="10"/>
      <c r="D1372" s="12"/>
      <c r="E1372" s="10"/>
      <c r="F1372" s="10"/>
      <c r="G1372" s="10"/>
    </row>
    <row r="1373" spans="1:7" x14ac:dyDescent="0.25">
      <c r="A1373" s="10"/>
      <c r="B1373" s="10"/>
      <c r="C1373" s="10"/>
      <c r="D1373" s="12"/>
      <c r="E1373" s="10"/>
      <c r="F1373" s="10"/>
      <c r="G1373" s="10"/>
    </row>
    <row r="1374" spans="1:7" x14ac:dyDescent="0.25">
      <c r="A1374" s="10"/>
      <c r="B1374" s="10"/>
      <c r="C1374" s="10"/>
      <c r="D1374" s="12"/>
      <c r="E1374" s="10"/>
      <c r="F1374" s="10"/>
      <c r="G1374" s="10"/>
    </row>
    <row r="1375" spans="1:7" x14ac:dyDescent="0.25">
      <c r="A1375" s="10"/>
      <c r="B1375" s="10"/>
      <c r="C1375" s="10"/>
      <c r="D1375" s="12"/>
      <c r="E1375" s="10"/>
      <c r="F1375" s="10"/>
      <c r="G1375" s="10"/>
    </row>
    <row r="1376" spans="1:7" x14ac:dyDescent="0.25">
      <c r="A1376" s="10"/>
      <c r="B1376" s="10"/>
      <c r="C1376" s="10"/>
      <c r="D1376" s="12"/>
      <c r="E1376" s="10"/>
      <c r="F1376" s="10"/>
      <c r="G1376" s="10"/>
    </row>
    <row r="1377" spans="1:7" x14ac:dyDescent="0.25">
      <c r="A1377" s="10"/>
      <c r="B1377" s="10"/>
      <c r="C1377" s="10"/>
      <c r="D1377" s="12"/>
      <c r="E1377" s="10"/>
      <c r="F1377" s="10"/>
      <c r="G1377" s="10"/>
    </row>
    <row r="1378" spans="1:7" x14ac:dyDescent="0.25">
      <c r="A1378" s="10"/>
      <c r="B1378" s="10"/>
      <c r="C1378" s="10"/>
      <c r="D1378" s="12"/>
      <c r="E1378" s="10"/>
      <c r="F1378" s="10"/>
      <c r="G1378" s="10"/>
    </row>
    <row r="1379" spans="1:7" x14ac:dyDescent="0.25">
      <c r="A1379" s="10"/>
      <c r="B1379" s="10"/>
      <c r="C1379" s="10"/>
      <c r="D1379" s="12"/>
      <c r="E1379" s="10"/>
      <c r="F1379" s="10"/>
      <c r="G1379" s="10"/>
    </row>
    <row r="1380" spans="1:7" x14ac:dyDescent="0.25">
      <c r="A1380" s="10"/>
      <c r="B1380" s="10"/>
      <c r="C1380" s="10"/>
      <c r="D1380" s="12"/>
      <c r="E1380" s="10"/>
      <c r="F1380" s="10"/>
      <c r="G1380" s="10"/>
    </row>
    <row r="1381" spans="1:7" x14ac:dyDescent="0.25">
      <c r="A1381" s="10"/>
      <c r="B1381" s="10"/>
      <c r="C1381" s="10"/>
      <c r="D1381" s="12"/>
      <c r="E1381" s="10"/>
      <c r="F1381" s="10"/>
      <c r="G1381" s="10"/>
    </row>
    <row r="1382" spans="1:7" x14ac:dyDescent="0.25">
      <c r="A1382" s="10"/>
      <c r="B1382" s="10"/>
      <c r="C1382" s="10"/>
      <c r="D1382" s="12"/>
      <c r="E1382" s="10"/>
      <c r="F1382" s="10"/>
      <c r="G1382" s="10"/>
    </row>
    <row r="1383" spans="1:7" x14ac:dyDescent="0.25">
      <c r="A1383" s="10"/>
      <c r="B1383" s="10"/>
      <c r="C1383" s="10"/>
      <c r="D1383" s="12"/>
      <c r="E1383" s="10"/>
      <c r="F1383" s="10"/>
      <c r="G1383" s="10"/>
    </row>
    <row r="1384" spans="1:7" x14ac:dyDescent="0.25">
      <c r="A1384" s="10"/>
      <c r="B1384" s="10"/>
      <c r="C1384" s="10"/>
      <c r="D1384" s="12"/>
      <c r="E1384" s="10"/>
      <c r="F1384" s="10"/>
      <c r="G1384" s="10"/>
    </row>
    <row r="1385" spans="1:7" x14ac:dyDescent="0.25">
      <c r="A1385" s="10"/>
      <c r="B1385" s="10"/>
      <c r="C1385" s="10"/>
      <c r="D1385" s="12"/>
      <c r="E1385" s="10"/>
      <c r="F1385" s="10"/>
      <c r="G1385" s="10"/>
    </row>
    <row r="1386" spans="1:7" x14ac:dyDescent="0.25">
      <c r="A1386" s="10"/>
      <c r="B1386" s="10"/>
      <c r="C1386" s="10"/>
      <c r="D1386" s="12"/>
      <c r="E1386" s="10"/>
      <c r="F1386" s="10"/>
      <c r="G1386" s="10"/>
    </row>
    <row r="1387" spans="1:7" x14ac:dyDescent="0.25">
      <c r="A1387" s="10"/>
      <c r="B1387" s="10"/>
      <c r="C1387" s="10"/>
      <c r="D1387" s="12"/>
      <c r="E1387" s="10"/>
      <c r="F1387" s="10"/>
      <c r="G1387" s="10"/>
    </row>
    <row r="1388" spans="1:7" x14ac:dyDescent="0.25">
      <c r="A1388" s="10"/>
      <c r="B1388" s="10"/>
      <c r="C1388" s="10"/>
      <c r="D1388" s="12"/>
      <c r="E1388" s="10"/>
      <c r="F1388" s="10"/>
      <c r="G1388" s="10"/>
    </row>
    <row r="1389" spans="1:7" x14ac:dyDescent="0.25">
      <c r="A1389" s="10"/>
      <c r="B1389" s="10"/>
      <c r="C1389" s="10"/>
      <c r="D1389" s="12"/>
      <c r="E1389" s="10"/>
      <c r="F1389" s="10"/>
      <c r="G1389" s="10"/>
    </row>
    <row r="1390" spans="1:7" x14ac:dyDescent="0.25">
      <c r="A1390" s="10"/>
      <c r="B1390" s="10"/>
      <c r="C1390" s="10"/>
      <c r="D1390" s="12"/>
      <c r="E1390" s="10"/>
      <c r="F1390" s="10"/>
      <c r="G1390" s="10"/>
    </row>
    <row r="1391" spans="1:7" x14ac:dyDescent="0.25">
      <c r="A1391" s="10"/>
      <c r="B1391" s="10"/>
      <c r="C1391" s="10"/>
      <c r="D1391" s="12"/>
      <c r="E1391" s="10"/>
      <c r="F1391" s="10"/>
      <c r="G1391" s="10"/>
    </row>
    <row r="1392" spans="1:7" x14ac:dyDescent="0.25">
      <c r="A1392" s="10"/>
      <c r="B1392" s="10"/>
      <c r="C1392" s="10"/>
      <c r="D1392" s="12"/>
      <c r="E1392" s="10"/>
      <c r="F1392" s="10"/>
      <c r="G1392" s="10"/>
    </row>
    <row r="1393" spans="1:7" x14ac:dyDescent="0.25">
      <c r="A1393" s="10"/>
      <c r="B1393" s="10"/>
      <c r="C1393" s="10"/>
      <c r="D1393" s="12"/>
      <c r="E1393" s="10"/>
      <c r="F1393" s="10"/>
      <c r="G1393" s="10"/>
    </row>
    <row r="1394" spans="1:7" x14ac:dyDescent="0.25">
      <c r="A1394" s="10"/>
      <c r="B1394" s="10"/>
      <c r="C1394" s="10"/>
      <c r="D1394" s="12"/>
      <c r="E1394" s="10"/>
      <c r="F1394" s="10"/>
      <c r="G1394" s="10"/>
    </row>
    <row r="1395" spans="1:7" x14ac:dyDescent="0.25">
      <c r="A1395" s="10"/>
      <c r="B1395" s="10"/>
      <c r="C1395" s="10"/>
      <c r="D1395" s="12"/>
      <c r="E1395" s="10"/>
      <c r="F1395" s="10"/>
      <c r="G1395" s="10"/>
    </row>
    <row r="1396" spans="1:7" x14ac:dyDescent="0.25">
      <c r="A1396" s="10"/>
      <c r="B1396" s="10"/>
      <c r="C1396" s="10"/>
      <c r="D1396" s="12"/>
      <c r="E1396" s="10"/>
      <c r="F1396" s="10"/>
      <c r="G1396" s="10"/>
    </row>
    <row r="1397" spans="1:7" x14ac:dyDescent="0.25">
      <c r="A1397" s="10"/>
      <c r="B1397" s="10"/>
      <c r="C1397" s="10"/>
      <c r="D1397" s="12"/>
      <c r="E1397" s="10"/>
      <c r="F1397" s="10"/>
      <c r="G1397" s="10"/>
    </row>
    <row r="1398" spans="1:7" x14ac:dyDescent="0.25">
      <c r="A1398" s="10"/>
      <c r="B1398" s="10"/>
      <c r="C1398" s="10"/>
      <c r="D1398" s="12"/>
      <c r="E1398" s="10"/>
      <c r="F1398" s="10"/>
      <c r="G1398" s="10"/>
    </row>
    <row r="1399" spans="1:7" x14ac:dyDescent="0.25">
      <c r="A1399" s="10"/>
      <c r="B1399" s="10"/>
      <c r="C1399" s="10"/>
      <c r="D1399" s="12"/>
      <c r="E1399" s="10"/>
      <c r="F1399" s="10"/>
      <c r="G1399" s="10"/>
    </row>
    <row r="1400" spans="1:7" x14ac:dyDescent="0.25">
      <c r="A1400" s="10"/>
      <c r="B1400" s="10"/>
      <c r="C1400" s="10"/>
      <c r="D1400" s="12"/>
      <c r="E1400" s="10"/>
      <c r="F1400" s="10"/>
      <c r="G1400" s="10"/>
    </row>
    <row r="1401" spans="1:7" x14ac:dyDescent="0.25">
      <c r="A1401" s="10"/>
      <c r="B1401" s="10"/>
      <c r="C1401" s="10"/>
      <c r="D1401" s="12"/>
      <c r="E1401" s="10"/>
      <c r="F1401" s="10"/>
      <c r="G1401" s="10"/>
    </row>
    <row r="1402" spans="1:7" x14ac:dyDescent="0.25">
      <c r="A1402" s="10"/>
      <c r="B1402" s="10"/>
      <c r="C1402" s="10"/>
      <c r="D1402" s="12"/>
      <c r="E1402" s="10"/>
      <c r="F1402" s="10"/>
      <c r="G1402" s="10"/>
    </row>
    <row r="1403" spans="1:7" x14ac:dyDescent="0.25">
      <c r="A1403" s="10"/>
      <c r="B1403" s="10"/>
      <c r="C1403" s="10"/>
      <c r="D1403" s="12"/>
      <c r="E1403" s="10"/>
      <c r="F1403" s="10"/>
      <c r="G1403" s="10"/>
    </row>
    <row r="1404" spans="1:7" x14ac:dyDescent="0.25">
      <c r="A1404" s="10"/>
      <c r="B1404" s="10"/>
      <c r="C1404" s="10"/>
      <c r="D1404" s="12"/>
      <c r="E1404" s="10"/>
      <c r="F1404" s="10"/>
      <c r="G1404" s="10"/>
    </row>
    <row r="1405" spans="1:7" x14ac:dyDescent="0.25">
      <c r="A1405" s="10"/>
      <c r="B1405" s="10"/>
      <c r="C1405" s="10"/>
      <c r="D1405" s="12"/>
      <c r="E1405" s="10"/>
      <c r="F1405" s="10"/>
      <c r="G1405" s="10"/>
    </row>
    <row r="1406" spans="1:7" x14ac:dyDescent="0.25">
      <c r="A1406" s="10"/>
      <c r="B1406" s="10"/>
      <c r="C1406" s="10"/>
      <c r="D1406" s="12"/>
      <c r="E1406" s="10"/>
      <c r="F1406" s="10"/>
      <c r="G1406" s="10"/>
    </row>
    <row r="1407" spans="1:7" x14ac:dyDescent="0.25">
      <c r="A1407" s="10"/>
      <c r="B1407" s="10"/>
      <c r="C1407" s="10"/>
      <c r="D1407" s="12"/>
      <c r="E1407" s="10"/>
      <c r="F1407" s="10"/>
      <c r="G1407" s="10"/>
    </row>
    <row r="1408" spans="1:7" x14ac:dyDescent="0.25">
      <c r="A1408" s="10"/>
      <c r="B1408" s="10"/>
      <c r="C1408" s="10"/>
      <c r="D1408" s="12"/>
      <c r="E1408" s="10"/>
      <c r="F1408" s="10"/>
      <c r="G1408" s="10"/>
    </row>
    <row r="1409" spans="1:7" x14ac:dyDescent="0.25">
      <c r="A1409" s="10"/>
      <c r="B1409" s="10"/>
      <c r="C1409" s="10"/>
      <c r="D1409" s="12"/>
      <c r="E1409" s="10"/>
      <c r="F1409" s="10"/>
      <c r="G1409" s="10"/>
    </row>
    <row r="1410" spans="1:7" x14ac:dyDescent="0.25">
      <c r="A1410" s="10"/>
      <c r="B1410" s="10"/>
      <c r="C1410" s="10"/>
      <c r="D1410" s="12"/>
      <c r="E1410" s="10"/>
      <c r="F1410" s="10"/>
      <c r="G1410" s="10"/>
    </row>
    <row r="1411" spans="1:7" x14ac:dyDescent="0.25">
      <c r="A1411" s="10"/>
      <c r="B1411" s="10"/>
      <c r="C1411" s="10"/>
      <c r="D1411" s="12"/>
      <c r="E1411" s="10"/>
      <c r="F1411" s="10"/>
      <c r="G1411" s="10"/>
    </row>
    <row r="1412" spans="1:7" x14ac:dyDescent="0.25">
      <c r="A1412" s="10"/>
      <c r="B1412" s="10"/>
      <c r="C1412" s="10"/>
      <c r="D1412" s="12"/>
      <c r="E1412" s="10"/>
      <c r="F1412" s="10"/>
      <c r="G1412" s="10"/>
    </row>
    <row r="1413" spans="1:7" x14ac:dyDescent="0.25">
      <c r="A1413" s="10"/>
      <c r="B1413" s="10"/>
      <c r="C1413" s="10"/>
      <c r="D1413" s="12"/>
      <c r="E1413" s="10"/>
      <c r="F1413" s="10"/>
      <c r="G1413" s="10"/>
    </row>
    <row r="1414" spans="1:7" x14ac:dyDescent="0.25">
      <c r="A1414" s="10"/>
      <c r="B1414" s="10"/>
      <c r="C1414" s="10"/>
      <c r="D1414" s="12"/>
      <c r="E1414" s="10"/>
      <c r="F1414" s="10"/>
      <c r="G1414" s="10"/>
    </row>
    <row r="1415" spans="1:7" x14ac:dyDescent="0.25">
      <c r="A1415" s="10"/>
      <c r="B1415" s="10"/>
      <c r="C1415" s="10"/>
      <c r="D1415" s="12"/>
      <c r="E1415" s="10"/>
      <c r="F1415" s="10"/>
      <c r="G1415" s="10"/>
    </row>
    <row r="1416" spans="1:7" x14ac:dyDescent="0.25">
      <c r="A1416" s="10"/>
      <c r="B1416" s="10"/>
      <c r="C1416" s="10"/>
      <c r="D1416" s="12"/>
      <c r="E1416" s="10"/>
      <c r="F1416" s="10"/>
      <c r="G1416" s="10"/>
    </row>
    <row r="1417" spans="1:7" x14ac:dyDescent="0.25">
      <c r="A1417" s="10"/>
      <c r="B1417" s="10"/>
      <c r="C1417" s="10"/>
      <c r="D1417" s="12"/>
      <c r="E1417" s="10"/>
      <c r="F1417" s="10"/>
      <c r="G1417" s="10"/>
    </row>
    <row r="1418" spans="1:7" x14ac:dyDescent="0.25">
      <c r="A1418" s="10"/>
      <c r="B1418" s="10"/>
      <c r="C1418" s="10"/>
      <c r="D1418" s="12"/>
      <c r="E1418" s="10"/>
      <c r="F1418" s="10"/>
      <c r="G1418" s="10"/>
    </row>
    <row r="1419" spans="1:7" x14ac:dyDescent="0.25">
      <c r="A1419" s="10"/>
      <c r="B1419" s="10"/>
      <c r="C1419" s="10"/>
      <c r="D1419" s="12"/>
      <c r="E1419" s="10"/>
      <c r="F1419" s="10"/>
      <c r="G1419" s="10"/>
    </row>
    <row r="1420" spans="1:7" x14ac:dyDescent="0.25">
      <c r="A1420" s="10"/>
      <c r="B1420" s="10"/>
      <c r="C1420" s="10"/>
      <c r="D1420" s="12"/>
      <c r="E1420" s="10"/>
      <c r="F1420" s="10"/>
      <c r="G1420" s="10"/>
    </row>
    <row r="1421" spans="1:7" x14ac:dyDescent="0.25">
      <c r="A1421" s="10"/>
      <c r="B1421" s="10"/>
      <c r="C1421" s="10"/>
      <c r="D1421" s="12"/>
      <c r="E1421" s="10"/>
      <c r="F1421" s="10"/>
      <c r="G1421" s="10"/>
    </row>
    <row r="1422" spans="1:7" x14ac:dyDescent="0.25">
      <c r="A1422" s="10"/>
      <c r="B1422" s="10"/>
      <c r="C1422" s="10"/>
      <c r="D1422" s="12"/>
      <c r="E1422" s="10"/>
      <c r="F1422" s="10"/>
      <c r="G1422" s="10"/>
    </row>
    <row r="1423" spans="1:7" x14ac:dyDescent="0.25">
      <c r="A1423" s="10"/>
      <c r="B1423" s="10"/>
      <c r="C1423" s="10"/>
      <c r="D1423" s="12"/>
      <c r="E1423" s="10"/>
      <c r="F1423" s="10"/>
      <c r="G1423" s="10"/>
    </row>
    <row r="1424" spans="1:7" x14ac:dyDescent="0.25">
      <c r="A1424" s="10"/>
      <c r="B1424" s="10"/>
      <c r="C1424" s="10"/>
      <c r="D1424" s="12"/>
      <c r="E1424" s="10"/>
      <c r="F1424" s="10"/>
      <c r="G1424" s="10"/>
    </row>
    <row r="1425" spans="1:7" x14ac:dyDescent="0.25">
      <c r="A1425" s="10"/>
      <c r="B1425" s="10"/>
      <c r="C1425" s="10"/>
      <c r="D1425" s="12"/>
      <c r="E1425" s="10"/>
      <c r="F1425" s="10"/>
      <c r="G1425" s="10"/>
    </row>
    <row r="1426" spans="1:7" x14ac:dyDescent="0.25">
      <c r="A1426" s="10"/>
      <c r="B1426" s="10"/>
      <c r="C1426" s="10"/>
      <c r="D1426" s="12"/>
      <c r="E1426" s="10"/>
      <c r="F1426" s="10"/>
      <c r="G1426" s="10"/>
    </row>
    <row r="1427" spans="1:7" x14ac:dyDescent="0.25">
      <c r="A1427" s="10"/>
      <c r="B1427" s="10"/>
      <c r="C1427" s="10"/>
      <c r="D1427" s="12"/>
      <c r="E1427" s="10"/>
      <c r="F1427" s="10"/>
      <c r="G1427" s="10"/>
    </row>
    <row r="1428" spans="1:7" x14ac:dyDescent="0.25">
      <c r="A1428" s="10"/>
      <c r="B1428" s="10"/>
      <c r="C1428" s="10"/>
      <c r="D1428" s="12"/>
      <c r="E1428" s="10"/>
      <c r="F1428" s="10"/>
      <c r="G1428" s="10"/>
    </row>
    <row r="1429" spans="1:7" x14ac:dyDescent="0.25">
      <c r="A1429" s="10"/>
      <c r="B1429" s="10"/>
      <c r="C1429" s="10"/>
      <c r="D1429" s="12"/>
      <c r="E1429" s="10"/>
      <c r="F1429" s="10"/>
      <c r="G1429" s="10"/>
    </row>
    <row r="1430" spans="1:7" x14ac:dyDescent="0.25">
      <c r="A1430" s="10"/>
      <c r="B1430" s="10"/>
      <c r="C1430" s="10"/>
      <c r="D1430" s="12"/>
      <c r="E1430" s="10"/>
      <c r="F1430" s="10"/>
      <c r="G1430" s="10"/>
    </row>
    <row r="1431" spans="1:7" x14ac:dyDescent="0.25">
      <c r="A1431" s="10"/>
      <c r="B1431" s="10"/>
      <c r="C1431" s="10"/>
      <c r="D1431" s="12"/>
      <c r="E1431" s="10"/>
      <c r="F1431" s="10"/>
      <c r="G1431" s="10"/>
    </row>
    <row r="1432" spans="1:7" x14ac:dyDescent="0.25">
      <c r="A1432" s="10"/>
      <c r="B1432" s="10"/>
      <c r="C1432" s="10"/>
      <c r="D1432" s="12"/>
      <c r="E1432" s="10"/>
      <c r="F1432" s="10"/>
      <c r="G1432" s="10"/>
    </row>
    <row r="1433" spans="1:7" x14ac:dyDescent="0.25">
      <c r="A1433" s="10"/>
      <c r="B1433" s="10"/>
      <c r="C1433" s="10"/>
      <c r="D1433" s="12"/>
      <c r="E1433" s="10"/>
      <c r="F1433" s="10"/>
      <c r="G1433" s="10"/>
    </row>
    <row r="1434" spans="1:7" x14ac:dyDescent="0.25">
      <c r="A1434" s="10"/>
      <c r="B1434" s="10"/>
      <c r="C1434" s="10"/>
      <c r="D1434" s="12"/>
      <c r="E1434" s="10"/>
      <c r="F1434" s="10"/>
      <c r="G1434" s="10"/>
    </row>
    <row r="1435" spans="1:7" x14ac:dyDescent="0.25">
      <c r="A1435" s="10"/>
      <c r="B1435" s="10"/>
      <c r="C1435" s="10"/>
      <c r="D1435" s="12"/>
      <c r="E1435" s="10"/>
      <c r="F1435" s="10"/>
      <c r="G1435" s="10"/>
    </row>
    <row r="1436" spans="1:7" x14ac:dyDescent="0.25">
      <c r="A1436" s="10"/>
      <c r="B1436" s="10"/>
      <c r="C1436" s="10"/>
      <c r="D1436" s="12"/>
      <c r="E1436" s="10"/>
      <c r="F1436" s="10"/>
      <c r="G1436" s="10"/>
    </row>
    <row r="1437" spans="1:7" x14ac:dyDescent="0.25">
      <c r="A1437" s="10"/>
      <c r="B1437" s="10"/>
      <c r="C1437" s="10"/>
      <c r="D1437" s="12"/>
      <c r="E1437" s="10"/>
      <c r="F1437" s="10"/>
      <c r="G1437" s="10"/>
    </row>
    <row r="1438" spans="1:7" x14ac:dyDescent="0.25">
      <c r="A1438" s="10"/>
      <c r="B1438" s="10"/>
      <c r="C1438" s="10"/>
      <c r="D1438" s="12"/>
      <c r="E1438" s="10"/>
      <c r="F1438" s="10"/>
      <c r="G1438" s="10"/>
    </row>
    <row r="1439" spans="1:7" x14ac:dyDescent="0.25">
      <c r="A1439" s="10"/>
      <c r="B1439" s="10"/>
      <c r="C1439" s="10"/>
      <c r="D1439" s="12"/>
      <c r="E1439" s="10"/>
      <c r="F1439" s="10"/>
      <c r="G1439" s="10"/>
    </row>
    <row r="1440" spans="1:7" x14ac:dyDescent="0.25">
      <c r="A1440" s="10"/>
      <c r="B1440" s="10"/>
      <c r="C1440" s="10"/>
      <c r="D1440" s="12"/>
      <c r="E1440" s="10"/>
      <c r="F1440" s="10"/>
      <c r="G1440" s="10"/>
    </row>
    <row r="1441" spans="1:7" x14ac:dyDescent="0.25">
      <c r="A1441" s="10"/>
      <c r="B1441" s="10"/>
      <c r="C1441" s="10"/>
      <c r="D1441" s="12"/>
      <c r="E1441" s="10"/>
      <c r="F1441" s="10"/>
      <c r="G1441" s="10"/>
    </row>
    <row r="1442" spans="1:7" x14ac:dyDescent="0.25">
      <c r="A1442" s="10"/>
      <c r="B1442" s="10"/>
      <c r="C1442" s="10"/>
      <c r="D1442" s="12"/>
      <c r="E1442" s="10"/>
      <c r="F1442" s="10"/>
      <c r="G1442" s="10"/>
    </row>
    <row r="1443" spans="1:7" x14ac:dyDescent="0.25">
      <c r="A1443" s="10"/>
      <c r="B1443" s="10"/>
      <c r="C1443" s="10"/>
      <c r="D1443" s="12"/>
      <c r="E1443" s="10"/>
      <c r="F1443" s="10"/>
      <c r="G1443" s="10"/>
    </row>
    <row r="1444" spans="1:7" x14ac:dyDescent="0.25">
      <c r="A1444" s="10"/>
      <c r="B1444" s="10"/>
      <c r="C1444" s="10"/>
      <c r="D1444" s="12"/>
      <c r="E1444" s="10"/>
      <c r="F1444" s="10"/>
      <c r="G1444" s="10"/>
    </row>
    <row r="1445" spans="1:7" x14ac:dyDescent="0.25">
      <c r="A1445" s="10"/>
      <c r="B1445" s="10"/>
      <c r="C1445" s="10"/>
      <c r="D1445" s="12"/>
      <c r="E1445" s="10"/>
      <c r="F1445" s="10"/>
      <c r="G1445" s="10"/>
    </row>
    <row r="1446" spans="1:7" x14ac:dyDescent="0.25">
      <c r="A1446" s="10"/>
      <c r="B1446" s="10"/>
      <c r="C1446" s="10"/>
      <c r="D1446" s="12"/>
      <c r="E1446" s="10"/>
      <c r="F1446" s="10"/>
      <c r="G1446" s="10"/>
    </row>
    <row r="1447" spans="1:7" x14ac:dyDescent="0.25">
      <c r="A1447" s="10"/>
      <c r="B1447" s="10"/>
      <c r="C1447" s="10"/>
      <c r="D1447" s="12"/>
      <c r="E1447" s="10"/>
      <c r="F1447" s="10"/>
      <c r="G1447" s="10"/>
    </row>
    <row r="1448" spans="1:7" x14ac:dyDescent="0.25">
      <c r="A1448" s="10"/>
      <c r="B1448" s="10"/>
      <c r="C1448" s="10"/>
      <c r="D1448" s="12"/>
      <c r="E1448" s="10"/>
      <c r="F1448" s="10"/>
      <c r="G1448" s="10"/>
    </row>
    <row r="1449" spans="1:7" x14ac:dyDescent="0.25">
      <c r="A1449" s="10"/>
      <c r="B1449" s="10"/>
      <c r="C1449" s="10"/>
      <c r="D1449" s="12"/>
      <c r="E1449" s="10"/>
      <c r="F1449" s="10"/>
      <c r="G1449" s="10"/>
    </row>
    <row r="1450" spans="1:7" x14ac:dyDescent="0.25">
      <c r="A1450" s="10"/>
      <c r="B1450" s="10"/>
      <c r="C1450" s="10"/>
      <c r="D1450" s="12"/>
      <c r="E1450" s="10"/>
      <c r="F1450" s="10"/>
      <c r="G1450" s="10"/>
    </row>
    <row r="1451" spans="1:7" x14ac:dyDescent="0.25">
      <c r="A1451" s="10"/>
      <c r="B1451" s="10"/>
      <c r="C1451" s="10"/>
      <c r="D1451" s="12"/>
      <c r="E1451" s="10"/>
      <c r="F1451" s="10"/>
      <c r="G1451" s="10"/>
    </row>
    <row r="1452" spans="1:7" x14ac:dyDescent="0.25">
      <c r="A1452" s="10"/>
      <c r="B1452" s="10"/>
      <c r="C1452" s="10"/>
      <c r="D1452" s="12"/>
      <c r="E1452" s="10"/>
      <c r="F1452" s="10"/>
      <c r="G1452" s="10"/>
    </row>
    <row r="1453" spans="1:7" x14ac:dyDescent="0.25">
      <c r="A1453" s="10"/>
      <c r="B1453" s="10"/>
      <c r="C1453" s="10"/>
      <c r="D1453" s="12"/>
      <c r="E1453" s="10"/>
      <c r="F1453" s="10"/>
      <c r="G1453" s="10"/>
    </row>
    <row r="1454" spans="1:7" x14ac:dyDescent="0.25">
      <c r="A1454" s="10"/>
      <c r="B1454" s="10"/>
      <c r="C1454" s="10"/>
      <c r="D1454" s="12"/>
      <c r="E1454" s="10"/>
      <c r="F1454" s="10"/>
      <c r="G1454" s="10"/>
    </row>
    <row r="1455" spans="1:7" x14ac:dyDescent="0.25">
      <c r="A1455" s="10"/>
      <c r="B1455" s="10"/>
      <c r="C1455" s="10"/>
      <c r="D1455" s="12"/>
      <c r="E1455" s="10"/>
      <c r="F1455" s="10"/>
      <c r="G1455" s="10"/>
    </row>
    <row r="1456" spans="1:7" x14ac:dyDescent="0.25">
      <c r="A1456" s="10"/>
      <c r="B1456" s="10"/>
      <c r="C1456" s="10"/>
      <c r="D1456" s="12"/>
      <c r="E1456" s="10"/>
      <c r="F1456" s="10"/>
      <c r="G1456" s="10"/>
    </row>
    <row r="1457" spans="1:7" x14ac:dyDescent="0.25">
      <c r="A1457" s="10"/>
      <c r="B1457" s="10"/>
      <c r="C1457" s="10"/>
      <c r="D1457" s="12"/>
      <c r="E1457" s="10"/>
      <c r="F1457" s="10"/>
      <c r="G1457" s="10"/>
    </row>
    <row r="1458" spans="1:7" x14ac:dyDescent="0.25">
      <c r="A1458" s="10"/>
      <c r="B1458" s="10"/>
      <c r="C1458" s="10"/>
      <c r="D1458" s="12"/>
      <c r="E1458" s="10"/>
      <c r="F1458" s="10"/>
      <c r="G1458" s="10"/>
    </row>
    <row r="1459" spans="1:7" x14ac:dyDescent="0.25">
      <c r="A1459" s="10"/>
      <c r="B1459" s="10"/>
      <c r="C1459" s="10"/>
      <c r="D1459" s="12"/>
      <c r="E1459" s="10"/>
      <c r="F1459" s="10"/>
      <c r="G1459" s="10"/>
    </row>
    <row r="1460" spans="1:7" x14ac:dyDescent="0.25">
      <c r="A1460" s="10"/>
      <c r="B1460" s="10"/>
      <c r="C1460" s="10"/>
      <c r="D1460" s="12"/>
      <c r="E1460" s="10"/>
      <c r="F1460" s="10"/>
      <c r="G1460" s="10"/>
    </row>
    <row r="1461" spans="1:7" x14ac:dyDescent="0.25">
      <c r="A1461" s="10"/>
      <c r="B1461" s="10"/>
      <c r="C1461" s="10"/>
      <c r="D1461" s="12"/>
      <c r="E1461" s="10"/>
      <c r="F1461" s="10"/>
      <c r="G1461" s="10"/>
    </row>
    <row r="1462" spans="1:7" x14ac:dyDescent="0.25">
      <c r="A1462" s="10"/>
      <c r="B1462" s="10"/>
      <c r="C1462" s="10"/>
      <c r="D1462" s="12"/>
      <c r="E1462" s="10"/>
      <c r="F1462" s="10"/>
      <c r="G1462" s="10"/>
    </row>
    <row r="1463" spans="1:7" x14ac:dyDescent="0.25">
      <c r="A1463" s="10"/>
      <c r="B1463" s="10"/>
      <c r="C1463" s="10"/>
      <c r="D1463" s="12"/>
      <c r="E1463" s="10"/>
      <c r="F1463" s="10"/>
      <c r="G1463" s="10"/>
    </row>
    <row r="1464" spans="1:7" x14ac:dyDescent="0.25">
      <c r="A1464" s="10"/>
      <c r="B1464" s="10"/>
      <c r="C1464" s="10"/>
      <c r="D1464" s="12"/>
      <c r="E1464" s="10"/>
      <c r="F1464" s="10"/>
      <c r="G1464" s="10"/>
    </row>
    <row r="1465" spans="1:7" x14ac:dyDescent="0.25">
      <c r="A1465" s="10"/>
      <c r="B1465" s="10"/>
      <c r="C1465" s="10"/>
      <c r="D1465" s="12"/>
      <c r="E1465" s="10"/>
      <c r="F1465" s="10"/>
      <c r="G1465" s="10"/>
    </row>
    <row r="1466" spans="1:7" x14ac:dyDescent="0.25">
      <c r="A1466" s="10"/>
      <c r="B1466" s="10"/>
      <c r="C1466" s="10"/>
      <c r="D1466" s="12"/>
      <c r="E1466" s="10"/>
      <c r="F1466" s="10"/>
      <c r="G1466" s="10"/>
    </row>
    <row r="1467" spans="1:7" x14ac:dyDescent="0.25">
      <c r="A1467" s="10"/>
      <c r="B1467" s="10"/>
      <c r="C1467" s="10"/>
      <c r="D1467" s="12"/>
      <c r="E1467" s="10"/>
      <c r="F1467" s="10"/>
      <c r="G1467" s="10"/>
    </row>
    <row r="1468" spans="1:7" x14ac:dyDescent="0.25">
      <c r="A1468" s="10"/>
      <c r="B1468" s="10"/>
      <c r="C1468" s="10"/>
      <c r="D1468" s="12"/>
      <c r="E1468" s="10"/>
      <c r="F1468" s="10"/>
      <c r="G1468" s="10"/>
    </row>
    <row r="1469" spans="1:7" x14ac:dyDescent="0.25">
      <c r="A1469" s="10"/>
      <c r="B1469" s="10"/>
      <c r="C1469" s="10"/>
      <c r="D1469" s="12"/>
      <c r="E1469" s="10"/>
      <c r="F1469" s="10"/>
      <c r="G1469" s="10"/>
    </row>
    <row r="1470" spans="1:7" x14ac:dyDescent="0.25">
      <c r="A1470" s="10"/>
      <c r="B1470" s="10"/>
      <c r="C1470" s="10"/>
      <c r="D1470" s="12"/>
      <c r="E1470" s="10"/>
      <c r="F1470" s="10"/>
      <c r="G1470" s="10"/>
    </row>
    <row r="1471" spans="1:7" x14ac:dyDescent="0.25">
      <c r="A1471" s="10"/>
      <c r="B1471" s="10"/>
      <c r="C1471" s="10"/>
      <c r="D1471" s="12"/>
      <c r="E1471" s="10"/>
      <c r="F1471" s="10"/>
      <c r="G1471" s="10"/>
    </row>
    <row r="1472" spans="1:7" x14ac:dyDescent="0.25">
      <c r="A1472" s="10"/>
      <c r="B1472" s="10"/>
      <c r="C1472" s="10"/>
      <c r="D1472" s="12"/>
      <c r="E1472" s="10"/>
      <c r="F1472" s="10"/>
      <c r="G1472" s="10"/>
    </row>
    <row r="1473" spans="1:7" x14ac:dyDescent="0.25">
      <c r="A1473" s="10"/>
      <c r="B1473" s="10"/>
      <c r="C1473" s="10"/>
      <c r="D1473" s="12"/>
      <c r="E1473" s="10"/>
      <c r="F1473" s="10"/>
      <c r="G1473" s="10"/>
    </row>
    <row r="1474" spans="1:7" x14ac:dyDescent="0.25">
      <c r="A1474" s="10"/>
      <c r="B1474" s="10"/>
      <c r="C1474" s="10"/>
      <c r="D1474" s="12"/>
      <c r="E1474" s="10"/>
      <c r="F1474" s="10"/>
      <c r="G1474" s="10"/>
    </row>
    <row r="1475" spans="1:7" x14ac:dyDescent="0.25">
      <c r="A1475" s="10"/>
      <c r="B1475" s="10"/>
      <c r="C1475" s="10"/>
      <c r="D1475" s="12"/>
      <c r="E1475" s="10"/>
      <c r="F1475" s="10"/>
      <c r="G1475" s="10"/>
    </row>
    <row r="1476" spans="1:7" x14ac:dyDescent="0.25">
      <c r="A1476" s="10"/>
      <c r="B1476" s="10"/>
      <c r="C1476" s="10"/>
      <c r="D1476" s="12"/>
      <c r="E1476" s="10"/>
      <c r="F1476" s="10"/>
      <c r="G1476" s="10"/>
    </row>
    <row r="1477" spans="1:7" x14ac:dyDescent="0.25">
      <c r="A1477" s="10"/>
      <c r="B1477" s="10"/>
      <c r="C1477" s="10"/>
      <c r="D1477" s="12"/>
      <c r="E1477" s="10"/>
      <c r="F1477" s="10"/>
      <c r="G1477" s="10"/>
    </row>
    <row r="1478" spans="1:7" x14ac:dyDescent="0.25">
      <c r="A1478" s="10"/>
      <c r="B1478" s="10"/>
      <c r="C1478" s="10"/>
      <c r="D1478" s="12"/>
      <c r="E1478" s="10"/>
      <c r="F1478" s="10"/>
      <c r="G1478" s="10"/>
    </row>
    <row r="1479" spans="1:7" x14ac:dyDescent="0.25">
      <c r="A1479" s="10"/>
      <c r="B1479" s="10"/>
      <c r="C1479" s="10"/>
      <c r="D1479" s="12"/>
      <c r="E1479" s="10"/>
      <c r="F1479" s="10"/>
      <c r="G1479" s="10"/>
    </row>
    <row r="1480" spans="1:7" x14ac:dyDescent="0.25">
      <c r="A1480" s="10"/>
      <c r="B1480" s="10"/>
      <c r="C1480" s="10"/>
      <c r="D1480" s="12"/>
      <c r="E1480" s="10"/>
      <c r="F1480" s="10"/>
      <c r="G1480" s="10"/>
    </row>
    <row r="1481" spans="1:7" x14ac:dyDescent="0.25">
      <c r="A1481" s="10"/>
      <c r="B1481" s="10"/>
      <c r="C1481" s="10"/>
      <c r="D1481" s="12"/>
      <c r="E1481" s="10"/>
      <c r="F1481" s="10"/>
      <c r="G1481" s="10"/>
    </row>
    <row r="1482" spans="1:7" x14ac:dyDescent="0.25">
      <c r="A1482" s="10"/>
      <c r="B1482" s="10"/>
      <c r="C1482" s="10"/>
      <c r="D1482" s="12"/>
      <c r="E1482" s="10"/>
      <c r="F1482" s="10"/>
      <c r="G1482" s="10"/>
    </row>
    <row r="1483" spans="1:7" x14ac:dyDescent="0.25">
      <c r="A1483" s="10"/>
      <c r="B1483" s="10"/>
      <c r="C1483" s="10"/>
      <c r="D1483" s="12"/>
      <c r="E1483" s="10"/>
      <c r="F1483" s="10"/>
      <c r="G1483" s="10"/>
    </row>
    <row r="1484" spans="1:7" x14ac:dyDescent="0.25">
      <c r="A1484" s="10"/>
      <c r="B1484" s="10"/>
      <c r="C1484" s="10"/>
      <c r="D1484" s="12"/>
      <c r="E1484" s="10"/>
      <c r="F1484" s="10"/>
      <c r="G1484" s="10"/>
    </row>
    <row r="1485" spans="1:7" x14ac:dyDescent="0.25">
      <c r="A1485" s="10"/>
      <c r="B1485" s="10"/>
      <c r="C1485" s="10"/>
      <c r="D1485" s="12"/>
      <c r="E1485" s="10"/>
      <c r="F1485" s="10"/>
      <c r="G1485" s="10"/>
    </row>
    <row r="1486" spans="1:7" x14ac:dyDescent="0.25">
      <c r="A1486" s="10"/>
      <c r="B1486" s="10"/>
      <c r="C1486" s="10"/>
      <c r="D1486" s="12"/>
      <c r="E1486" s="10"/>
      <c r="F1486" s="10"/>
      <c r="G1486" s="10"/>
    </row>
    <row r="1487" spans="1:7" x14ac:dyDescent="0.25">
      <c r="A1487" s="10"/>
      <c r="B1487" s="10"/>
      <c r="C1487" s="10"/>
      <c r="D1487" s="12"/>
      <c r="E1487" s="10"/>
      <c r="F1487" s="10"/>
      <c r="G1487" s="10"/>
    </row>
    <row r="1488" spans="1:7" x14ac:dyDescent="0.25">
      <c r="A1488" s="10"/>
      <c r="B1488" s="10"/>
      <c r="C1488" s="10"/>
      <c r="D1488" s="12"/>
      <c r="E1488" s="10"/>
      <c r="F1488" s="10"/>
      <c r="G1488" s="10"/>
    </row>
    <row r="1489" spans="1:7" x14ac:dyDescent="0.25">
      <c r="A1489" s="10"/>
      <c r="B1489" s="10"/>
      <c r="C1489" s="10"/>
      <c r="D1489" s="12"/>
      <c r="E1489" s="10"/>
      <c r="F1489" s="10"/>
      <c r="G1489" s="10"/>
    </row>
    <row r="1490" spans="1:7" x14ac:dyDescent="0.25">
      <c r="A1490" s="10"/>
      <c r="B1490" s="10"/>
      <c r="C1490" s="10"/>
      <c r="D1490" s="12"/>
      <c r="E1490" s="10"/>
      <c r="F1490" s="10"/>
      <c r="G1490" s="10"/>
    </row>
    <row r="1491" spans="1:7" x14ac:dyDescent="0.25">
      <c r="A1491" s="10"/>
      <c r="B1491" s="10"/>
      <c r="C1491" s="10"/>
      <c r="D1491" s="12"/>
      <c r="E1491" s="10"/>
      <c r="F1491" s="10"/>
      <c r="G1491" s="10"/>
    </row>
    <row r="1492" spans="1:7" x14ac:dyDescent="0.25">
      <c r="A1492" s="10"/>
      <c r="B1492" s="10"/>
      <c r="C1492" s="10"/>
      <c r="D1492" s="12"/>
      <c r="E1492" s="10"/>
      <c r="F1492" s="10"/>
      <c r="G1492" s="10"/>
    </row>
    <row r="1493" spans="1:7" x14ac:dyDescent="0.25">
      <c r="A1493" s="10"/>
      <c r="B1493" s="10"/>
      <c r="C1493" s="10"/>
      <c r="D1493" s="12"/>
      <c r="E1493" s="10"/>
      <c r="F1493" s="10"/>
      <c r="G1493" s="10"/>
    </row>
    <row r="1494" spans="1:7" x14ac:dyDescent="0.25">
      <c r="A1494" s="10"/>
      <c r="B1494" s="10"/>
      <c r="C1494" s="10"/>
      <c r="D1494" s="12"/>
      <c r="E1494" s="10"/>
      <c r="F1494" s="10"/>
      <c r="G1494" s="10"/>
    </row>
    <row r="1495" spans="1:7" x14ac:dyDescent="0.25">
      <c r="A1495" s="10"/>
      <c r="B1495" s="10"/>
      <c r="C1495" s="10"/>
      <c r="D1495" s="12"/>
      <c r="E1495" s="10"/>
      <c r="F1495" s="10"/>
      <c r="G1495" s="10"/>
    </row>
    <row r="1496" spans="1:7" x14ac:dyDescent="0.25">
      <c r="A1496" s="10"/>
      <c r="B1496" s="10"/>
      <c r="C1496" s="10"/>
      <c r="D1496" s="12"/>
      <c r="E1496" s="10"/>
      <c r="F1496" s="10"/>
      <c r="G1496" s="10"/>
    </row>
    <row r="1497" spans="1:7" x14ac:dyDescent="0.25">
      <c r="A1497" s="10"/>
      <c r="B1497" s="10"/>
      <c r="C1497" s="10"/>
      <c r="D1497" s="12"/>
      <c r="E1497" s="10"/>
      <c r="F1497" s="10"/>
      <c r="G1497" s="10"/>
    </row>
    <row r="1498" spans="1:7" x14ac:dyDescent="0.25">
      <c r="A1498" s="10"/>
      <c r="B1498" s="10"/>
      <c r="C1498" s="10"/>
      <c r="D1498" s="12"/>
      <c r="E1498" s="10"/>
      <c r="F1498" s="10"/>
      <c r="G1498" s="10"/>
    </row>
    <row r="1499" spans="1:7" x14ac:dyDescent="0.25">
      <c r="A1499" s="10"/>
      <c r="B1499" s="10"/>
      <c r="C1499" s="10"/>
      <c r="D1499" s="12"/>
      <c r="E1499" s="10"/>
      <c r="F1499" s="10"/>
      <c r="G1499" s="10"/>
    </row>
    <row r="1500" spans="1:7" x14ac:dyDescent="0.25">
      <c r="A1500" s="10"/>
      <c r="B1500" s="10"/>
      <c r="C1500" s="10"/>
      <c r="D1500" s="12"/>
      <c r="E1500" s="10"/>
      <c r="F1500" s="10"/>
      <c r="G1500" s="10"/>
    </row>
    <row r="1501" spans="1:7" x14ac:dyDescent="0.25">
      <c r="A1501" s="10"/>
      <c r="B1501" s="10"/>
      <c r="C1501" s="10"/>
      <c r="D1501" s="12"/>
      <c r="E1501" s="10"/>
      <c r="F1501" s="10"/>
      <c r="G1501" s="10"/>
    </row>
    <row r="1502" spans="1:7" x14ac:dyDescent="0.25">
      <c r="A1502" s="10"/>
      <c r="B1502" s="10"/>
      <c r="C1502" s="10"/>
      <c r="D1502" s="12"/>
      <c r="E1502" s="10"/>
      <c r="F1502" s="10"/>
      <c r="G1502" s="10"/>
    </row>
    <row r="1503" spans="1:7" x14ac:dyDescent="0.25">
      <c r="A1503" s="10"/>
      <c r="B1503" s="10"/>
      <c r="C1503" s="10"/>
      <c r="D1503" s="12"/>
      <c r="E1503" s="10"/>
      <c r="F1503" s="10"/>
      <c r="G1503" s="10"/>
    </row>
    <row r="1504" spans="1:7" x14ac:dyDescent="0.25">
      <c r="A1504" s="10"/>
      <c r="B1504" s="10"/>
      <c r="C1504" s="10"/>
      <c r="D1504" s="12"/>
      <c r="E1504" s="10"/>
      <c r="F1504" s="10"/>
      <c r="G1504" s="10"/>
    </row>
    <row r="1505" spans="1:7" x14ac:dyDescent="0.25">
      <c r="A1505" s="10"/>
      <c r="B1505" s="10"/>
      <c r="C1505" s="10"/>
      <c r="D1505" s="12"/>
      <c r="E1505" s="10"/>
      <c r="F1505" s="10"/>
      <c r="G1505" s="10"/>
    </row>
    <row r="1506" spans="1:7" x14ac:dyDescent="0.25">
      <c r="A1506" s="10"/>
      <c r="B1506" s="10"/>
      <c r="C1506" s="10"/>
      <c r="D1506" s="12"/>
      <c r="E1506" s="10"/>
      <c r="F1506" s="10"/>
      <c r="G1506" s="10"/>
    </row>
    <row r="1507" spans="1:7" x14ac:dyDescent="0.25">
      <c r="A1507" s="10"/>
      <c r="B1507" s="10"/>
      <c r="C1507" s="10"/>
      <c r="D1507" s="12"/>
      <c r="E1507" s="10"/>
      <c r="F1507" s="10"/>
      <c r="G1507" s="10"/>
    </row>
    <row r="1508" spans="1:7" x14ac:dyDescent="0.25">
      <c r="A1508" s="10"/>
      <c r="B1508" s="10"/>
      <c r="C1508" s="10"/>
      <c r="D1508" s="12"/>
      <c r="E1508" s="10"/>
      <c r="F1508" s="10"/>
      <c r="G1508" s="10"/>
    </row>
    <row r="1509" spans="1:7" x14ac:dyDescent="0.25">
      <c r="A1509" s="10"/>
      <c r="B1509" s="10"/>
      <c r="C1509" s="10"/>
      <c r="D1509" s="12"/>
      <c r="E1509" s="10"/>
      <c r="F1509" s="10"/>
      <c r="G1509" s="10"/>
    </row>
    <row r="1510" spans="1:7" x14ac:dyDescent="0.25">
      <c r="A1510" s="10"/>
      <c r="B1510" s="10"/>
      <c r="C1510" s="10"/>
      <c r="D1510" s="12"/>
      <c r="E1510" s="10"/>
      <c r="F1510" s="10"/>
      <c r="G1510" s="10"/>
    </row>
    <row r="1511" spans="1:7" x14ac:dyDescent="0.25">
      <c r="A1511" s="10"/>
      <c r="B1511" s="10"/>
      <c r="C1511" s="10"/>
      <c r="D1511" s="12"/>
      <c r="E1511" s="10"/>
      <c r="F1511" s="10"/>
      <c r="G1511" s="10"/>
    </row>
    <row r="1512" spans="1:7" x14ac:dyDescent="0.25">
      <c r="A1512" s="10"/>
      <c r="B1512" s="10"/>
      <c r="C1512" s="10"/>
      <c r="D1512" s="12"/>
      <c r="E1512" s="10"/>
      <c r="F1512" s="10"/>
      <c r="G1512" s="10"/>
    </row>
    <row r="1513" spans="1:7" x14ac:dyDescent="0.25">
      <c r="A1513" s="10"/>
      <c r="B1513" s="10"/>
      <c r="C1513" s="10"/>
      <c r="D1513" s="12"/>
      <c r="E1513" s="10"/>
      <c r="F1513" s="10"/>
      <c r="G1513" s="10"/>
    </row>
    <row r="1514" spans="1:7" x14ac:dyDescent="0.25">
      <c r="A1514" s="10"/>
      <c r="B1514" s="10"/>
      <c r="C1514" s="10"/>
      <c r="D1514" s="12"/>
      <c r="E1514" s="10"/>
      <c r="F1514" s="10"/>
      <c r="G1514" s="10"/>
    </row>
    <row r="1515" spans="1:7" x14ac:dyDescent="0.25">
      <c r="A1515" s="10"/>
      <c r="B1515" s="10"/>
      <c r="C1515" s="10"/>
      <c r="D1515" s="12"/>
      <c r="E1515" s="10"/>
      <c r="F1515" s="10"/>
      <c r="G1515" s="10"/>
    </row>
    <row r="1516" spans="1:7" x14ac:dyDescent="0.25">
      <c r="A1516" s="10"/>
      <c r="B1516" s="10"/>
      <c r="C1516" s="10"/>
      <c r="D1516" s="12"/>
      <c r="E1516" s="10"/>
      <c r="F1516" s="10"/>
      <c r="G1516" s="10"/>
    </row>
    <row r="1517" spans="1:7" x14ac:dyDescent="0.25">
      <c r="A1517" s="10"/>
      <c r="B1517" s="10"/>
      <c r="C1517" s="10"/>
      <c r="D1517" s="12"/>
      <c r="E1517" s="10"/>
      <c r="F1517" s="10"/>
      <c r="G1517" s="10"/>
    </row>
    <row r="1518" spans="1:7" x14ac:dyDescent="0.25">
      <c r="A1518" s="10"/>
      <c r="B1518" s="10"/>
      <c r="C1518" s="10"/>
      <c r="D1518" s="12"/>
      <c r="E1518" s="10"/>
      <c r="F1518" s="10"/>
      <c r="G1518" s="10"/>
    </row>
    <row r="1519" spans="1:7" x14ac:dyDescent="0.25">
      <c r="A1519" s="10"/>
      <c r="B1519" s="10"/>
      <c r="C1519" s="10"/>
      <c r="D1519" s="12"/>
      <c r="E1519" s="10"/>
      <c r="F1519" s="10"/>
      <c r="G1519" s="10"/>
    </row>
    <row r="1520" spans="1:7" x14ac:dyDescent="0.25">
      <c r="A1520" s="10"/>
      <c r="B1520" s="10"/>
      <c r="C1520" s="10"/>
      <c r="D1520" s="12"/>
      <c r="E1520" s="10"/>
      <c r="F1520" s="10"/>
      <c r="G1520" s="10"/>
    </row>
    <row r="1521" spans="1:7" x14ac:dyDescent="0.25">
      <c r="A1521" s="10"/>
      <c r="B1521" s="10"/>
      <c r="C1521" s="10"/>
      <c r="D1521" s="12"/>
      <c r="E1521" s="10"/>
      <c r="F1521" s="10"/>
      <c r="G1521" s="10"/>
    </row>
    <row r="1522" spans="1:7" x14ac:dyDescent="0.25">
      <c r="A1522" s="10"/>
      <c r="B1522" s="10"/>
      <c r="C1522" s="10"/>
      <c r="D1522" s="12"/>
      <c r="E1522" s="10"/>
      <c r="F1522" s="10"/>
      <c r="G1522" s="10"/>
    </row>
    <row r="1523" spans="1:7" x14ac:dyDescent="0.25">
      <c r="A1523" s="10"/>
      <c r="B1523" s="10"/>
      <c r="C1523" s="10"/>
      <c r="D1523" s="12"/>
      <c r="E1523" s="10"/>
      <c r="F1523" s="10"/>
      <c r="G1523" s="10"/>
    </row>
    <row r="1524" spans="1:7" x14ac:dyDescent="0.25">
      <c r="A1524" s="10"/>
      <c r="B1524" s="10"/>
      <c r="C1524" s="10"/>
      <c r="D1524" s="12"/>
      <c r="E1524" s="10"/>
      <c r="F1524" s="10"/>
      <c r="G1524" s="10"/>
    </row>
    <row r="1525" spans="1:7" x14ac:dyDescent="0.25">
      <c r="A1525" s="10"/>
      <c r="B1525" s="10"/>
      <c r="C1525" s="10"/>
      <c r="D1525" s="12"/>
      <c r="E1525" s="10"/>
      <c r="F1525" s="10"/>
      <c r="G1525" s="10"/>
    </row>
    <row r="1526" spans="1:7" x14ac:dyDescent="0.25">
      <c r="A1526" s="10"/>
      <c r="B1526" s="10"/>
      <c r="C1526" s="10"/>
      <c r="D1526" s="12"/>
      <c r="E1526" s="10"/>
      <c r="F1526" s="10"/>
      <c r="G1526" s="10"/>
    </row>
    <row r="1527" spans="1:7" x14ac:dyDescent="0.25">
      <c r="A1527" s="10"/>
      <c r="B1527" s="10"/>
      <c r="C1527" s="10"/>
      <c r="D1527" s="12"/>
      <c r="E1527" s="10"/>
      <c r="F1527" s="10"/>
      <c r="G1527" s="10"/>
    </row>
    <row r="1528" spans="1:7" x14ac:dyDescent="0.25">
      <c r="A1528" s="10"/>
      <c r="B1528" s="10"/>
      <c r="C1528" s="10"/>
      <c r="D1528" s="12"/>
      <c r="E1528" s="10"/>
      <c r="F1528" s="10"/>
      <c r="G1528" s="10"/>
    </row>
    <row r="1529" spans="1:7" x14ac:dyDescent="0.25">
      <c r="A1529" s="10"/>
      <c r="B1529" s="10"/>
      <c r="C1529" s="10"/>
      <c r="D1529" s="12"/>
      <c r="E1529" s="10"/>
      <c r="F1529" s="10"/>
      <c r="G1529" s="10"/>
    </row>
    <row r="1530" spans="1:7" x14ac:dyDescent="0.25">
      <c r="A1530" s="10"/>
      <c r="B1530" s="10"/>
      <c r="C1530" s="10"/>
      <c r="D1530" s="12"/>
      <c r="E1530" s="10"/>
      <c r="F1530" s="10"/>
      <c r="G1530" s="10"/>
    </row>
    <row r="1531" spans="1:7" x14ac:dyDescent="0.25">
      <c r="A1531" s="10"/>
      <c r="B1531" s="10"/>
      <c r="C1531" s="10"/>
      <c r="D1531" s="12"/>
      <c r="E1531" s="10"/>
      <c r="F1531" s="10"/>
      <c r="G1531" s="10"/>
    </row>
    <row r="1532" spans="1:7" x14ac:dyDescent="0.25">
      <c r="A1532" s="10"/>
      <c r="B1532" s="10"/>
      <c r="C1532" s="10"/>
      <c r="D1532" s="12"/>
      <c r="E1532" s="10"/>
      <c r="F1532" s="10"/>
      <c r="G1532" s="10"/>
    </row>
    <row r="1533" spans="1:7" x14ac:dyDescent="0.25">
      <c r="A1533" s="10"/>
      <c r="B1533" s="10"/>
      <c r="C1533" s="10"/>
      <c r="D1533" s="12"/>
      <c r="E1533" s="10"/>
      <c r="F1533" s="10"/>
      <c r="G1533" s="10"/>
    </row>
    <row r="1534" spans="1:7" x14ac:dyDescent="0.25">
      <c r="A1534" s="10"/>
      <c r="B1534" s="10"/>
      <c r="C1534" s="10"/>
      <c r="D1534" s="12"/>
      <c r="E1534" s="10"/>
      <c r="F1534" s="10"/>
      <c r="G1534" s="10"/>
    </row>
    <row r="1535" spans="1:7" x14ac:dyDescent="0.25">
      <c r="A1535" s="10"/>
      <c r="B1535" s="10"/>
      <c r="C1535" s="10"/>
      <c r="D1535" s="12"/>
      <c r="E1535" s="10"/>
      <c r="F1535" s="10"/>
      <c r="G1535" s="10"/>
    </row>
    <row r="1536" spans="1:7" x14ac:dyDescent="0.25">
      <c r="A1536" s="10"/>
      <c r="B1536" s="10"/>
      <c r="C1536" s="10"/>
      <c r="D1536" s="12"/>
      <c r="E1536" s="10"/>
      <c r="F1536" s="10"/>
      <c r="G1536" s="10"/>
    </row>
    <row r="1537" spans="1:7" x14ac:dyDescent="0.25">
      <c r="A1537" s="10"/>
      <c r="B1537" s="10"/>
      <c r="C1537" s="10"/>
      <c r="D1537" s="12"/>
      <c r="E1537" s="10"/>
      <c r="F1537" s="10"/>
      <c r="G1537" s="10"/>
    </row>
    <row r="1538" spans="1:7" x14ac:dyDescent="0.25">
      <c r="A1538" s="10"/>
      <c r="B1538" s="10"/>
      <c r="C1538" s="10"/>
      <c r="D1538" s="12"/>
      <c r="E1538" s="10"/>
      <c r="F1538" s="10"/>
      <c r="G1538" s="10"/>
    </row>
    <row r="1539" spans="1:7" x14ac:dyDescent="0.25">
      <c r="A1539" s="10"/>
      <c r="B1539" s="10"/>
      <c r="C1539" s="10"/>
      <c r="D1539" s="12"/>
      <c r="E1539" s="10"/>
      <c r="F1539" s="10"/>
      <c r="G1539" s="10"/>
    </row>
    <row r="1540" spans="1:7" x14ac:dyDescent="0.25">
      <c r="A1540" s="10"/>
      <c r="B1540" s="10"/>
      <c r="C1540" s="10"/>
      <c r="D1540" s="12"/>
      <c r="E1540" s="10"/>
      <c r="F1540" s="10"/>
      <c r="G1540" s="10"/>
    </row>
    <row r="1541" spans="1:7" x14ac:dyDescent="0.25">
      <c r="A1541" s="10"/>
      <c r="B1541" s="10"/>
      <c r="C1541" s="10"/>
      <c r="D1541" s="12"/>
      <c r="E1541" s="10"/>
      <c r="F1541" s="10"/>
      <c r="G1541" s="10"/>
    </row>
    <row r="1542" spans="1:7" x14ac:dyDescent="0.25">
      <c r="A1542" s="10"/>
      <c r="B1542" s="10"/>
      <c r="C1542" s="10"/>
      <c r="D1542" s="12"/>
      <c r="E1542" s="10"/>
      <c r="F1542" s="10"/>
      <c r="G1542" s="10"/>
    </row>
    <row r="1543" spans="1:7" x14ac:dyDescent="0.25">
      <c r="A1543" s="10"/>
      <c r="B1543" s="10"/>
      <c r="C1543" s="10"/>
      <c r="D1543" s="12"/>
      <c r="E1543" s="10"/>
      <c r="F1543" s="10"/>
      <c r="G1543" s="10"/>
    </row>
    <row r="1544" spans="1:7" x14ac:dyDescent="0.25">
      <c r="A1544" s="10"/>
      <c r="B1544" s="10"/>
      <c r="C1544" s="10"/>
      <c r="D1544" s="12"/>
      <c r="E1544" s="10"/>
      <c r="F1544" s="10"/>
      <c r="G1544" s="10"/>
    </row>
    <row r="1545" spans="1:7" x14ac:dyDescent="0.25">
      <c r="A1545" s="10"/>
      <c r="B1545" s="10"/>
      <c r="C1545" s="10"/>
      <c r="D1545" s="12"/>
      <c r="E1545" s="10"/>
      <c r="F1545" s="10"/>
      <c r="G1545" s="10"/>
    </row>
    <row r="1546" spans="1:7" x14ac:dyDescent="0.25">
      <c r="A1546" s="10"/>
      <c r="B1546" s="10"/>
      <c r="C1546" s="10"/>
      <c r="D1546" s="12"/>
      <c r="E1546" s="10"/>
      <c r="F1546" s="10"/>
      <c r="G1546" s="10"/>
    </row>
    <row r="1547" spans="1:7" x14ac:dyDescent="0.25">
      <c r="A1547" s="10"/>
      <c r="B1547" s="10"/>
      <c r="C1547" s="10"/>
      <c r="D1547" s="12"/>
      <c r="E1547" s="10"/>
      <c r="F1547" s="10"/>
      <c r="G1547" s="10"/>
    </row>
    <row r="1548" spans="1:7" x14ac:dyDescent="0.25">
      <c r="A1548" s="10"/>
      <c r="B1548" s="10"/>
      <c r="C1548" s="10"/>
      <c r="D1548" s="12"/>
      <c r="E1548" s="10"/>
      <c r="F1548" s="10"/>
      <c r="G1548" s="10"/>
    </row>
    <row r="1549" spans="1:7" x14ac:dyDescent="0.25">
      <c r="A1549" s="10"/>
      <c r="B1549" s="10"/>
      <c r="C1549" s="10"/>
      <c r="D1549" s="12"/>
      <c r="E1549" s="10"/>
      <c r="F1549" s="10"/>
      <c r="G1549" s="10"/>
    </row>
    <row r="1550" spans="1:7" x14ac:dyDescent="0.25">
      <c r="A1550" s="10"/>
      <c r="B1550" s="10"/>
      <c r="C1550" s="10"/>
      <c r="D1550" s="12"/>
      <c r="E1550" s="10"/>
      <c r="F1550" s="10"/>
      <c r="G1550" s="10"/>
    </row>
    <row r="1551" spans="1:7" x14ac:dyDescent="0.25">
      <c r="A1551" s="10"/>
      <c r="B1551" s="10"/>
      <c r="C1551" s="10"/>
      <c r="D1551" s="12"/>
      <c r="E1551" s="10"/>
      <c r="F1551" s="10"/>
      <c r="G1551" s="10"/>
    </row>
    <row r="1552" spans="1:7" x14ac:dyDescent="0.25">
      <c r="A1552" s="10"/>
      <c r="B1552" s="10"/>
      <c r="C1552" s="10"/>
      <c r="D1552" s="12"/>
      <c r="E1552" s="10"/>
      <c r="F1552" s="10"/>
      <c r="G1552" s="10"/>
    </row>
    <row r="1553" spans="1:7" x14ac:dyDescent="0.25">
      <c r="A1553" s="10"/>
      <c r="B1553" s="10"/>
      <c r="C1553" s="10"/>
      <c r="D1553" s="12"/>
      <c r="E1553" s="10"/>
      <c r="F1553" s="10"/>
      <c r="G1553" s="10"/>
    </row>
    <row r="1554" spans="1:7" x14ac:dyDescent="0.25">
      <c r="A1554" s="10"/>
      <c r="B1554" s="10"/>
      <c r="C1554" s="10"/>
      <c r="D1554" s="12"/>
      <c r="E1554" s="10"/>
      <c r="F1554" s="10"/>
      <c r="G1554" s="10"/>
    </row>
    <row r="1555" spans="1:7" x14ac:dyDescent="0.25">
      <c r="A1555" s="10"/>
      <c r="B1555" s="10"/>
      <c r="C1555" s="10"/>
      <c r="D1555" s="12"/>
      <c r="E1555" s="10"/>
      <c r="F1555" s="10"/>
      <c r="G1555" s="10"/>
    </row>
    <row r="1556" spans="1:7" x14ac:dyDescent="0.25">
      <c r="A1556" s="10"/>
      <c r="B1556" s="10"/>
      <c r="C1556" s="10"/>
      <c r="D1556" s="12"/>
      <c r="E1556" s="10"/>
      <c r="F1556" s="10"/>
      <c r="G1556" s="10"/>
    </row>
    <row r="1557" spans="1:7" x14ac:dyDescent="0.25">
      <c r="A1557" s="10"/>
      <c r="B1557" s="10"/>
      <c r="C1557" s="10"/>
      <c r="D1557" s="12"/>
      <c r="E1557" s="10"/>
      <c r="F1557" s="10"/>
      <c r="G1557" s="10"/>
    </row>
    <row r="1558" spans="1:7" x14ac:dyDescent="0.25">
      <c r="A1558" s="10"/>
      <c r="B1558" s="10"/>
      <c r="C1558" s="10"/>
      <c r="D1558" s="12"/>
      <c r="E1558" s="10"/>
      <c r="F1558" s="10"/>
      <c r="G1558" s="10"/>
    </row>
    <row r="1559" spans="1:7" x14ac:dyDescent="0.25">
      <c r="A1559" s="10"/>
      <c r="B1559" s="10"/>
      <c r="C1559" s="10"/>
      <c r="D1559" s="12"/>
      <c r="E1559" s="10"/>
      <c r="F1559" s="10"/>
      <c r="G1559" s="10"/>
    </row>
    <row r="1560" spans="1:7" x14ac:dyDescent="0.25">
      <c r="A1560" s="10"/>
      <c r="B1560" s="10"/>
      <c r="C1560" s="10"/>
      <c r="D1560" s="12"/>
      <c r="E1560" s="10"/>
      <c r="F1560" s="10"/>
      <c r="G1560" s="10"/>
    </row>
    <row r="1561" spans="1:7" x14ac:dyDescent="0.25">
      <c r="A1561" s="10"/>
      <c r="B1561" s="10"/>
      <c r="C1561" s="10"/>
      <c r="D1561" s="12"/>
      <c r="E1561" s="10"/>
      <c r="F1561" s="10"/>
      <c r="G1561" s="10"/>
    </row>
    <row r="1562" spans="1:7" x14ac:dyDescent="0.25">
      <c r="A1562" s="10"/>
      <c r="B1562" s="10"/>
      <c r="C1562" s="10"/>
      <c r="D1562" s="12"/>
      <c r="E1562" s="10"/>
      <c r="F1562" s="10"/>
      <c r="G1562" s="10"/>
    </row>
    <row r="1563" spans="1:7" x14ac:dyDescent="0.25">
      <c r="A1563" s="10"/>
      <c r="B1563" s="10"/>
      <c r="C1563" s="10"/>
      <c r="D1563" s="12"/>
      <c r="E1563" s="10"/>
      <c r="F1563" s="10"/>
      <c r="G1563" s="10"/>
    </row>
    <row r="1564" spans="1:7" x14ac:dyDescent="0.25">
      <c r="A1564" s="10"/>
      <c r="B1564" s="10"/>
      <c r="C1564" s="10"/>
      <c r="D1564" s="12"/>
      <c r="E1564" s="10"/>
      <c r="F1564" s="10"/>
      <c r="G1564" s="10"/>
    </row>
    <row r="1565" spans="1:7" x14ac:dyDescent="0.25">
      <c r="A1565" s="10"/>
      <c r="B1565" s="10"/>
      <c r="C1565" s="10"/>
      <c r="D1565" s="12"/>
      <c r="E1565" s="10"/>
      <c r="F1565" s="10"/>
      <c r="G1565" s="10"/>
    </row>
    <row r="1566" spans="1:7" x14ac:dyDescent="0.25">
      <c r="A1566" s="10"/>
      <c r="B1566" s="10"/>
      <c r="C1566" s="10"/>
      <c r="D1566" s="12"/>
      <c r="E1566" s="10"/>
      <c r="F1566" s="10"/>
      <c r="G1566" s="10"/>
    </row>
    <row r="1567" spans="1:7" x14ac:dyDescent="0.25">
      <c r="A1567" s="10"/>
      <c r="B1567" s="10"/>
      <c r="C1567" s="10"/>
      <c r="D1567" s="12"/>
      <c r="E1567" s="10"/>
      <c r="F1567" s="10"/>
      <c r="G1567" s="10"/>
    </row>
    <row r="1568" spans="1:7" x14ac:dyDescent="0.25">
      <c r="A1568" s="10"/>
      <c r="B1568" s="10"/>
      <c r="C1568" s="10"/>
      <c r="D1568" s="12"/>
      <c r="E1568" s="10"/>
      <c r="F1568" s="10"/>
      <c r="G1568" s="10"/>
    </row>
    <row r="1569" spans="1:7" x14ac:dyDescent="0.25">
      <c r="A1569" s="10"/>
      <c r="B1569" s="10"/>
      <c r="C1569" s="10"/>
      <c r="D1569" s="12"/>
      <c r="E1569" s="10"/>
      <c r="F1569" s="10"/>
      <c r="G1569" s="10"/>
    </row>
    <row r="1570" spans="1:7" x14ac:dyDescent="0.25">
      <c r="A1570" s="10"/>
      <c r="B1570" s="10"/>
      <c r="C1570" s="10"/>
      <c r="D1570" s="12"/>
      <c r="E1570" s="10"/>
      <c r="F1570" s="10"/>
      <c r="G1570" s="10"/>
    </row>
    <row r="1571" spans="1:7" x14ac:dyDescent="0.25">
      <c r="A1571" s="10"/>
      <c r="B1571" s="10"/>
      <c r="C1571" s="10"/>
      <c r="D1571" s="12"/>
      <c r="E1571" s="10"/>
      <c r="F1571" s="10"/>
      <c r="G1571" s="10"/>
    </row>
    <row r="1572" spans="1:7" x14ac:dyDescent="0.25">
      <c r="A1572" s="10"/>
      <c r="B1572" s="10"/>
      <c r="C1572" s="10"/>
      <c r="D1572" s="12"/>
      <c r="E1572" s="10"/>
      <c r="F1572" s="10"/>
      <c r="G1572" s="10"/>
    </row>
    <row r="1573" spans="1:7" x14ac:dyDescent="0.25">
      <c r="A1573" s="10"/>
      <c r="B1573" s="10"/>
      <c r="C1573" s="10"/>
      <c r="D1573" s="12"/>
      <c r="E1573" s="10"/>
      <c r="F1573" s="10"/>
      <c r="G1573" s="10"/>
    </row>
    <row r="1574" spans="1:7" x14ac:dyDescent="0.25">
      <c r="A1574" s="10"/>
      <c r="B1574" s="10"/>
      <c r="C1574" s="10"/>
      <c r="D1574" s="12"/>
      <c r="E1574" s="10"/>
      <c r="F1574" s="10"/>
      <c r="G1574" s="10"/>
    </row>
    <row r="1575" spans="1:7" x14ac:dyDescent="0.25">
      <c r="A1575" s="10"/>
      <c r="B1575" s="10"/>
      <c r="C1575" s="10"/>
      <c r="D1575" s="12"/>
      <c r="E1575" s="10"/>
      <c r="F1575" s="10"/>
      <c r="G1575" s="10"/>
    </row>
    <row r="1576" spans="1:7" x14ac:dyDescent="0.25">
      <c r="A1576" s="10"/>
      <c r="B1576" s="10"/>
      <c r="C1576" s="10"/>
      <c r="D1576" s="12"/>
      <c r="E1576" s="10"/>
      <c r="F1576" s="10"/>
      <c r="G1576" s="10"/>
    </row>
    <row r="1577" spans="1:7" x14ac:dyDescent="0.25">
      <c r="A1577" s="10"/>
      <c r="B1577" s="10"/>
      <c r="C1577" s="10"/>
      <c r="D1577" s="12"/>
      <c r="E1577" s="10"/>
      <c r="F1577" s="10"/>
      <c r="G1577" s="10"/>
    </row>
    <row r="1578" spans="1:7" x14ac:dyDescent="0.25">
      <c r="A1578" s="10"/>
      <c r="B1578" s="10"/>
      <c r="C1578" s="10"/>
      <c r="D1578" s="12"/>
      <c r="E1578" s="10"/>
      <c r="F1578" s="10"/>
      <c r="G1578" s="10"/>
    </row>
    <row r="1579" spans="1:7" x14ac:dyDescent="0.25">
      <c r="A1579" s="10"/>
      <c r="B1579" s="10"/>
      <c r="C1579" s="10"/>
      <c r="D1579" s="12"/>
      <c r="E1579" s="10"/>
      <c r="F1579" s="10"/>
      <c r="G1579" s="10"/>
    </row>
    <row r="1580" spans="1:7" x14ac:dyDescent="0.25">
      <c r="A1580" s="10"/>
      <c r="B1580" s="10"/>
      <c r="C1580" s="10"/>
      <c r="D1580" s="12"/>
      <c r="E1580" s="10"/>
      <c r="F1580" s="10"/>
      <c r="G1580" s="10"/>
    </row>
    <row r="1581" spans="1:7" x14ac:dyDescent="0.25">
      <c r="A1581" s="10"/>
      <c r="B1581" s="10"/>
      <c r="C1581" s="10"/>
      <c r="D1581" s="12"/>
      <c r="E1581" s="10"/>
      <c r="F1581" s="10"/>
      <c r="G1581" s="10"/>
    </row>
    <row r="1582" spans="1:7" x14ac:dyDescent="0.25">
      <c r="A1582" s="10"/>
      <c r="B1582" s="10"/>
      <c r="C1582" s="10"/>
      <c r="D1582" s="12"/>
      <c r="E1582" s="10"/>
      <c r="F1582" s="10"/>
      <c r="G1582" s="10"/>
    </row>
    <row r="1583" spans="1:7" x14ac:dyDescent="0.25">
      <c r="A1583" s="10"/>
      <c r="B1583" s="10"/>
      <c r="C1583" s="10"/>
      <c r="D1583" s="12"/>
      <c r="E1583" s="10"/>
      <c r="F1583" s="10"/>
      <c r="G1583" s="10"/>
    </row>
    <row r="1584" spans="1:7" x14ac:dyDescent="0.25">
      <c r="A1584" s="10"/>
      <c r="B1584" s="10"/>
      <c r="C1584" s="10"/>
      <c r="D1584" s="12"/>
      <c r="E1584" s="10"/>
      <c r="F1584" s="10"/>
      <c r="G1584" s="10"/>
    </row>
    <row r="1585" spans="1:7" x14ac:dyDescent="0.25">
      <c r="A1585" s="10"/>
      <c r="B1585" s="10"/>
      <c r="C1585" s="10"/>
      <c r="D1585" s="12"/>
      <c r="E1585" s="10"/>
      <c r="F1585" s="10"/>
      <c r="G1585" s="10"/>
    </row>
    <row r="1586" spans="1:7" x14ac:dyDescent="0.25">
      <c r="A1586" s="10"/>
      <c r="B1586" s="10"/>
      <c r="C1586" s="10"/>
      <c r="D1586" s="12"/>
      <c r="E1586" s="10"/>
      <c r="F1586" s="10"/>
      <c r="G1586" s="10"/>
    </row>
    <row r="1587" spans="1:7" x14ac:dyDescent="0.25">
      <c r="A1587" s="10"/>
      <c r="B1587" s="10"/>
      <c r="C1587" s="10"/>
      <c r="D1587" s="12"/>
      <c r="E1587" s="10"/>
      <c r="F1587" s="10"/>
      <c r="G1587" s="10"/>
    </row>
    <row r="1588" spans="1:7" x14ac:dyDescent="0.25">
      <c r="A1588" s="10"/>
      <c r="B1588" s="10"/>
      <c r="C1588" s="10"/>
      <c r="D1588" s="12"/>
      <c r="E1588" s="10"/>
      <c r="F1588" s="10"/>
      <c r="G1588" s="10"/>
    </row>
    <row r="1589" spans="1:7" x14ac:dyDescent="0.25">
      <c r="A1589" s="10"/>
      <c r="B1589" s="10"/>
      <c r="C1589" s="10"/>
      <c r="D1589" s="12"/>
      <c r="E1589" s="10"/>
      <c r="F1589" s="10"/>
      <c r="G1589" s="10"/>
    </row>
    <row r="1590" spans="1:7" x14ac:dyDescent="0.25">
      <c r="A1590" s="10"/>
      <c r="B1590" s="10"/>
      <c r="C1590" s="10"/>
      <c r="D1590" s="12"/>
      <c r="E1590" s="10"/>
      <c r="F1590" s="10"/>
      <c r="G1590" s="10"/>
    </row>
    <row r="1591" spans="1:7" x14ac:dyDescent="0.25">
      <c r="A1591" s="10"/>
      <c r="B1591" s="10"/>
      <c r="C1591" s="10"/>
      <c r="D1591" s="12"/>
      <c r="E1591" s="10"/>
      <c r="F1591" s="10"/>
      <c r="G1591" s="10"/>
    </row>
    <row r="1592" spans="1:7" x14ac:dyDescent="0.25">
      <c r="A1592" s="10"/>
      <c r="B1592" s="10"/>
      <c r="C1592" s="10"/>
      <c r="D1592" s="12"/>
      <c r="E1592" s="10"/>
      <c r="F1592" s="10"/>
      <c r="G1592" s="10"/>
    </row>
    <row r="1593" spans="1:7" x14ac:dyDescent="0.25">
      <c r="A1593" s="10"/>
      <c r="B1593" s="10"/>
      <c r="C1593" s="10"/>
      <c r="D1593" s="12"/>
      <c r="E1593" s="10"/>
      <c r="F1593" s="10"/>
      <c r="G1593" s="10"/>
    </row>
    <row r="1594" spans="1:7" x14ac:dyDescent="0.25">
      <c r="A1594" s="10"/>
      <c r="B1594" s="10"/>
      <c r="C1594" s="10"/>
      <c r="D1594" s="12"/>
      <c r="E1594" s="10"/>
      <c r="F1594" s="10"/>
      <c r="G1594" s="10"/>
    </row>
    <row r="1595" spans="1:7" x14ac:dyDescent="0.25">
      <c r="A1595" s="10"/>
      <c r="B1595" s="10"/>
      <c r="C1595" s="10"/>
      <c r="D1595" s="12"/>
      <c r="E1595" s="10"/>
      <c r="F1595" s="10"/>
      <c r="G1595" s="10"/>
    </row>
    <row r="1596" spans="1:7" x14ac:dyDescent="0.25">
      <c r="A1596" s="10"/>
      <c r="B1596" s="10"/>
      <c r="C1596" s="10"/>
      <c r="D1596" s="12"/>
      <c r="E1596" s="10"/>
      <c r="F1596" s="10"/>
      <c r="G1596" s="10"/>
    </row>
    <row r="1597" spans="1:7" x14ac:dyDescent="0.25">
      <c r="A1597" s="10"/>
      <c r="B1597" s="10"/>
      <c r="C1597" s="10"/>
      <c r="D1597" s="12"/>
      <c r="E1597" s="10"/>
      <c r="F1597" s="10"/>
      <c r="G1597" s="10"/>
    </row>
    <row r="1598" spans="1:7" x14ac:dyDescent="0.25">
      <c r="A1598" s="10"/>
      <c r="B1598" s="10"/>
      <c r="C1598" s="10"/>
      <c r="D1598" s="12"/>
      <c r="E1598" s="10"/>
      <c r="F1598" s="10"/>
      <c r="G1598" s="10"/>
    </row>
    <row r="1599" spans="1:7" x14ac:dyDescent="0.25">
      <c r="A1599" s="10"/>
      <c r="B1599" s="10"/>
      <c r="C1599" s="10"/>
      <c r="D1599" s="12"/>
      <c r="E1599" s="10"/>
      <c r="F1599" s="10"/>
      <c r="G1599" s="10"/>
    </row>
    <row r="1600" spans="1:7" x14ac:dyDescent="0.25">
      <c r="A1600" s="10"/>
      <c r="B1600" s="10"/>
      <c r="C1600" s="10"/>
      <c r="D1600" s="12"/>
      <c r="E1600" s="10"/>
      <c r="F1600" s="10"/>
      <c r="G1600" s="10"/>
    </row>
    <row r="1601" spans="1:7" x14ac:dyDescent="0.25">
      <c r="A1601" s="10"/>
      <c r="B1601" s="10"/>
      <c r="C1601" s="10"/>
      <c r="D1601" s="12"/>
      <c r="E1601" s="10"/>
      <c r="F1601" s="10"/>
      <c r="G1601" s="10"/>
    </row>
    <row r="1602" spans="1:7" x14ac:dyDescent="0.25">
      <c r="A1602" s="10"/>
      <c r="B1602" s="10"/>
      <c r="C1602" s="10"/>
      <c r="D1602" s="12"/>
      <c r="E1602" s="10"/>
      <c r="F1602" s="10"/>
      <c r="G1602" s="10"/>
    </row>
    <row r="1603" spans="1:7" x14ac:dyDescent="0.25">
      <c r="A1603" s="10"/>
      <c r="B1603" s="10"/>
      <c r="C1603" s="10"/>
      <c r="D1603" s="12"/>
      <c r="E1603" s="10"/>
      <c r="F1603" s="10"/>
      <c r="G1603" s="10"/>
    </row>
    <row r="1604" spans="1:7" x14ac:dyDescent="0.25">
      <c r="A1604" s="10"/>
      <c r="B1604" s="10"/>
      <c r="C1604" s="10"/>
      <c r="D1604" s="12"/>
      <c r="E1604" s="10"/>
      <c r="F1604" s="10"/>
      <c r="G1604" s="10"/>
    </row>
    <row r="1605" spans="1:7" x14ac:dyDescent="0.25">
      <c r="A1605" s="10"/>
      <c r="B1605" s="10"/>
      <c r="C1605" s="10"/>
      <c r="D1605" s="12"/>
      <c r="E1605" s="10"/>
      <c r="F1605" s="10"/>
      <c r="G1605" s="10"/>
    </row>
    <row r="1606" spans="1:7" x14ac:dyDescent="0.25">
      <c r="A1606" s="10"/>
      <c r="B1606" s="10"/>
      <c r="C1606" s="10"/>
      <c r="D1606" s="12"/>
      <c r="E1606" s="10"/>
      <c r="F1606" s="10"/>
      <c r="G1606" s="10"/>
    </row>
    <row r="1607" spans="1:7" x14ac:dyDescent="0.25">
      <c r="A1607" s="10"/>
      <c r="B1607" s="10"/>
      <c r="C1607" s="10"/>
      <c r="D1607" s="12"/>
      <c r="E1607" s="10"/>
      <c r="F1607" s="10"/>
      <c r="G1607" s="10"/>
    </row>
    <row r="1608" spans="1:7" x14ac:dyDescent="0.25">
      <c r="A1608" s="10"/>
      <c r="B1608" s="10"/>
      <c r="C1608" s="10"/>
      <c r="D1608" s="12"/>
      <c r="E1608" s="10"/>
      <c r="F1608" s="10"/>
      <c r="G1608" s="10"/>
    </row>
    <row r="1609" spans="1:7" x14ac:dyDescent="0.25">
      <c r="A1609" s="10"/>
      <c r="B1609" s="10"/>
      <c r="C1609" s="10"/>
      <c r="D1609" s="12"/>
      <c r="E1609" s="10"/>
      <c r="F1609" s="10"/>
      <c r="G1609" s="10"/>
    </row>
    <row r="1610" spans="1:7" x14ac:dyDescent="0.25">
      <c r="A1610" s="10"/>
      <c r="B1610" s="10"/>
      <c r="C1610" s="10"/>
      <c r="D1610" s="12"/>
      <c r="E1610" s="10"/>
      <c r="F1610" s="10"/>
      <c r="G1610" s="10"/>
    </row>
    <row r="1611" spans="1:7" x14ac:dyDescent="0.25">
      <c r="A1611" s="10"/>
      <c r="B1611" s="10"/>
      <c r="C1611" s="10"/>
      <c r="D1611" s="12"/>
      <c r="E1611" s="10"/>
      <c r="F1611" s="10"/>
      <c r="G1611" s="10"/>
    </row>
    <row r="1612" spans="1:7" x14ac:dyDescent="0.25">
      <c r="A1612" s="10"/>
      <c r="B1612" s="10"/>
      <c r="C1612" s="10"/>
      <c r="D1612" s="12"/>
      <c r="E1612" s="10"/>
      <c r="F1612" s="10"/>
      <c r="G1612" s="10"/>
    </row>
    <row r="1613" spans="1:7" x14ac:dyDescent="0.25">
      <c r="A1613" s="10"/>
      <c r="B1613" s="10"/>
      <c r="C1613" s="10"/>
      <c r="D1613" s="12"/>
      <c r="E1613" s="10"/>
      <c r="F1613" s="10"/>
      <c r="G1613" s="10"/>
    </row>
    <row r="1614" spans="1:7" x14ac:dyDescent="0.25">
      <c r="A1614" s="10"/>
      <c r="B1614" s="10"/>
      <c r="C1614" s="10"/>
      <c r="D1614" s="12"/>
      <c r="E1614" s="10"/>
      <c r="F1614" s="10"/>
      <c r="G1614" s="10"/>
    </row>
    <row r="1615" spans="1:7" x14ac:dyDescent="0.25">
      <c r="A1615" s="10"/>
      <c r="B1615" s="10"/>
      <c r="C1615" s="10"/>
      <c r="D1615" s="12"/>
      <c r="E1615" s="10"/>
      <c r="F1615" s="10"/>
      <c r="G1615" s="10"/>
    </row>
    <row r="1616" spans="1:7" x14ac:dyDescent="0.25">
      <c r="A1616" s="10"/>
      <c r="B1616" s="10"/>
      <c r="C1616" s="10"/>
      <c r="D1616" s="12"/>
      <c r="E1616" s="10"/>
      <c r="F1616" s="10"/>
      <c r="G1616" s="10"/>
    </row>
    <row r="1617" spans="1:7" x14ac:dyDescent="0.25">
      <c r="A1617" s="10"/>
      <c r="B1617" s="10"/>
      <c r="C1617" s="10"/>
      <c r="D1617" s="12"/>
      <c r="E1617" s="10"/>
      <c r="F1617" s="10"/>
      <c r="G1617" s="10"/>
    </row>
    <row r="1618" spans="1:7" x14ac:dyDescent="0.25">
      <c r="A1618" s="10"/>
      <c r="B1618" s="10"/>
      <c r="C1618" s="10"/>
      <c r="D1618" s="12"/>
      <c r="E1618" s="10"/>
      <c r="F1618" s="10"/>
      <c r="G1618" s="10"/>
    </row>
    <row r="1619" spans="1:7" x14ac:dyDescent="0.25">
      <c r="A1619" s="10"/>
      <c r="B1619" s="10"/>
      <c r="C1619" s="10"/>
      <c r="D1619" s="12"/>
      <c r="E1619" s="10"/>
      <c r="F1619" s="10"/>
      <c r="G1619" s="10"/>
    </row>
    <row r="1620" spans="1:7" x14ac:dyDescent="0.25">
      <c r="A1620" s="10"/>
      <c r="B1620" s="10"/>
      <c r="C1620" s="10"/>
      <c r="D1620" s="12"/>
      <c r="E1620" s="10"/>
      <c r="F1620" s="10"/>
      <c r="G1620" s="10"/>
    </row>
    <row r="1621" spans="1:7" x14ac:dyDescent="0.25">
      <c r="A1621" s="10"/>
      <c r="B1621" s="10"/>
      <c r="C1621" s="10"/>
      <c r="D1621" s="12"/>
      <c r="E1621" s="10"/>
      <c r="F1621" s="10"/>
      <c r="G1621" s="10"/>
    </row>
    <row r="1622" spans="1:7" x14ac:dyDescent="0.25">
      <c r="A1622" s="10"/>
      <c r="B1622" s="10"/>
      <c r="C1622" s="10"/>
      <c r="D1622" s="12"/>
      <c r="E1622" s="10"/>
      <c r="F1622" s="10"/>
      <c r="G1622" s="10"/>
    </row>
    <row r="1623" spans="1:7" x14ac:dyDescent="0.25">
      <c r="A1623" s="10"/>
      <c r="B1623" s="10"/>
      <c r="C1623" s="10"/>
      <c r="D1623" s="12"/>
      <c r="E1623" s="10"/>
      <c r="F1623" s="10"/>
      <c r="G1623" s="10"/>
    </row>
    <row r="1624" spans="1:7" x14ac:dyDescent="0.25">
      <c r="A1624" s="10"/>
      <c r="B1624" s="10"/>
      <c r="C1624" s="10"/>
      <c r="D1624" s="12"/>
      <c r="E1624" s="10"/>
      <c r="F1624" s="10"/>
      <c r="G1624" s="10"/>
    </row>
    <row r="1625" spans="1:7" x14ac:dyDescent="0.25">
      <c r="A1625" s="10"/>
      <c r="B1625" s="10"/>
      <c r="C1625" s="10"/>
      <c r="D1625" s="12"/>
      <c r="E1625" s="10"/>
      <c r="F1625" s="10"/>
      <c r="G1625" s="10"/>
    </row>
    <row r="1626" spans="1:7" x14ac:dyDescent="0.25">
      <c r="A1626" s="10"/>
      <c r="B1626" s="10"/>
      <c r="C1626" s="10"/>
      <c r="D1626" s="12"/>
      <c r="E1626" s="10"/>
      <c r="F1626" s="10"/>
      <c r="G1626" s="10"/>
    </row>
    <row r="1627" spans="1:7" x14ac:dyDescent="0.25">
      <c r="A1627" s="10"/>
      <c r="B1627" s="10"/>
      <c r="C1627" s="10"/>
      <c r="D1627" s="12"/>
      <c r="E1627" s="10"/>
      <c r="F1627" s="10"/>
      <c r="G1627" s="10"/>
    </row>
    <row r="1628" spans="1:7" x14ac:dyDescent="0.25">
      <c r="A1628" s="10"/>
      <c r="B1628" s="10"/>
      <c r="C1628" s="10"/>
      <c r="D1628" s="12"/>
      <c r="E1628" s="10"/>
      <c r="F1628" s="10"/>
      <c r="G1628" s="10"/>
    </row>
    <row r="1629" spans="1:7" x14ac:dyDescent="0.25">
      <c r="A1629" s="10"/>
      <c r="B1629" s="10"/>
      <c r="C1629" s="10"/>
      <c r="D1629" s="12"/>
      <c r="E1629" s="10"/>
      <c r="F1629" s="10"/>
      <c r="G1629" s="10"/>
    </row>
    <row r="1630" spans="1:7" x14ac:dyDescent="0.25">
      <c r="A1630" s="10"/>
      <c r="B1630" s="10"/>
      <c r="C1630" s="10"/>
      <c r="D1630" s="12"/>
      <c r="E1630" s="10"/>
      <c r="F1630" s="10"/>
      <c r="G1630" s="10"/>
    </row>
    <row r="1631" spans="1:7" x14ac:dyDescent="0.25">
      <c r="A1631" s="10"/>
      <c r="B1631" s="10"/>
      <c r="C1631" s="10"/>
      <c r="D1631" s="12"/>
      <c r="E1631" s="10"/>
      <c r="F1631" s="10"/>
      <c r="G1631" s="10"/>
    </row>
    <row r="1632" spans="1:7" x14ac:dyDescent="0.25">
      <c r="A1632" s="10"/>
      <c r="B1632" s="10"/>
      <c r="C1632" s="10"/>
      <c r="D1632" s="12"/>
      <c r="E1632" s="10"/>
      <c r="F1632" s="10"/>
      <c r="G1632" s="10"/>
    </row>
    <row r="1633" spans="1:7" x14ac:dyDescent="0.25">
      <c r="A1633" s="10"/>
      <c r="B1633" s="10"/>
      <c r="C1633" s="10"/>
      <c r="D1633" s="12"/>
      <c r="E1633" s="10"/>
      <c r="F1633" s="10"/>
      <c r="G1633" s="10"/>
    </row>
    <row r="1634" spans="1:7" x14ac:dyDescent="0.25">
      <c r="A1634" s="10"/>
      <c r="B1634" s="10"/>
      <c r="C1634" s="10"/>
      <c r="D1634" s="12"/>
      <c r="E1634" s="10"/>
      <c r="F1634" s="10"/>
      <c r="G1634" s="10"/>
    </row>
    <row r="1635" spans="1:7" x14ac:dyDescent="0.25">
      <c r="A1635" s="10"/>
      <c r="B1635" s="10"/>
      <c r="C1635" s="10"/>
      <c r="D1635" s="12"/>
      <c r="E1635" s="10"/>
      <c r="F1635" s="10"/>
      <c r="G1635" s="10"/>
    </row>
    <row r="1636" spans="1:7" x14ac:dyDescent="0.25">
      <c r="A1636" s="10"/>
      <c r="B1636" s="10"/>
      <c r="C1636" s="10"/>
      <c r="D1636" s="12"/>
      <c r="E1636" s="10"/>
      <c r="F1636" s="10"/>
      <c r="G1636" s="10"/>
    </row>
    <row r="1637" spans="1:7" x14ac:dyDescent="0.25">
      <c r="A1637" s="10"/>
      <c r="B1637" s="10"/>
      <c r="C1637" s="10"/>
      <c r="D1637" s="12"/>
      <c r="E1637" s="10"/>
      <c r="F1637" s="10"/>
      <c r="G1637" s="10"/>
    </row>
    <row r="1638" spans="1:7" x14ac:dyDescent="0.25">
      <c r="A1638" s="10"/>
      <c r="B1638" s="10"/>
      <c r="C1638" s="10"/>
      <c r="D1638" s="12"/>
      <c r="E1638" s="10"/>
      <c r="F1638" s="10"/>
      <c r="G1638" s="10"/>
    </row>
    <row r="1639" spans="1:7" x14ac:dyDescent="0.25">
      <c r="A1639" s="10"/>
      <c r="B1639" s="10"/>
      <c r="C1639" s="10"/>
      <c r="D1639" s="12"/>
      <c r="E1639" s="10"/>
      <c r="F1639" s="10"/>
      <c r="G1639" s="10"/>
    </row>
    <row r="1640" spans="1:7" x14ac:dyDescent="0.25">
      <c r="A1640" s="10"/>
      <c r="B1640" s="10"/>
      <c r="C1640" s="10"/>
      <c r="D1640" s="12"/>
      <c r="E1640" s="10"/>
      <c r="F1640" s="10"/>
      <c r="G1640" s="10"/>
    </row>
    <row r="1641" spans="1:7" x14ac:dyDescent="0.25">
      <c r="A1641" s="10"/>
      <c r="B1641" s="10"/>
      <c r="C1641" s="10"/>
      <c r="D1641" s="12"/>
      <c r="E1641" s="10"/>
      <c r="F1641" s="10"/>
      <c r="G1641" s="10"/>
    </row>
    <row r="1642" spans="1:7" x14ac:dyDescent="0.25">
      <c r="A1642" s="10"/>
      <c r="B1642" s="10"/>
      <c r="C1642" s="10"/>
      <c r="D1642" s="12"/>
      <c r="E1642" s="10"/>
      <c r="F1642" s="10"/>
      <c r="G1642" s="10"/>
    </row>
    <row r="1643" spans="1:7" x14ac:dyDescent="0.25">
      <c r="A1643" s="10"/>
      <c r="B1643" s="10"/>
      <c r="C1643" s="10"/>
      <c r="D1643" s="12"/>
      <c r="E1643" s="10"/>
      <c r="F1643" s="10"/>
      <c r="G1643" s="10"/>
    </row>
    <row r="1644" spans="1:7" x14ac:dyDescent="0.25">
      <c r="A1644" s="10"/>
      <c r="B1644" s="10"/>
      <c r="C1644" s="10"/>
      <c r="D1644" s="12"/>
      <c r="E1644" s="10"/>
      <c r="F1644" s="10"/>
      <c r="G1644" s="10"/>
    </row>
    <row r="1645" spans="1:7" x14ac:dyDescent="0.25">
      <c r="A1645" s="10"/>
      <c r="B1645" s="10"/>
      <c r="C1645" s="10"/>
      <c r="D1645" s="12"/>
      <c r="E1645" s="10"/>
      <c r="F1645" s="10"/>
      <c r="G1645" s="10"/>
    </row>
    <row r="1646" spans="1:7" x14ac:dyDescent="0.25">
      <c r="A1646" s="10"/>
      <c r="B1646" s="10"/>
      <c r="C1646" s="10"/>
      <c r="D1646" s="12"/>
      <c r="E1646" s="10"/>
      <c r="F1646" s="10"/>
      <c r="G1646" s="10"/>
    </row>
    <row r="1647" spans="1:7" x14ac:dyDescent="0.25">
      <c r="A1647" s="10"/>
      <c r="B1647" s="10"/>
      <c r="C1647" s="10"/>
      <c r="D1647" s="12"/>
      <c r="E1647" s="10"/>
      <c r="F1647" s="10"/>
      <c r="G1647" s="10"/>
    </row>
    <row r="1648" spans="1:7" x14ac:dyDescent="0.25">
      <c r="A1648" s="10"/>
      <c r="B1648" s="10"/>
      <c r="C1648" s="10"/>
      <c r="D1648" s="12"/>
      <c r="E1648" s="10"/>
      <c r="F1648" s="10"/>
      <c r="G1648" s="10"/>
    </row>
    <row r="1649" spans="1:7" x14ac:dyDescent="0.25">
      <c r="A1649" s="10"/>
      <c r="B1649" s="10"/>
      <c r="C1649" s="10"/>
      <c r="D1649" s="12"/>
      <c r="E1649" s="10"/>
      <c r="F1649" s="10"/>
      <c r="G1649" s="10"/>
    </row>
    <row r="1650" spans="1:7" x14ac:dyDescent="0.25">
      <c r="A1650" s="10"/>
      <c r="B1650" s="10"/>
      <c r="C1650" s="10"/>
      <c r="D1650" s="12"/>
      <c r="E1650" s="10"/>
      <c r="F1650" s="10"/>
      <c r="G1650" s="10"/>
    </row>
    <row r="1651" spans="1:7" x14ac:dyDescent="0.25">
      <c r="A1651" s="10"/>
      <c r="B1651" s="10"/>
      <c r="C1651" s="10"/>
      <c r="D1651" s="12"/>
      <c r="E1651" s="10"/>
      <c r="F1651" s="10"/>
      <c r="G1651" s="10"/>
    </row>
    <row r="1652" spans="1:7" x14ac:dyDescent="0.25">
      <c r="A1652" s="10"/>
      <c r="B1652" s="10"/>
      <c r="C1652" s="10"/>
      <c r="D1652" s="12"/>
      <c r="E1652" s="10"/>
      <c r="F1652" s="10"/>
      <c r="G1652" s="10"/>
    </row>
    <row r="1653" spans="1:7" x14ac:dyDescent="0.25">
      <c r="A1653" s="10"/>
      <c r="B1653" s="10"/>
      <c r="C1653" s="10"/>
      <c r="D1653" s="12"/>
      <c r="E1653" s="10"/>
      <c r="F1653" s="10"/>
      <c r="G1653" s="10"/>
    </row>
    <row r="1654" spans="1:7" x14ac:dyDescent="0.25">
      <c r="A1654" s="10"/>
      <c r="B1654" s="10"/>
      <c r="C1654" s="10"/>
      <c r="D1654" s="12"/>
      <c r="E1654" s="10"/>
      <c r="F1654" s="10"/>
      <c r="G1654" s="10"/>
    </row>
    <row r="1655" spans="1:7" x14ac:dyDescent="0.25">
      <c r="A1655" s="10"/>
      <c r="B1655" s="10"/>
      <c r="C1655" s="10"/>
      <c r="D1655" s="12"/>
      <c r="E1655" s="10"/>
      <c r="F1655" s="10"/>
      <c r="G1655" s="10"/>
    </row>
    <row r="1656" spans="1:7" x14ac:dyDescent="0.25">
      <c r="A1656" s="10"/>
      <c r="B1656" s="10"/>
      <c r="C1656" s="10"/>
      <c r="D1656" s="12"/>
      <c r="E1656" s="10"/>
      <c r="F1656" s="10"/>
      <c r="G1656" s="10"/>
    </row>
    <row r="1657" spans="1:7" x14ac:dyDescent="0.25">
      <c r="A1657" s="10"/>
      <c r="B1657" s="10"/>
      <c r="C1657" s="10"/>
      <c r="D1657" s="12"/>
      <c r="E1657" s="10"/>
      <c r="F1657" s="10"/>
      <c r="G1657" s="10"/>
    </row>
    <row r="1658" spans="1:7" x14ac:dyDescent="0.25">
      <c r="A1658" s="10"/>
      <c r="B1658" s="10"/>
      <c r="C1658" s="10"/>
      <c r="D1658" s="12"/>
      <c r="E1658" s="10"/>
      <c r="F1658" s="10"/>
      <c r="G1658" s="10"/>
    </row>
    <row r="1659" spans="1:7" x14ac:dyDescent="0.25">
      <c r="A1659" s="10"/>
      <c r="B1659" s="10"/>
      <c r="C1659" s="10"/>
      <c r="D1659" s="12"/>
      <c r="E1659" s="10"/>
      <c r="F1659" s="10"/>
      <c r="G1659" s="10"/>
    </row>
    <row r="1660" spans="1:7" x14ac:dyDescent="0.25">
      <c r="A1660" s="10"/>
      <c r="B1660" s="10"/>
      <c r="C1660" s="10"/>
      <c r="D1660" s="12"/>
      <c r="E1660" s="10"/>
      <c r="F1660" s="10"/>
      <c r="G1660" s="10"/>
    </row>
    <row r="1661" spans="1:7" x14ac:dyDescent="0.25">
      <c r="A1661" s="10"/>
      <c r="B1661" s="10"/>
      <c r="C1661" s="10"/>
      <c r="D1661" s="12"/>
      <c r="E1661" s="10"/>
      <c r="F1661" s="10"/>
      <c r="G1661" s="10"/>
    </row>
    <row r="1662" spans="1:7" x14ac:dyDescent="0.25">
      <c r="A1662" s="10"/>
      <c r="B1662" s="10"/>
      <c r="C1662" s="10"/>
      <c r="D1662" s="12"/>
      <c r="E1662" s="10"/>
      <c r="F1662" s="10"/>
      <c r="G1662" s="10"/>
    </row>
    <row r="1663" spans="1:7" x14ac:dyDescent="0.25">
      <c r="A1663" s="10"/>
      <c r="B1663" s="10"/>
      <c r="C1663" s="10"/>
      <c r="D1663" s="12"/>
      <c r="E1663" s="10"/>
      <c r="F1663" s="10"/>
      <c r="G1663" s="10"/>
    </row>
    <row r="1664" spans="1:7" x14ac:dyDescent="0.25">
      <c r="A1664" s="10"/>
      <c r="B1664" s="10"/>
      <c r="C1664" s="10"/>
      <c r="D1664" s="12"/>
      <c r="E1664" s="10"/>
      <c r="F1664" s="10"/>
      <c r="G1664" s="10"/>
    </row>
    <row r="1665" spans="1:7" x14ac:dyDescent="0.25">
      <c r="A1665" s="10"/>
      <c r="B1665" s="10"/>
      <c r="C1665" s="10"/>
      <c r="D1665" s="12"/>
      <c r="E1665" s="10"/>
      <c r="F1665" s="10"/>
      <c r="G1665" s="10"/>
    </row>
    <row r="1666" spans="1:7" x14ac:dyDescent="0.25">
      <c r="A1666" s="10"/>
      <c r="B1666" s="10"/>
      <c r="C1666" s="10"/>
      <c r="D1666" s="12"/>
      <c r="E1666" s="10"/>
      <c r="F1666" s="10"/>
      <c r="G1666" s="10"/>
    </row>
    <row r="1667" spans="1:7" x14ac:dyDescent="0.25">
      <c r="A1667" s="10"/>
      <c r="B1667" s="10"/>
      <c r="C1667" s="10"/>
      <c r="D1667" s="12"/>
      <c r="E1667" s="10"/>
      <c r="F1667" s="10"/>
      <c r="G1667" s="10"/>
    </row>
    <row r="1668" spans="1:7" x14ac:dyDescent="0.25">
      <c r="A1668" s="10"/>
      <c r="B1668" s="10"/>
      <c r="C1668" s="10"/>
      <c r="D1668" s="12"/>
      <c r="E1668" s="10"/>
      <c r="F1668" s="10"/>
      <c r="G1668" s="10"/>
    </row>
    <row r="1669" spans="1:7" x14ac:dyDescent="0.25">
      <c r="A1669" s="10"/>
      <c r="B1669" s="10"/>
      <c r="C1669" s="10"/>
      <c r="D1669" s="12"/>
      <c r="E1669" s="10"/>
      <c r="F1669" s="10"/>
      <c r="G1669" s="10"/>
    </row>
    <row r="1670" spans="1:7" x14ac:dyDescent="0.25">
      <c r="A1670" s="10"/>
      <c r="B1670" s="10"/>
      <c r="C1670" s="10"/>
      <c r="D1670" s="12"/>
      <c r="E1670" s="10"/>
      <c r="F1670" s="10"/>
      <c r="G1670" s="10"/>
    </row>
    <row r="1671" spans="1:7" x14ac:dyDescent="0.25">
      <c r="A1671" s="10"/>
      <c r="B1671" s="10"/>
      <c r="C1671" s="10"/>
      <c r="D1671" s="12"/>
      <c r="E1671" s="10"/>
      <c r="F1671" s="10"/>
      <c r="G1671" s="10"/>
    </row>
    <row r="1672" spans="1:7" x14ac:dyDescent="0.25">
      <c r="A1672" s="10"/>
      <c r="B1672" s="10"/>
      <c r="C1672" s="10"/>
      <c r="D1672" s="12"/>
      <c r="E1672" s="10"/>
      <c r="F1672" s="10"/>
      <c r="G1672" s="10"/>
    </row>
    <row r="1673" spans="1:7" x14ac:dyDescent="0.25">
      <c r="A1673" s="10"/>
      <c r="B1673" s="10"/>
      <c r="C1673" s="10"/>
      <c r="D1673" s="12"/>
      <c r="E1673" s="10"/>
      <c r="F1673" s="10"/>
      <c r="G1673" s="10"/>
    </row>
    <row r="1674" spans="1:7" x14ac:dyDescent="0.25">
      <c r="A1674" s="10"/>
      <c r="B1674" s="10"/>
      <c r="C1674" s="10"/>
      <c r="D1674" s="12"/>
      <c r="E1674" s="10"/>
      <c r="F1674" s="10"/>
      <c r="G1674" s="10"/>
    </row>
    <row r="1675" spans="1:7" x14ac:dyDescent="0.25">
      <c r="A1675" s="10"/>
      <c r="B1675" s="10"/>
      <c r="C1675" s="10"/>
      <c r="D1675" s="12"/>
      <c r="E1675" s="10"/>
      <c r="F1675" s="10"/>
      <c r="G1675" s="10"/>
    </row>
    <row r="1676" spans="1:7" x14ac:dyDescent="0.25">
      <c r="A1676" s="10"/>
      <c r="B1676" s="10"/>
      <c r="C1676" s="10"/>
      <c r="D1676" s="12"/>
      <c r="E1676" s="10"/>
      <c r="F1676" s="10"/>
      <c r="G1676" s="10"/>
    </row>
    <row r="1677" spans="1:7" x14ac:dyDescent="0.25">
      <c r="A1677" s="10"/>
      <c r="B1677" s="10"/>
      <c r="C1677" s="10"/>
      <c r="D1677" s="12"/>
      <c r="E1677" s="10"/>
      <c r="F1677" s="10"/>
      <c r="G1677" s="10"/>
    </row>
    <row r="1678" spans="1:7" x14ac:dyDescent="0.25">
      <c r="A1678" s="10"/>
      <c r="B1678" s="10"/>
      <c r="C1678" s="10"/>
      <c r="D1678" s="12"/>
      <c r="E1678" s="10"/>
      <c r="F1678" s="10"/>
      <c r="G1678" s="10"/>
    </row>
    <row r="1679" spans="1:7" x14ac:dyDescent="0.25">
      <c r="A1679" s="10"/>
      <c r="B1679" s="10"/>
      <c r="C1679" s="10"/>
      <c r="D1679" s="12"/>
      <c r="E1679" s="10"/>
      <c r="F1679" s="10"/>
      <c r="G1679" s="10"/>
    </row>
    <row r="1680" spans="1:7" x14ac:dyDescent="0.25">
      <c r="A1680" s="10"/>
      <c r="B1680" s="10"/>
      <c r="C1680" s="10"/>
      <c r="D1680" s="12"/>
      <c r="E1680" s="10"/>
      <c r="F1680" s="10"/>
      <c r="G1680" s="10"/>
    </row>
    <row r="1681" spans="1:7" x14ac:dyDescent="0.25">
      <c r="A1681" s="10"/>
      <c r="B1681" s="10"/>
      <c r="C1681" s="10"/>
      <c r="D1681" s="12"/>
      <c r="E1681" s="10"/>
      <c r="F1681" s="10"/>
      <c r="G1681" s="10"/>
    </row>
    <row r="1682" spans="1:7" x14ac:dyDescent="0.25">
      <c r="A1682" s="10"/>
      <c r="B1682" s="10"/>
      <c r="C1682" s="10"/>
      <c r="D1682" s="12"/>
      <c r="E1682" s="10"/>
      <c r="F1682" s="10"/>
      <c r="G1682" s="10"/>
    </row>
    <row r="1683" spans="1:7" x14ac:dyDescent="0.25">
      <c r="A1683" s="10"/>
      <c r="B1683" s="10"/>
      <c r="C1683" s="10"/>
      <c r="D1683" s="12"/>
      <c r="E1683" s="10"/>
      <c r="F1683" s="10"/>
      <c r="G1683" s="10"/>
    </row>
    <row r="1684" spans="1:7" x14ac:dyDescent="0.25">
      <c r="A1684" s="10"/>
      <c r="B1684" s="10"/>
      <c r="C1684" s="10"/>
      <c r="D1684" s="12"/>
      <c r="E1684" s="10"/>
      <c r="F1684" s="10"/>
      <c r="G1684" s="10"/>
    </row>
    <row r="1685" spans="1:7" x14ac:dyDescent="0.25">
      <c r="A1685" s="10"/>
      <c r="B1685" s="10"/>
      <c r="C1685" s="10"/>
      <c r="D1685" s="12"/>
      <c r="E1685" s="10"/>
      <c r="F1685" s="10"/>
      <c r="G1685" s="10"/>
    </row>
    <row r="1686" spans="1:7" x14ac:dyDescent="0.25">
      <c r="A1686" s="10"/>
      <c r="B1686" s="10"/>
      <c r="C1686" s="10"/>
      <c r="D1686" s="12"/>
      <c r="E1686" s="10"/>
      <c r="F1686" s="10"/>
      <c r="G1686" s="10"/>
    </row>
    <row r="1687" spans="1:7" x14ac:dyDescent="0.25">
      <c r="A1687" s="10"/>
      <c r="B1687" s="10"/>
      <c r="C1687" s="10"/>
      <c r="D1687" s="12"/>
      <c r="E1687" s="10"/>
      <c r="F1687" s="10"/>
      <c r="G1687" s="10"/>
    </row>
    <row r="1688" spans="1:7" x14ac:dyDescent="0.25">
      <c r="A1688" s="10"/>
      <c r="B1688" s="10"/>
      <c r="C1688" s="10"/>
      <c r="D1688" s="12"/>
      <c r="E1688" s="10"/>
      <c r="F1688" s="10"/>
      <c r="G1688" s="10"/>
    </row>
    <row r="1689" spans="1:7" x14ac:dyDescent="0.25">
      <c r="A1689" s="10"/>
      <c r="B1689" s="10"/>
      <c r="C1689" s="10"/>
      <c r="D1689" s="12"/>
      <c r="E1689" s="10"/>
      <c r="F1689" s="10"/>
      <c r="G1689" s="10"/>
    </row>
    <row r="1690" spans="1:7" x14ac:dyDescent="0.25">
      <c r="A1690" s="10"/>
      <c r="B1690" s="10"/>
      <c r="C1690" s="10"/>
      <c r="D1690" s="12"/>
      <c r="E1690" s="10"/>
      <c r="F1690" s="10"/>
      <c r="G1690" s="10"/>
    </row>
    <row r="1691" spans="1:7" x14ac:dyDescent="0.25">
      <c r="A1691" s="10"/>
      <c r="B1691" s="10"/>
      <c r="C1691" s="10"/>
      <c r="D1691" s="12"/>
      <c r="E1691" s="10"/>
      <c r="F1691" s="10"/>
      <c r="G1691" s="10"/>
    </row>
    <row r="1692" spans="1:7" x14ac:dyDescent="0.25">
      <c r="A1692" s="10"/>
      <c r="B1692" s="10"/>
      <c r="C1692" s="10"/>
      <c r="D1692" s="12"/>
      <c r="E1692" s="10"/>
      <c r="F1692" s="10"/>
      <c r="G1692" s="10"/>
    </row>
    <row r="1693" spans="1:7" x14ac:dyDescent="0.25">
      <c r="A1693" s="10"/>
      <c r="B1693" s="10"/>
      <c r="C1693" s="10"/>
      <c r="D1693" s="12"/>
      <c r="E1693" s="10"/>
      <c r="F1693" s="10"/>
      <c r="G1693" s="10"/>
    </row>
    <row r="1694" spans="1:7" x14ac:dyDescent="0.25">
      <c r="A1694" s="10"/>
      <c r="B1694" s="10"/>
      <c r="C1694" s="10"/>
      <c r="D1694" s="12"/>
      <c r="E1694" s="10"/>
      <c r="F1694" s="10"/>
      <c r="G1694" s="10"/>
    </row>
    <row r="1695" spans="1:7" x14ac:dyDescent="0.25">
      <c r="A1695" s="10"/>
      <c r="B1695" s="10"/>
      <c r="C1695" s="10"/>
      <c r="D1695" s="12"/>
      <c r="E1695" s="10"/>
      <c r="F1695" s="10"/>
      <c r="G1695" s="10"/>
    </row>
    <row r="1696" spans="1:7" x14ac:dyDescent="0.25">
      <c r="A1696" s="10"/>
      <c r="B1696" s="10"/>
      <c r="C1696" s="10"/>
      <c r="D1696" s="12"/>
      <c r="E1696" s="10"/>
      <c r="F1696" s="10"/>
      <c r="G1696" s="10"/>
    </row>
    <row r="1697" spans="1:7" x14ac:dyDescent="0.25">
      <c r="A1697" s="10"/>
      <c r="B1697" s="10"/>
      <c r="C1697" s="10"/>
      <c r="D1697" s="12"/>
      <c r="E1697" s="10"/>
      <c r="F1697" s="10"/>
      <c r="G1697" s="10"/>
    </row>
    <row r="1698" spans="1:7" x14ac:dyDescent="0.25">
      <c r="A1698" s="10"/>
      <c r="B1698" s="10"/>
      <c r="C1698" s="10"/>
      <c r="D1698" s="12"/>
      <c r="E1698" s="10"/>
      <c r="F1698" s="10"/>
      <c r="G1698" s="10"/>
    </row>
    <row r="1699" spans="1:7" x14ac:dyDescent="0.25">
      <c r="A1699" s="10"/>
      <c r="B1699" s="10"/>
      <c r="C1699" s="10"/>
      <c r="D1699" s="12"/>
      <c r="E1699" s="10"/>
      <c r="F1699" s="10"/>
      <c r="G1699" s="10"/>
    </row>
    <row r="1700" spans="1:7" x14ac:dyDescent="0.25">
      <c r="A1700" s="10"/>
      <c r="B1700" s="10"/>
      <c r="C1700" s="10"/>
      <c r="D1700" s="12"/>
      <c r="E1700" s="10"/>
      <c r="F1700" s="10"/>
      <c r="G1700" s="10"/>
    </row>
    <row r="1701" spans="1:7" x14ac:dyDescent="0.25">
      <c r="A1701" s="10"/>
      <c r="B1701" s="10"/>
      <c r="C1701" s="10"/>
      <c r="D1701" s="12"/>
      <c r="E1701" s="10"/>
      <c r="F1701" s="10"/>
      <c r="G1701" s="10"/>
    </row>
    <row r="1702" spans="1:7" x14ac:dyDescent="0.25">
      <c r="A1702" s="10"/>
      <c r="B1702" s="10"/>
      <c r="C1702" s="10"/>
      <c r="D1702" s="12"/>
      <c r="E1702" s="10"/>
      <c r="F1702" s="10"/>
      <c r="G1702" s="10"/>
    </row>
    <row r="1703" spans="1:7" x14ac:dyDescent="0.25">
      <c r="A1703" s="10"/>
      <c r="B1703" s="10"/>
      <c r="C1703" s="10"/>
      <c r="D1703" s="12"/>
      <c r="E1703" s="10"/>
      <c r="F1703" s="10"/>
      <c r="G1703" s="10"/>
    </row>
    <row r="1704" spans="1:7" x14ac:dyDescent="0.25">
      <c r="A1704" s="10"/>
      <c r="B1704" s="10"/>
      <c r="C1704" s="10"/>
      <c r="D1704" s="12"/>
      <c r="E1704" s="10"/>
      <c r="F1704" s="10"/>
      <c r="G1704" s="10"/>
    </row>
    <row r="1705" spans="1:7" x14ac:dyDescent="0.25">
      <c r="A1705" s="10"/>
      <c r="B1705" s="10"/>
      <c r="C1705" s="10"/>
      <c r="D1705" s="12"/>
      <c r="E1705" s="10"/>
      <c r="F1705" s="10"/>
      <c r="G1705" s="10"/>
    </row>
    <row r="1706" spans="1:7" x14ac:dyDescent="0.25">
      <c r="A1706" s="10"/>
      <c r="B1706" s="10"/>
      <c r="C1706" s="10"/>
      <c r="D1706" s="12"/>
      <c r="E1706" s="10"/>
      <c r="F1706" s="10"/>
      <c r="G1706" s="10"/>
    </row>
    <row r="1707" spans="1:7" x14ac:dyDescent="0.25">
      <c r="A1707" s="10"/>
      <c r="B1707" s="10"/>
      <c r="C1707" s="10"/>
      <c r="D1707" s="12"/>
      <c r="E1707" s="10"/>
      <c r="F1707" s="10"/>
      <c r="G1707" s="10"/>
    </row>
    <row r="1708" spans="1:7" x14ac:dyDescent="0.25">
      <c r="A1708" s="10"/>
      <c r="B1708" s="10"/>
      <c r="C1708" s="10"/>
      <c r="D1708" s="12"/>
      <c r="E1708" s="10"/>
      <c r="F1708" s="10"/>
      <c r="G1708" s="10"/>
    </row>
    <row r="1709" spans="1:7" x14ac:dyDescent="0.25">
      <c r="A1709" s="10"/>
      <c r="B1709" s="10"/>
      <c r="C1709" s="10"/>
      <c r="D1709" s="12"/>
      <c r="E1709" s="10"/>
      <c r="F1709" s="10"/>
      <c r="G1709" s="10"/>
    </row>
    <row r="1710" spans="1:7" x14ac:dyDescent="0.25">
      <c r="A1710" s="10"/>
      <c r="B1710" s="10"/>
      <c r="C1710" s="10"/>
      <c r="D1710" s="12"/>
      <c r="E1710" s="10"/>
      <c r="F1710" s="10"/>
      <c r="G1710" s="10"/>
    </row>
    <row r="1711" spans="1:7" x14ac:dyDescent="0.25">
      <c r="A1711" s="10"/>
      <c r="B1711" s="10"/>
      <c r="C1711" s="10"/>
      <c r="D1711" s="12"/>
      <c r="E1711" s="10"/>
      <c r="F1711" s="10"/>
      <c r="G1711" s="10"/>
    </row>
    <row r="1712" spans="1:7" x14ac:dyDescent="0.25">
      <c r="A1712" s="10"/>
      <c r="B1712" s="10"/>
      <c r="C1712" s="10"/>
      <c r="D1712" s="12"/>
      <c r="E1712" s="10"/>
      <c r="F1712" s="10"/>
      <c r="G1712" s="10"/>
    </row>
    <row r="1713" spans="1:7" x14ac:dyDescent="0.25">
      <c r="A1713" s="10"/>
      <c r="B1713" s="10"/>
      <c r="C1713" s="10"/>
      <c r="D1713" s="12"/>
      <c r="E1713" s="10"/>
      <c r="F1713" s="10"/>
      <c r="G1713" s="10"/>
    </row>
    <row r="1714" spans="1:7" x14ac:dyDescent="0.25">
      <c r="A1714" s="10"/>
      <c r="B1714" s="10"/>
      <c r="C1714" s="10"/>
      <c r="D1714" s="12"/>
      <c r="E1714" s="10"/>
      <c r="F1714" s="10"/>
      <c r="G1714" s="10"/>
    </row>
    <row r="1715" spans="1:7" x14ac:dyDescent="0.25">
      <c r="A1715" s="10"/>
      <c r="B1715" s="10"/>
      <c r="C1715" s="10"/>
      <c r="D1715" s="12"/>
      <c r="E1715" s="10"/>
      <c r="F1715" s="10"/>
      <c r="G1715" s="10"/>
    </row>
    <row r="1716" spans="1:7" x14ac:dyDescent="0.25">
      <c r="A1716" s="10"/>
      <c r="B1716" s="10"/>
      <c r="C1716" s="10"/>
      <c r="D1716" s="12"/>
      <c r="E1716" s="10"/>
      <c r="F1716" s="10"/>
      <c r="G1716" s="10"/>
    </row>
    <row r="1717" spans="1:7" x14ac:dyDescent="0.25">
      <c r="A1717" s="10"/>
      <c r="B1717" s="10"/>
      <c r="C1717" s="10"/>
      <c r="D1717" s="12"/>
      <c r="E1717" s="10"/>
      <c r="F1717" s="10"/>
      <c r="G1717" s="10"/>
    </row>
    <row r="1718" spans="1:7" x14ac:dyDescent="0.25">
      <c r="A1718" s="10"/>
      <c r="B1718" s="10"/>
      <c r="C1718" s="10"/>
      <c r="D1718" s="12"/>
      <c r="E1718" s="10"/>
      <c r="F1718" s="10"/>
      <c r="G1718" s="10"/>
    </row>
    <row r="1719" spans="1:7" x14ac:dyDescent="0.25">
      <c r="A1719" s="10"/>
      <c r="B1719" s="10"/>
      <c r="C1719" s="10"/>
      <c r="D1719" s="12"/>
      <c r="E1719" s="10"/>
      <c r="F1719" s="10"/>
      <c r="G1719" s="10"/>
    </row>
    <row r="1720" spans="1:7" x14ac:dyDescent="0.25">
      <c r="A1720" s="10"/>
      <c r="B1720" s="10"/>
      <c r="C1720" s="10"/>
      <c r="D1720" s="12"/>
      <c r="E1720" s="10"/>
      <c r="F1720" s="10"/>
      <c r="G1720" s="10"/>
    </row>
    <row r="1721" spans="1:7" x14ac:dyDescent="0.25">
      <c r="A1721" s="10"/>
      <c r="B1721" s="10"/>
      <c r="C1721" s="10"/>
      <c r="D1721" s="12"/>
      <c r="E1721" s="10"/>
      <c r="F1721" s="10"/>
      <c r="G1721" s="10"/>
    </row>
    <row r="1722" spans="1:7" x14ac:dyDescent="0.25">
      <c r="A1722" s="10"/>
      <c r="B1722" s="10"/>
      <c r="C1722" s="10"/>
      <c r="D1722" s="12"/>
      <c r="E1722" s="10"/>
      <c r="F1722" s="10"/>
      <c r="G1722" s="10"/>
    </row>
    <row r="1723" spans="1:7" x14ac:dyDescent="0.25">
      <c r="A1723" s="10"/>
      <c r="B1723" s="10"/>
      <c r="C1723" s="10"/>
      <c r="D1723" s="12"/>
      <c r="E1723" s="10"/>
      <c r="F1723" s="10"/>
      <c r="G1723" s="10"/>
    </row>
    <row r="1724" spans="1:7" x14ac:dyDescent="0.25">
      <c r="A1724" s="10"/>
      <c r="B1724" s="10"/>
      <c r="C1724" s="10"/>
      <c r="D1724" s="12"/>
      <c r="E1724" s="10"/>
      <c r="F1724" s="10"/>
      <c r="G1724" s="10"/>
    </row>
    <row r="1725" spans="1:7" x14ac:dyDescent="0.25">
      <c r="A1725" s="10"/>
      <c r="B1725" s="10"/>
      <c r="C1725" s="10"/>
      <c r="D1725" s="12"/>
      <c r="E1725" s="10"/>
      <c r="F1725" s="10"/>
      <c r="G1725" s="10"/>
    </row>
    <row r="1726" spans="1:7" x14ac:dyDescent="0.25">
      <c r="A1726" s="10"/>
      <c r="B1726" s="10"/>
      <c r="C1726" s="10"/>
      <c r="D1726" s="12"/>
      <c r="E1726" s="10"/>
      <c r="F1726" s="10"/>
      <c r="G1726" s="10"/>
    </row>
    <row r="1727" spans="1:7" x14ac:dyDescent="0.25">
      <c r="A1727" s="10"/>
      <c r="B1727" s="10"/>
      <c r="C1727" s="10"/>
      <c r="D1727" s="12"/>
      <c r="E1727" s="10"/>
      <c r="F1727" s="10"/>
      <c r="G1727" s="10"/>
    </row>
    <row r="1728" spans="1:7" x14ac:dyDescent="0.25">
      <c r="A1728" s="10"/>
      <c r="B1728" s="10"/>
      <c r="C1728" s="10"/>
      <c r="D1728" s="12"/>
      <c r="E1728" s="10"/>
      <c r="F1728" s="10"/>
      <c r="G1728" s="10"/>
    </row>
    <row r="1729" spans="1:7" x14ac:dyDescent="0.25">
      <c r="A1729" s="10"/>
      <c r="B1729" s="10"/>
      <c r="C1729" s="10"/>
      <c r="D1729" s="12"/>
      <c r="E1729" s="10"/>
      <c r="F1729" s="10"/>
      <c r="G1729" s="10"/>
    </row>
    <row r="1730" spans="1:7" x14ac:dyDescent="0.25">
      <c r="A1730" s="10"/>
      <c r="B1730" s="10"/>
      <c r="C1730" s="10"/>
      <c r="D1730" s="12"/>
      <c r="E1730" s="10"/>
      <c r="F1730" s="10"/>
      <c r="G1730" s="10"/>
    </row>
    <row r="1731" spans="1:7" x14ac:dyDescent="0.25">
      <c r="A1731" s="10"/>
      <c r="B1731" s="10"/>
      <c r="C1731" s="10"/>
      <c r="D1731" s="12"/>
      <c r="E1731" s="10"/>
      <c r="F1731" s="10"/>
      <c r="G1731" s="10"/>
    </row>
    <row r="1732" spans="1:7" x14ac:dyDescent="0.25">
      <c r="A1732" s="10"/>
      <c r="B1732" s="10"/>
      <c r="C1732" s="10"/>
      <c r="D1732" s="12"/>
      <c r="E1732" s="10"/>
      <c r="F1732" s="10"/>
      <c r="G1732" s="10"/>
    </row>
    <row r="1733" spans="1:7" x14ac:dyDescent="0.25">
      <c r="A1733" s="10"/>
      <c r="B1733" s="10"/>
      <c r="C1733" s="10"/>
      <c r="D1733" s="12"/>
      <c r="E1733" s="10"/>
      <c r="F1733" s="10"/>
      <c r="G1733" s="10"/>
    </row>
    <row r="1734" spans="1:7" x14ac:dyDescent="0.25">
      <c r="A1734" s="10"/>
      <c r="B1734" s="10"/>
      <c r="C1734" s="10"/>
      <c r="D1734" s="12"/>
      <c r="E1734" s="10"/>
      <c r="F1734" s="10"/>
      <c r="G1734" s="10"/>
    </row>
    <row r="1735" spans="1:7" x14ac:dyDescent="0.25">
      <c r="A1735" s="10"/>
      <c r="B1735" s="10"/>
      <c r="C1735" s="10"/>
      <c r="D1735" s="12"/>
      <c r="E1735" s="10"/>
      <c r="F1735" s="10"/>
      <c r="G1735" s="10"/>
    </row>
    <row r="1736" spans="1:7" x14ac:dyDescent="0.25">
      <c r="A1736" s="10"/>
      <c r="B1736" s="10"/>
      <c r="C1736" s="10"/>
      <c r="D1736" s="12"/>
      <c r="E1736" s="10"/>
      <c r="F1736" s="10"/>
      <c r="G1736" s="10"/>
    </row>
    <row r="1737" spans="1:7" x14ac:dyDescent="0.25">
      <c r="A1737" s="10"/>
      <c r="B1737" s="10"/>
      <c r="C1737" s="10"/>
      <c r="D1737" s="12"/>
      <c r="E1737" s="10"/>
      <c r="F1737" s="10"/>
      <c r="G1737" s="10"/>
    </row>
    <row r="1738" spans="1:7" x14ac:dyDescent="0.25">
      <c r="A1738" s="10"/>
      <c r="B1738" s="10"/>
      <c r="C1738" s="10"/>
      <c r="D1738" s="12"/>
      <c r="E1738" s="10"/>
      <c r="F1738" s="10"/>
      <c r="G1738" s="10"/>
    </row>
    <row r="1739" spans="1:7" x14ac:dyDescent="0.25">
      <c r="A1739" s="10"/>
      <c r="B1739" s="10"/>
      <c r="C1739" s="10"/>
      <c r="D1739" s="12"/>
      <c r="E1739" s="10"/>
      <c r="F1739" s="10"/>
      <c r="G1739" s="10"/>
    </row>
    <row r="1740" spans="1:7" x14ac:dyDescent="0.25">
      <c r="A1740" s="10"/>
      <c r="B1740" s="10"/>
      <c r="C1740" s="10"/>
      <c r="D1740" s="12"/>
      <c r="E1740" s="10"/>
      <c r="F1740" s="10"/>
      <c r="G1740" s="10"/>
    </row>
    <row r="1741" spans="1:7" x14ac:dyDescent="0.25">
      <c r="A1741" s="10"/>
      <c r="B1741" s="10"/>
      <c r="C1741" s="10"/>
      <c r="D1741" s="12"/>
      <c r="E1741" s="10"/>
      <c r="F1741" s="10"/>
      <c r="G1741" s="10"/>
    </row>
    <row r="1742" spans="1:7" x14ac:dyDescent="0.25">
      <c r="A1742" s="10"/>
      <c r="B1742" s="10"/>
      <c r="C1742" s="10"/>
      <c r="D1742" s="12"/>
      <c r="E1742" s="10"/>
      <c r="F1742" s="10"/>
      <c r="G1742" s="10"/>
    </row>
    <row r="1743" spans="1:7" x14ac:dyDescent="0.25">
      <c r="A1743" s="10"/>
      <c r="B1743" s="10"/>
      <c r="C1743" s="10"/>
      <c r="D1743" s="12"/>
      <c r="E1743" s="10"/>
      <c r="F1743" s="10"/>
      <c r="G1743" s="10"/>
    </row>
    <row r="1744" spans="1:7" x14ac:dyDescent="0.25">
      <c r="A1744" s="10"/>
      <c r="B1744" s="10"/>
      <c r="C1744" s="10"/>
      <c r="D1744" s="12"/>
      <c r="E1744" s="10"/>
      <c r="F1744" s="10"/>
      <c r="G1744" s="10"/>
    </row>
    <row r="1745" spans="1:7" x14ac:dyDescent="0.25">
      <c r="A1745" s="10"/>
      <c r="B1745" s="10"/>
      <c r="C1745" s="10"/>
      <c r="D1745" s="12"/>
      <c r="E1745" s="10"/>
      <c r="F1745" s="10"/>
      <c r="G1745" s="10"/>
    </row>
    <row r="1746" spans="1:7" x14ac:dyDescent="0.25">
      <c r="A1746" s="10"/>
      <c r="B1746" s="10"/>
      <c r="C1746" s="10"/>
      <c r="D1746" s="12"/>
      <c r="E1746" s="10"/>
      <c r="F1746" s="10"/>
      <c r="G1746" s="10"/>
    </row>
    <row r="1747" spans="1:7" x14ac:dyDescent="0.25">
      <c r="A1747" s="10"/>
      <c r="B1747" s="10"/>
      <c r="C1747" s="10"/>
      <c r="D1747" s="12"/>
      <c r="E1747" s="10"/>
      <c r="F1747" s="10"/>
      <c r="G1747" s="10"/>
    </row>
    <row r="1748" spans="1:7" x14ac:dyDescent="0.25">
      <c r="A1748" s="10"/>
      <c r="B1748" s="10"/>
      <c r="C1748" s="10"/>
      <c r="D1748" s="12"/>
      <c r="E1748" s="10"/>
      <c r="F1748" s="10"/>
      <c r="G1748" s="10"/>
    </row>
    <row r="1749" spans="1:7" x14ac:dyDescent="0.25">
      <c r="A1749" s="10"/>
      <c r="B1749" s="10"/>
      <c r="C1749" s="10"/>
      <c r="D1749" s="12"/>
      <c r="E1749" s="10"/>
      <c r="F1749" s="10"/>
      <c r="G1749" s="10"/>
    </row>
    <row r="1750" spans="1:7" x14ac:dyDescent="0.25">
      <c r="A1750" s="10"/>
      <c r="B1750" s="10"/>
      <c r="C1750" s="10"/>
      <c r="D1750" s="12"/>
      <c r="E1750" s="10"/>
      <c r="F1750" s="10"/>
      <c r="G1750" s="10"/>
    </row>
    <row r="1751" spans="1:7" x14ac:dyDescent="0.25">
      <c r="A1751" s="10"/>
      <c r="B1751" s="10"/>
      <c r="C1751" s="10"/>
      <c r="D1751" s="12"/>
      <c r="E1751" s="10"/>
      <c r="F1751" s="10"/>
      <c r="G1751" s="10"/>
    </row>
    <row r="1752" spans="1:7" x14ac:dyDescent="0.25">
      <c r="A1752" s="10"/>
      <c r="B1752" s="10"/>
      <c r="C1752" s="10"/>
      <c r="D1752" s="12"/>
      <c r="E1752" s="10"/>
      <c r="F1752" s="10"/>
      <c r="G1752" s="10"/>
    </row>
    <row r="1753" spans="1:7" x14ac:dyDescent="0.25">
      <c r="A1753" s="10"/>
      <c r="B1753" s="10"/>
      <c r="C1753" s="10"/>
      <c r="D1753" s="12"/>
      <c r="E1753" s="10"/>
      <c r="F1753" s="10"/>
      <c r="G1753" s="10"/>
    </row>
    <row r="1754" spans="1:7" x14ac:dyDescent="0.25">
      <c r="A1754" s="10"/>
      <c r="B1754" s="10"/>
      <c r="C1754" s="10"/>
      <c r="D1754" s="12"/>
      <c r="E1754" s="10"/>
      <c r="F1754" s="10"/>
      <c r="G1754" s="10"/>
    </row>
    <row r="1755" spans="1:7" x14ac:dyDescent="0.25">
      <c r="A1755" s="10"/>
      <c r="B1755" s="10"/>
      <c r="C1755" s="10"/>
      <c r="D1755" s="12"/>
      <c r="E1755" s="10"/>
      <c r="F1755" s="10"/>
      <c r="G1755" s="10"/>
    </row>
    <row r="1756" spans="1:7" x14ac:dyDescent="0.25">
      <c r="A1756" s="10"/>
      <c r="B1756" s="10"/>
      <c r="C1756" s="10"/>
      <c r="D1756" s="12"/>
      <c r="E1756" s="10"/>
      <c r="F1756" s="10"/>
      <c r="G1756" s="10"/>
    </row>
    <row r="1757" spans="1:7" x14ac:dyDescent="0.25">
      <c r="A1757" s="10"/>
      <c r="B1757" s="10"/>
      <c r="C1757" s="10"/>
      <c r="D1757" s="12"/>
      <c r="E1757" s="10"/>
      <c r="F1757" s="10"/>
      <c r="G1757" s="10"/>
    </row>
    <row r="1758" spans="1:7" x14ac:dyDescent="0.25">
      <c r="A1758" s="10"/>
      <c r="B1758" s="10"/>
      <c r="C1758" s="10"/>
      <c r="D1758" s="12"/>
      <c r="E1758" s="10"/>
      <c r="F1758" s="10"/>
      <c r="G1758" s="10"/>
    </row>
    <row r="1759" spans="1:7" x14ac:dyDescent="0.25">
      <c r="A1759" s="10"/>
      <c r="B1759" s="10"/>
      <c r="C1759" s="10"/>
      <c r="D1759" s="12"/>
      <c r="E1759" s="10"/>
      <c r="F1759" s="10"/>
      <c r="G1759" s="10"/>
    </row>
    <row r="1760" spans="1:7" x14ac:dyDescent="0.25">
      <c r="A1760" s="10"/>
      <c r="B1760" s="10"/>
      <c r="C1760" s="10"/>
      <c r="D1760" s="12"/>
      <c r="E1760" s="10"/>
      <c r="F1760" s="10"/>
      <c r="G1760" s="10"/>
    </row>
    <row r="1761" spans="1:7" x14ac:dyDescent="0.25">
      <c r="A1761" s="10"/>
      <c r="B1761" s="10"/>
      <c r="C1761" s="10"/>
      <c r="D1761" s="12"/>
      <c r="E1761" s="10"/>
      <c r="F1761" s="10"/>
      <c r="G1761" s="10"/>
    </row>
    <row r="1762" spans="1:7" x14ac:dyDescent="0.25">
      <c r="A1762" s="10"/>
      <c r="B1762" s="10"/>
      <c r="C1762" s="10"/>
      <c r="D1762" s="12"/>
      <c r="E1762" s="10"/>
      <c r="F1762" s="10"/>
      <c r="G1762" s="10"/>
    </row>
    <row r="1763" spans="1:7" x14ac:dyDescent="0.25">
      <c r="A1763" s="10"/>
      <c r="B1763" s="10"/>
      <c r="C1763" s="10"/>
      <c r="D1763" s="12"/>
      <c r="E1763" s="10"/>
      <c r="F1763" s="10"/>
      <c r="G1763" s="10"/>
    </row>
    <row r="1764" spans="1:7" x14ac:dyDescent="0.25">
      <c r="A1764" s="10"/>
      <c r="B1764" s="10"/>
      <c r="C1764" s="10"/>
      <c r="D1764" s="12"/>
      <c r="E1764" s="10"/>
      <c r="F1764" s="10"/>
      <c r="G1764" s="10"/>
    </row>
    <row r="1765" spans="1:7" x14ac:dyDescent="0.25">
      <c r="A1765" s="10"/>
      <c r="B1765" s="10"/>
      <c r="C1765" s="10"/>
      <c r="D1765" s="12"/>
      <c r="E1765" s="10"/>
      <c r="F1765" s="10"/>
      <c r="G1765" s="10"/>
    </row>
    <row r="1766" spans="1:7" x14ac:dyDescent="0.25">
      <c r="A1766" s="10"/>
      <c r="B1766" s="10"/>
      <c r="C1766" s="10"/>
      <c r="D1766" s="12"/>
      <c r="E1766" s="10"/>
      <c r="F1766" s="10"/>
      <c r="G1766" s="10"/>
    </row>
    <row r="1767" spans="1:7" x14ac:dyDescent="0.25">
      <c r="A1767" s="10"/>
      <c r="B1767" s="10"/>
      <c r="C1767" s="10"/>
      <c r="D1767" s="12"/>
      <c r="E1767" s="10"/>
      <c r="F1767" s="10"/>
      <c r="G1767" s="10"/>
    </row>
    <row r="1768" spans="1:7" x14ac:dyDescent="0.25">
      <c r="A1768" s="10"/>
      <c r="B1768" s="10"/>
      <c r="C1768" s="10"/>
      <c r="D1768" s="12"/>
      <c r="E1768" s="10"/>
      <c r="F1768" s="10"/>
      <c r="G1768" s="10"/>
    </row>
    <row r="1769" spans="1:7" x14ac:dyDescent="0.25">
      <c r="A1769" s="10"/>
      <c r="B1769" s="10"/>
      <c r="C1769" s="10"/>
      <c r="D1769" s="12"/>
      <c r="E1769" s="10"/>
      <c r="F1769" s="10"/>
      <c r="G1769" s="10"/>
    </row>
    <row r="1770" spans="1:7" x14ac:dyDescent="0.25">
      <c r="A1770" s="10"/>
      <c r="B1770" s="10"/>
      <c r="C1770" s="10"/>
      <c r="D1770" s="12"/>
      <c r="E1770" s="10"/>
      <c r="F1770" s="10"/>
      <c r="G1770" s="10"/>
    </row>
    <row r="1771" spans="1:7" x14ac:dyDescent="0.25">
      <c r="A1771" s="10"/>
      <c r="B1771" s="10"/>
      <c r="C1771" s="10"/>
      <c r="D1771" s="12"/>
      <c r="E1771" s="10"/>
      <c r="F1771" s="10"/>
      <c r="G1771" s="10"/>
    </row>
    <row r="1772" spans="1:7" x14ac:dyDescent="0.25">
      <c r="A1772" s="10"/>
      <c r="B1772" s="10"/>
      <c r="C1772" s="10"/>
      <c r="D1772" s="12"/>
      <c r="E1772" s="10"/>
      <c r="F1772" s="10"/>
      <c r="G1772" s="10"/>
    </row>
    <row r="1773" spans="1:7" x14ac:dyDescent="0.25">
      <c r="A1773" s="10"/>
      <c r="B1773" s="10"/>
      <c r="C1773" s="10"/>
      <c r="D1773" s="12"/>
      <c r="E1773" s="10"/>
      <c r="F1773" s="10"/>
      <c r="G1773" s="10"/>
    </row>
    <row r="1774" spans="1:7" x14ac:dyDescent="0.25">
      <c r="A1774" s="10"/>
      <c r="B1774" s="10"/>
      <c r="C1774" s="10"/>
      <c r="D1774" s="12"/>
      <c r="E1774" s="10"/>
      <c r="F1774" s="10"/>
      <c r="G1774" s="10"/>
    </row>
    <row r="1775" spans="1:7" x14ac:dyDescent="0.25">
      <c r="A1775" s="10"/>
      <c r="B1775" s="10"/>
      <c r="C1775" s="10"/>
      <c r="D1775" s="12"/>
      <c r="E1775" s="10"/>
      <c r="F1775" s="10"/>
      <c r="G1775" s="10"/>
    </row>
    <row r="1776" spans="1:7" x14ac:dyDescent="0.25">
      <c r="A1776" s="10"/>
      <c r="B1776" s="10"/>
      <c r="C1776" s="10"/>
      <c r="D1776" s="12"/>
      <c r="E1776" s="10"/>
      <c r="F1776" s="10"/>
      <c r="G1776" s="10"/>
    </row>
    <row r="1777" spans="1:7" x14ac:dyDescent="0.25">
      <c r="A1777" s="10"/>
      <c r="B1777" s="10"/>
      <c r="C1777" s="10"/>
      <c r="D1777" s="12"/>
      <c r="E1777" s="10"/>
      <c r="F1777" s="10"/>
      <c r="G1777" s="10"/>
    </row>
    <row r="1778" spans="1:7" x14ac:dyDescent="0.25">
      <c r="A1778" s="10"/>
      <c r="B1778" s="10"/>
      <c r="C1778" s="10"/>
      <c r="D1778" s="12"/>
      <c r="E1778" s="10"/>
      <c r="F1778" s="10"/>
      <c r="G1778" s="10"/>
    </row>
    <row r="1779" spans="1:7" x14ac:dyDescent="0.25">
      <c r="A1779" s="10"/>
      <c r="B1779" s="10"/>
      <c r="C1779" s="10"/>
      <c r="D1779" s="12"/>
      <c r="E1779" s="10"/>
      <c r="F1779" s="10"/>
      <c r="G1779" s="10"/>
    </row>
    <row r="1780" spans="1:7" x14ac:dyDescent="0.25">
      <c r="A1780" s="10"/>
      <c r="B1780" s="10"/>
      <c r="C1780" s="10"/>
      <c r="D1780" s="12"/>
      <c r="E1780" s="10"/>
      <c r="F1780" s="10"/>
      <c r="G1780" s="10"/>
    </row>
    <row r="1781" spans="1:7" x14ac:dyDescent="0.25">
      <c r="A1781" s="10"/>
      <c r="B1781" s="10"/>
      <c r="C1781" s="10"/>
      <c r="D1781" s="12"/>
      <c r="E1781" s="10"/>
      <c r="F1781" s="10"/>
      <c r="G1781" s="10"/>
    </row>
    <row r="1782" spans="1:7" x14ac:dyDescent="0.25">
      <c r="A1782" s="10"/>
      <c r="B1782" s="10"/>
      <c r="C1782" s="10"/>
      <c r="D1782" s="12"/>
      <c r="E1782" s="10"/>
      <c r="F1782" s="10"/>
      <c r="G1782" s="10"/>
    </row>
    <row r="1783" spans="1:7" x14ac:dyDescent="0.25">
      <c r="A1783" s="10"/>
      <c r="B1783" s="10"/>
      <c r="C1783" s="10"/>
      <c r="D1783" s="12"/>
      <c r="E1783" s="10"/>
      <c r="F1783" s="10"/>
      <c r="G1783" s="10"/>
    </row>
    <row r="1784" spans="1:7" x14ac:dyDescent="0.25">
      <c r="A1784" s="10"/>
      <c r="B1784" s="10"/>
      <c r="C1784" s="10"/>
      <c r="D1784" s="12"/>
      <c r="E1784" s="10"/>
      <c r="F1784" s="10"/>
      <c r="G1784" s="10"/>
    </row>
    <row r="1785" spans="1:7" x14ac:dyDescent="0.25">
      <c r="A1785" s="10"/>
      <c r="B1785" s="10"/>
      <c r="C1785" s="10"/>
      <c r="D1785" s="12"/>
      <c r="E1785" s="10"/>
      <c r="F1785" s="10"/>
      <c r="G1785" s="10"/>
    </row>
    <row r="1786" spans="1:7" x14ac:dyDescent="0.25">
      <c r="A1786" s="10"/>
      <c r="B1786" s="10"/>
      <c r="C1786" s="10"/>
      <c r="D1786" s="12"/>
      <c r="E1786" s="10"/>
      <c r="F1786" s="10"/>
      <c r="G1786" s="10"/>
    </row>
    <row r="1787" spans="1:7" x14ac:dyDescent="0.25">
      <c r="A1787" s="10"/>
      <c r="B1787" s="10"/>
      <c r="C1787" s="10"/>
      <c r="D1787" s="12"/>
      <c r="E1787" s="10"/>
      <c r="F1787" s="10"/>
      <c r="G1787" s="10"/>
    </row>
    <row r="1788" spans="1:7" x14ac:dyDescent="0.25">
      <c r="A1788" s="10"/>
      <c r="B1788" s="10"/>
      <c r="C1788" s="10"/>
      <c r="D1788" s="12"/>
      <c r="E1788" s="10"/>
      <c r="F1788" s="10"/>
      <c r="G1788" s="10"/>
    </row>
    <row r="1789" spans="1:7" x14ac:dyDescent="0.25">
      <c r="A1789" s="10"/>
      <c r="B1789" s="10"/>
      <c r="C1789" s="10"/>
      <c r="D1789" s="12"/>
      <c r="E1789" s="10"/>
      <c r="F1789" s="10"/>
      <c r="G1789" s="10"/>
    </row>
    <row r="1790" spans="1:7" x14ac:dyDescent="0.25">
      <c r="A1790" s="10"/>
      <c r="B1790" s="10"/>
      <c r="C1790" s="10"/>
      <c r="D1790" s="12"/>
      <c r="E1790" s="10"/>
      <c r="F1790" s="10"/>
      <c r="G1790" s="10"/>
    </row>
    <row r="1791" spans="1:7" x14ac:dyDescent="0.25">
      <c r="A1791" s="10"/>
      <c r="B1791" s="10"/>
      <c r="C1791" s="10"/>
      <c r="D1791" s="12"/>
      <c r="E1791" s="10"/>
      <c r="F1791" s="10"/>
      <c r="G1791" s="10"/>
    </row>
    <row r="1792" spans="1:7" x14ac:dyDescent="0.25">
      <c r="A1792" s="10"/>
      <c r="B1792" s="10"/>
      <c r="C1792" s="10"/>
      <c r="D1792" s="12"/>
      <c r="E1792" s="10"/>
      <c r="F1792" s="10"/>
      <c r="G1792" s="10"/>
    </row>
    <row r="1793" spans="1:7" x14ac:dyDescent="0.25">
      <c r="A1793" s="10"/>
      <c r="B1793" s="10"/>
      <c r="C1793" s="10"/>
      <c r="D1793" s="12"/>
      <c r="E1793" s="10"/>
      <c r="F1793" s="10"/>
      <c r="G1793" s="10"/>
    </row>
    <row r="1794" spans="1:7" x14ac:dyDescent="0.25">
      <c r="A1794" s="10"/>
      <c r="B1794" s="10"/>
      <c r="C1794" s="10"/>
      <c r="D1794" s="12"/>
      <c r="E1794" s="10"/>
      <c r="F1794" s="10"/>
      <c r="G1794" s="10"/>
    </row>
    <row r="1795" spans="1:7" x14ac:dyDescent="0.25">
      <c r="A1795" s="10"/>
      <c r="B1795" s="10"/>
      <c r="C1795" s="10"/>
      <c r="D1795" s="12"/>
      <c r="E1795" s="10"/>
      <c r="F1795" s="10"/>
      <c r="G1795" s="10"/>
    </row>
    <row r="1796" spans="1:7" x14ac:dyDescent="0.25">
      <c r="A1796" s="10"/>
      <c r="B1796" s="10"/>
      <c r="C1796" s="10"/>
      <c r="D1796" s="12"/>
      <c r="E1796" s="10"/>
      <c r="F1796" s="10"/>
      <c r="G1796" s="10"/>
    </row>
    <row r="1797" spans="1:7" x14ac:dyDescent="0.25">
      <c r="A1797" s="10"/>
      <c r="B1797" s="10"/>
      <c r="C1797" s="10"/>
      <c r="D1797" s="12"/>
      <c r="E1797" s="10"/>
      <c r="F1797" s="10"/>
      <c r="G1797" s="10"/>
    </row>
    <row r="1798" spans="1:7" x14ac:dyDescent="0.25">
      <c r="A1798" s="10"/>
      <c r="B1798" s="10"/>
      <c r="C1798" s="10"/>
      <c r="D1798" s="12"/>
      <c r="E1798" s="10"/>
      <c r="F1798" s="10"/>
      <c r="G1798" s="10"/>
    </row>
    <row r="1799" spans="1:7" x14ac:dyDescent="0.25">
      <c r="A1799" s="10"/>
      <c r="B1799" s="10"/>
      <c r="C1799" s="10"/>
      <c r="D1799" s="12"/>
      <c r="E1799" s="10"/>
      <c r="F1799" s="10"/>
      <c r="G1799" s="10"/>
    </row>
    <row r="1800" spans="1:7" x14ac:dyDescent="0.25">
      <c r="A1800" s="10"/>
      <c r="B1800" s="10"/>
      <c r="C1800" s="10"/>
      <c r="D1800" s="12"/>
      <c r="E1800" s="10"/>
      <c r="F1800" s="10"/>
      <c r="G1800" s="10"/>
    </row>
    <row r="1801" spans="1:7" x14ac:dyDescent="0.25">
      <c r="A1801" s="10"/>
      <c r="B1801" s="10"/>
      <c r="C1801" s="10"/>
      <c r="D1801" s="12"/>
      <c r="E1801" s="10"/>
      <c r="F1801" s="10"/>
      <c r="G1801" s="10"/>
    </row>
    <row r="1802" spans="1:7" x14ac:dyDescent="0.25">
      <c r="A1802" s="10"/>
      <c r="B1802" s="10"/>
      <c r="C1802" s="10"/>
      <c r="D1802" s="12"/>
      <c r="E1802" s="10"/>
      <c r="F1802" s="10"/>
      <c r="G1802" s="10"/>
    </row>
    <row r="1803" spans="1:7" x14ac:dyDescent="0.25">
      <c r="A1803" s="10"/>
      <c r="B1803" s="10"/>
      <c r="C1803" s="10"/>
      <c r="D1803" s="12"/>
      <c r="E1803" s="10"/>
      <c r="F1803" s="10"/>
      <c r="G1803" s="10"/>
    </row>
    <row r="1804" spans="1:7" x14ac:dyDescent="0.25">
      <c r="A1804" s="10"/>
      <c r="B1804" s="10"/>
      <c r="C1804" s="10"/>
      <c r="D1804" s="12"/>
      <c r="E1804" s="10"/>
      <c r="F1804" s="10"/>
      <c r="G1804" s="10"/>
    </row>
    <row r="1805" spans="1:7" x14ac:dyDescent="0.25">
      <c r="A1805" s="10"/>
      <c r="B1805" s="10"/>
      <c r="C1805" s="10"/>
      <c r="D1805" s="12"/>
      <c r="E1805" s="10"/>
      <c r="F1805" s="10"/>
      <c r="G1805" s="10"/>
    </row>
    <row r="1806" spans="1:7" x14ac:dyDescent="0.25">
      <c r="A1806" s="10"/>
      <c r="B1806" s="10"/>
      <c r="C1806" s="10"/>
      <c r="D1806" s="12"/>
      <c r="E1806" s="10"/>
      <c r="F1806" s="10"/>
      <c r="G1806" s="10"/>
    </row>
    <row r="1807" spans="1:7" x14ac:dyDescent="0.25">
      <c r="A1807" s="10"/>
      <c r="B1807" s="10"/>
      <c r="C1807" s="10"/>
      <c r="D1807" s="12"/>
      <c r="E1807" s="10"/>
      <c r="F1807" s="10"/>
      <c r="G1807" s="10"/>
    </row>
    <row r="1808" spans="1:7" x14ac:dyDescent="0.25">
      <c r="A1808" s="10"/>
      <c r="B1808" s="10"/>
      <c r="C1808" s="10"/>
      <c r="D1808" s="12"/>
      <c r="E1808" s="10"/>
      <c r="F1808" s="10"/>
      <c r="G1808" s="10"/>
    </row>
    <row r="1809" spans="1:7" x14ac:dyDescent="0.25">
      <c r="A1809" s="10"/>
      <c r="B1809" s="10"/>
      <c r="C1809" s="10"/>
      <c r="D1809" s="12"/>
      <c r="E1809" s="10"/>
      <c r="F1809" s="10"/>
      <c r="G1809" s="10"/>
    </row>
    <row r="1810" spans="1:7" x14ac:dyDescent="0.25">
      <c r="A1810" s="10"/>
      <c r="B1810" s="10"/>
      <c r="C1810" s="10"/>
      <c r="D1810" s="12"/>
      <c r="E1810" s="10"/>
      <c r="F1810" s="10"/>
      <c r="G1810" s="10"/>
    </row>
    <row r="1811" spans="1:7" x14ac:dyDescent="0.25">
      <c r="A1811" s="10"/>
      <c r="B1811" s="10"/>
      <c r="C1811" s="10"/>
      <c r="D1811" s="12"/>
      <c r="E1811" s="10"/>
      <c r="F1811" s="10"/>
      <c r="G1811" s="10"/>
    </row>
    <row r="1812" spans="1:7" x14ac:dyDescent="0.25">
      <c r="A1812" s="10"/>
      <c r="B1812" s="10"/>
      <c r="C1812" s="10"/>
      <c r="D1812" s="12"/>
      <c r="E1812" s="10"/>
      <c r="F1812" s="10"/>
      <c r="G1812" s="10"/>
    </row>
    <row r="1813" spans="1:7" x14ac:dyDescent="0.25">
      <c r="A1813" s="10"/>
      <c r="B1813" s="10"/>
      <c r="C1813" s="10"/>
      <c r="D1813" s="12"/>
      <c r="E1813" s="10"/>
      <c r="F1813" s="10"/>
      <c r="G1813" s="10"/>
    </row>
    <row r="1814" spans="1:7" x14ac:dyDescent="0.25">
      <c r="A1814" s="10"/>
      <c r="B1814" s="10"/>
      <c r="C1814" s="10"/>
      <c r="D1814" s="12"/>
      <c r="E1814" s="10"/>
      <c r="F1814" s="10"/>
      <c r="G1814" s="10"/>
    </row>
    <row r="1815" spans="1:7" x14ac:dyDescent="0.25">
      <c r="A1815" s="10"/>
      <c r="B1815" s="10"/>
      <c r="C1815" s="10"/>
      <c r="D1815" s="12"/>
      <c r="E1815" s="10"/>
      <c r="F1815" s="10"/>
      <c r="G1815" s="10"/>
    </row>
    <row r="1816" spans="1:7" x14ac:dyDescent="0.25">
      <c r="A1816" s="10"/>
      <c r="B1816" s="10"/>
      <c r="C1816" s="10"/>
      <c r="D1816" s="12"/>
      <c r="E1816" s="10"/>
      <c r="F1816" s="10"/>
      <c r="G1816" s="10"/>
    </row>
    <row r="1817" spans="1:7" x14ac:dyDescent="0.25">
      <c r="A1817" s="10"/>
      <c r="B1817" s="10"/>
      <c r="C1817" s="10"/>
      <c r="D1817" s="12"/>
      <c r="E1817" s="10"/>
      <c r="F1817" s="10"/>
      <c r="G1817" s="10"/>
    </row>
    <row r="1818" spans="1:7" x14ac:dyDescent="0.25">
      <c r="A1818" s="10"/>
      <c r="B1818" s="10"/>
      <c r="C1818" s="10"/>
      <c r="D1818" s="12"/>
      <c r="E1818" s="10"/>
      <c r="F1818" s="10"/>
      <c r="G1818" s="10"/>
    </row>
    <row r="1819" spans="1:7" x14ac:dyDescent="0.25">
      <c r="A1819" s="10"/>
      <c r="B1819" s="10"/>
      <c r="C1819" s="10"/>
      <c r="D1819" s="12"/>
      <c r="E1819" s="10"/>
      <c r="F1819" s="10"/>
      <c r="G1819" s="10"/>
    </row>
    <row r="1820" spans="1:7" x14ac:dyDescent="0.25">
      <c r="A1820" s="10"/>
      <c r="B1820" s="10"/>
      <c r="C1820" s="10"/>
      <c r="D1820" s="12"/>
      <c r="E1820" s="10"/>
      <c r="F1820" s="10"/>
      <c r="G1820" s="10"/>
    </row>
    <row r="1821" spans="1:7" x14ac:dyDescent="0.25">
      <c r="A1821" s="10"/>
      <c r="B1821" s="10"/>
      <c r="C1821" s="10"/>
      <c r="D1821" s="12"/>
      <c r="E1821" s="10"/>
      <c r="F1821" s="10"/>
      <c r="G1821" s="10"/>
    </row>
    <row r="1822" spans="1:7" x14ac:dyDescent="0.25">
      <c r="A1822" s="10"/>
      <c r="B1822" s="10"/>
      <c r="C1822" s="10"/>
      <c r="D1822" s="12"/>
      <c r="E1822" s="10"/>
      <c r="F1822" s="10"/>
      <c r="G1822" s="10"/>
    </row>
    <row r="1823" spans="1:7" x14ac:dyDescent="0.25">
      <c r="A1823" s="10"/>
      <c r="B1823" s="10"/>
      <c r="C1823" s="10"/>
      <c r="D1823" s="12"/>
      <c r="E1823" s="10"/>
      <c r="F1823" s="10"/>
      <c r="G1823" s="10"/>
    </row>
    <row r="1824" spans="1:7" x14ac:dyDescent="0.25">
      <c r="A1824" s="10"/>
      <c r="B1824" s="10"/>
      <c r="C1824" s="10"/>
      <c r="D1824" s="12"/>
      <c r="E1824" s="10"/>
      <c r="F1824" s="10"/>
      <c r="G1824" s="10"/>
    </row>
    <row r="1825" spans="1:7" x14ac:dyDescent="0.25">
      <c r="A1825" s="10"/>
      <c r="B1825" s="10"/>
      <c r="C1825" s="10"/>
      <c r="D1825" s="12"/>
      <c r="E1825" s="10"/>
      <c r="F1825" s="10"/>
      <c r="G1825" s="10"/>
    </row>
    <row r="1826" spans="1:7" x14ac:dyDescent="0.25">
      <c r="A1826" s="10"/>
      <c r="B1826" s="10"/>
      <c r="C1826" s="10"/>
      <c r="D1826" s="12"/>
      <c r="E1826" s="10"/>
      <c r="F1826" s="10"/>
      <c r="G1826" s="10"/>
    </row>
    <row r="1827" spans="1:7" x14ac:dyDescent="0.25">
      <c r="A1827" s="10"/>
      <c r="B1827" s="10"/>
      <c r="C1827" s="10"/>
      <c r="D1827" s="12"/>
      <c r="E1827" s="10"/>
      <c r="F1827" s="10"/>
      <c r="G1827" s="10"/>
    </row>
    <row r="1828" spans="1:7" x14ac:dyDescent="0.25">
      <c r="A1828" s="10"/>
      <c r="B1828" s="10"/>
      <c r="C1828" s="10"/>
      <c r="D1828" s="12"/>
      <c r="E1828" s="10"/>
      <c r="F1828" s="10"/>
      <c r="G1828" s="10"/>
    </row>
    <row r="1829" spans="1:7" x14ac:dyDescent="0.25">
      <c r="A1829" s="10"/>
      <c r="B1829" s="10"/>
      <c r="C1829" s="10"/>
      <c r="D1829" s="12"/>
      <c r="E1829" s="10"/>
      <c r="F1829" s="10"/>
      <c r="G1829" s="10"/>
    </row>
    <row r="1830" spans="1:7" x14ac:dyDescent="0.25">
      <c r="A1830" s="10"/>
      <c r="B1830" s="10"/>
      <c r="C1830" s="10"/>
      <c r="D1830" s="12"/>
      <c r="E1830" s="10"/>
      <c r="F1830" s="10"/>
      <c r="G1830" s="10"/>
    </row>
    <row r="1831" spans="1:7" x14ac:dyDescent="0.25">
      <c r="A1831" s="10"/>
      <c r="B1831" s="10"/>
      <c r="C1831" s="10"/>
      <c r="D1831" s="12"/>
      <c r="E1831" s="10"/>
      <c r="F1831" s="10"/>
      <c r="G1831" s="10"/>
    </row>
    <row r="1832" spans="1:7" x14ac:dyDescent="0.25">
      <c r="A1832" s="10"/>
      <c r="B1832" s="10"/>
      <c r="C1832" s="10"/>
      <c r="D1832" s="12"/>
      <c r="E1832" s="10"/>
      <c r="F1832" s="10"/>
      <c r="G1832" s="10"/>
    </row>
    <row r="1833" spans="1:7" x14ac:dyDescent="0.25">
      <c r="A1833" s="10"/>
      <c r="B1833" s="10"/>
      <c r="C1833" s="10"/>
      <c r="D1833" s="12"/>
      <c r="E1833" s="10"/>
      <c r="F1833" s="10"/>
      <c r="G1833" s="10"/>
    </row>
    <row r="1834" spans="1:7" x14ac:dyDescent="0.25">
      <c r="A1834" s="10"/>
      <c r="B1834" s="10"/>
      <c r="C1834" s="10"/>
      <c r="D1834" s="12"/>
      <c r="E1834" s="10"/>
      <c r="F1834" s="10"/>
      <c r="G1834" s="10"/>
    </row>
    <row r="1835" spans="1:7" x14ac:dyDescent="0.25">
      <c r="A1835" s="10"/>
      <c r="B1835" s="10"/>
      <c r="C1835" s="10"/>
      <c r="D1835" s="12"/>
      <c r="E1835" s="10"/>
      <c r="F1835" s="10"/>
      <c r="G1835" s="10"/>
    </row>
    <row r="1836" spans="1:7" x14ac:dyDescent="0.25">
      <c r="A1836" s="10"/>
      <c r="B1836" s="10"/>
      <c r="C1836" s="10"/>
      <c r="D1836" s="12"/>
      <c r="E1836" s="10"/>
      <c r="F1836" s="10"/>
      <c r="G1836" s="10"/>
    </row>
    <row r="1837" spans="1:7" x14ac:dyDescent="0.25">
      <c r="A1837" s="10"/>
      <c r="B1837" s="10"/>
      <c r="C1837" s="10"/>
      <c r="D1837" s="12"/>
      <c r="E1837" s="10"/>
      <c r="F1837" s="10"/>
      <c r="G1837" s="10"/>
    </row>
    <row r="1838" spans="1:7" x14ac:dyDescent="0.25">
      <c r="A1838" s="10"/>
      <c r="B1838" s="10"/>
      <c r="C1838" s="10"/>
      <c r="D1838" s="12"/>
      <c r="E1838" s="10"/>
      <c r="F1838" s="10"/>
      <c r="G1838" s="10"/>
    </row>
    <row r="1839" spans="1:7" x14ac:dyDescent="0.25">
      <c r="A1839" s="10"/>
      <c r="B1839" s="10"/>
      <c r="C1839" s="10"/>
      <c r="D1839" s="12"/>
      <c r="E1839" s="10"/>
      <c r="F1839" s="10"/>
      <c r="G1839" s="10"/>
    </row>
    <row r="1840" spans="1:7" x14ac:dyDescent="0.25">
      <c r="A1840" s="10"/>
      <c r="B1840" s="10"/>
      <c r="C1840" s="10"/>
      <c r="D1840" s="12"/>
      <c r="E1840" s="10"/>
      <c r="F1840" s="10"/>
      <c r="G1840" s="10"/>
    </row>
    <row r="1841" spans="1:7" x14ac:dyDescent="0.25">
      <c r="A1841" s="10"/>
      <c r="B1841" s="10"/>
      <c r="C1841" s="10"/>
      <c r="D1841" s="12"/>
      <c r="E1841" s="10"/>
      <c r="F1841" s="10"/>
      <c r="G1841" s="10"/>
    </row>
    <row r="1842" spans="1:7" x14ac:dyDescent="0.25">
      <c r="A1842" s="10"/>
      <c r="B1842" s="10"/>
      <c r="C1842" s="10"/>
      <c r="D1842" s="12"/>
      <c r="E1842" s="10"/>
      <c r="F1842" s="10"/>
      <c r="G1842" s="10"/>
    </row>
    <row r="1843" spans="1:7" x14ac:dyDescent="0.25">
      <c r="A1843" s="10"/>
      <c r="B1843" s="10"/>
      <c r="C1843" s="10"/>
      <c r="D1843" s="12"/>
      <c r="E1843" s="10"/>
      <c r="F1843" s="10"/>
      <c r="G1843" s="10"/>
    </row>
    <row r="1844" spans="1:7" x14ac:dyDescent="0.25">
      <c r="A1844" s="10"/>
      <c r="B1844" s="10"/>
      <c r="C1844" s="10"/>
      <c r="D1844" s="12"/>
      <c r="E1844" s="10"/>
      <c r="F1844" s="10"/>
      <c r="G1844" s="10"/>
    </row>
    <row r="1845" spans="1:7" x14ac:dyDescent="0.25">
      <c r="A1845" s="10"/>
      <c r="B1845" s="10"/>
      <c r="C1845" s="10"/>
      <c r="D1845" s="12"/>
      <c r="E1845" s="10"/>
      <c r="F1845" s="10"/>
      <c r="G1845" s="10"/>
    </row>
    <row r="1846" spans="1:7" x14ac:dyDescent="0.25">
      <c r="A1846" s="10"/>
      <c r="B1846" s="10"/>
      <c r="C1846" s="10"/>
      <c r="D1846" s="12"/>
      <c r="E1846" s="10"/>
      <c r="F1846" s="10"/>
      <c r="G1846" s="10"/>
    </row>
    <row r="1847" spans="1:7" x14ac:dyDescent="0.25">
      <c r="A1847" s="10"/>
      <c r="B1847" s="10"/>
      <c r="C1847" s="10"/>
      <c r="D1847" s="12"/>
      <c r="E1847" s="10"/>
      <c r="F1847" s="10"/>
      <c r="G1847" s="10"/>
    </row>
    <row r="1848" spans="1:7" x14ac:dyDescent="0.25">
      <c r="A1848" s="10"/>
      <c r="B1848" s="10"/>
      <c r="C1848" s="10"/>
      <c r="D1848" s="12"/>
      <c r="E1848" s="10"/>
      <c r="F1848" s="10"/>
      <c r="G1848" s="10"/>
    </row>
    <row r="1849" spans="1:7" x14ac:dyDescent="0.25">
      <c r="A1849" s="10"/>
      <c r="B1849" s="10"/>
      <c r="C1849" s="10"/>
      <c r="D1849" s="12"/>
      <c r="E1849" s="10"/>
      <c r="F1849" s="10"/>
      <c r="G1849" s="10"/>
    </row>
    <row r="1850" spans="1:7" x14ac:dyDescent="0.25">
      <c r="A1850" s="10"/>
      <c r="B1850" s="10"/>
      <c r="C1850" s="10"/>
      <c r="D1850" s="12"/>
      <c r="E1850" s="10"/>
      <c r="F1850" s="10"/>
      <c r="G1850" s="10"/>
    </row>
    <row r="1851" spans="1:7" x14ac:dyDescent="0.25">
      <c r="A1851" s="10"/>
      <c r="B1851" s="10"/>
      <c r="C1851" s="10"/>
      <c r="D1851" s="12"/>
      <c r="E1851" s="10"/>
      <c r="F1851" s="10"/>
      <c r="G1851" s="10"/>
    </row>
    <row r="1852" spans="1:7" x14ac:dyDescent="0.25">
      <c r="A1852" s="10"/>
      <c r="B1852" s="10"/>
      <c r="C1852" s="10"/>
      <c r="D1852" s="12"/>
      <c r="E1852" s="10"/>
      <c r="F1852" s="10"/>
      <c r="G1852" s="10"/>
    </row>
    <row r="1853" spans="1:7" x14ac:dyDescent="0.25">
      <c r="A1853" s="10"/>
      <c r="B1853" s="10"/>
      <c r="C1853" s="10"/>
      <c r="D1853" s="12"/>
      <c r="E1853" s="10"/>
      <c r="F1853" s="10"/>
      <c r="G1853" s="10"/>
    </row>
    <row r="1854" spans="1:7" x14ac:dyDescent="0.25">
      <c r="A1854" s="10"/>
      <c r="B1854" s="10"/>
      <c r="C1854" s="10"/>
      <c r="D1854" s="12"/>
      <c r="E1854" s="10"/>
      <c r="F1854" s="10"/>
      <c r="G1854" s="10"/>
    </row>
    <row r="1855" spans="1:7" x14ac:dyDescent="0.25">
      <c r="A1855" s="10"/>
      <c r="B1855" s="10"/>
      <c r="C1855" s="10"/>
      <c r="D1855" s="12"/>
      <c r="E1855" s="10"/>
      <c r="F1855" s="10"/>
      <c r="G1855" s="10"/>
    </row>
    <row r="1856" spans="1:7" x14ac:dyDescent="0.25">
      <c r="A1856" s="10"/>
      <c r="B1856" s="10"/>
      <c r="C1856" s="10"/>
      <c r="D1856" s="12"/>
      <c r="E1856" s="10"/>
      <c r="F1856" s="10"/>
      <c r="G1856" s="10"/>
    </row>
    <row r="1857" spans="1:7" x14ac:dyDescent="0.25">
      <c r="A1857" s="10"/>
      <c r="B1857" s="10"/>
      <c r="C1857" s="10"/>
      <c r="D1857" s="12"/>
      <c r="E1857" s="10"/>
      <c r="F1857" s="10"/>
      <c r="G1857" s="10"/>
    </row>
    <row r="1858" spans="1:7" x14ac:dyDescent="0.25">
      <c r="A1858" s="10"/>
      <c r="B1858" s="10"/>
      <c r="C1858" s="10"/>
      <c r="D1858" s="12"/>
      <c r="E1858" s="10"/>
      <c r="F1858" s="10"/>
      <c r="G1858" s="10"/>
    </row>
    <row r="1859" spans="1:7" x14ac:dyDescent="0.25">
      <c r="A1859" s="10"/>
      <c r="B1859" s="10"/>
      <c r="C1859" s="10"/>
      <c r="D1859" s="12"/>
      <c r="E1859" s="10"/>
      <c r="F1859" s="10"/>
      <c r="G1859" s="10"/>
    </row>
    <row r="1860" spans="1:7" x14ac:dyDescent="0.25">
      <c r="A1860" s="10"/>
      <c r="B1860" s="10"/>
      <c r="C1860" s="10"/>
      <c r="D1860" s="12"/>
      <c r="E1860" s="10"/>
      <c r="F1860" s="10"/>
      <c r="G1860" s="10"/>
    </row>
    <row r="1861" spans="1:7" x14ac:dyDescent="0.25">
      <c r="A1861" s="10"/>
      <c r="B1861" s="10"/>
      <c r="C1861" s="10"/>
      <c r="D1861" s="12"/>
      <c r="E1861" s="10"/>
      <c r="F1861" s="10"/>
      <c r="G1861" s="10"/>
    </row>
    <row r="1862" spans="1:7" x14ac:dyDescent="0.25">
      <c r="A1862" s="10"/>
      <c r="B1862" s="10"/>
      <c r="C1862" s="10"/>
      <c r="D1862" s="12"/>
      <c r="E1862" s="10"/>
      <c r="F1862" s="10"/>
      <c r="G1862" s="10"/>
    </row>
    <row r="1863" spans="1:7" x14ac:dyDescent="0.25">
      <c r="A1863" s="10"/>
      <c r="B1863" s="10"/>
      <c r="C1863" s="10"/>
      <c r="D1863" s="12"/>
      <c r="E1863" s="10"/>
      <c r="F1863" s="10"/>
      <c r="G1863" s="10"/>
    </row>
    <row r="1864" spans="1:7" x14ac:dyDescent="0.25">
      <c r="A1864" s="10"/>
      <c r="B1864" s="10"/>
      <c r="C1864" s="10"/>
      <c r="D1864" s="12"/>
      <c r="E1864" s="10"/>
      <c r="F1864" s="10"/>
      <c r="G1864" s="10"/>
    </row>
    <row r="1865" spans="1:7" x14ac:dyDescent="0.25">
      <c r="A1865" s="10"/>
      <c r="B1865" s="10"/>
      <c r="C1865" s="10"/>
      <c r="D1865" s="12"/>
      <c r="E1865" s="10"/>
      <c r="F1865" s="10"/>
      <c r="G1865" s="10"/>
    </row>
    <row r="1866" spans="1:7" x14ac:dyDescent="0.25">
      <c r="A1866" s="10"/>
      <c r="B1866" s="10"/>
      <c r="C1866" s="10"/>
      <c r="D1866" s="12"/>
      <c r="E1866" s="10"/>
      <c r="F1866" s="10"/>
      <c r="G1866" s="10"/>
    </row>
    <row r="1867" spans="1:7" x14ac:dyDescent="0.25">
      <c r="A1867" s="10"/>
      <c r="B1867" s="10"/>
      <c r="C1867" s="10"/>
      <c r="D1867" s="12"/>
      <c r="E1867" s="10"/>
      <c r="F1867" s="10"/>
      <c r="G1867" s="10"/>
    </row>
    <row r="1868" spans="1:7" x14ac:dyDescent="0.25">
      <c r="A1868" s="10"/>
      <c r="B1868" s="10"/>
      <c r="C1868" s="10"/>
      <c r="D1868" s="12"/>
      <c r="E1868" s="10"/>
      <c r="F1868" s="10"/>
      <c r="G1868" s="10"/>
    </row>
    <row r="1869" spans="1:7" x14ac:dyDescent="0.25">
      <c r="A1869" s="10"/>
      <c r="B1869" s="10"/>
      <c r="C1869" s="10"/>
      <c r="D1869" s="12"/>
      <c r="E1869" s="10"/>
      <c r="F1869" s="10"/>
      <c r="G1869" s="10"/>
    </row>
    <row r="1870" spans="1:7" x14ac:dyDescent="0.25">
      <c r="A1870" s="10"/>
      <c r="B1870" s="10"/>
      <c r="C1870" s="10"/>
      <c r="D1870" s="12"/>
      <c r="E1870" s="10"/>
      <c r="F1870" s="10"/>
      <c r="G1870" s="10"/>
    </row>
    <row r="1871" spans="1:7" x14ac:dyDescent="0.25">
      <c r="A1871" s="10"/>
      <c r="B1871" s="10"/>
      <c r="C1871" s="10"/>
      <c r="D1871" s="12"/>
      <c r="E1871" s="10"/>
      <c r="F1871" s="10"/>
      <c r="G1871" s="10"/>
    </row>
    <row r="1872" spans="1:7" x14ac:dyDescent="0.25">
      <c r="A1872" s="10"/>
      <c r="B1872" s="10"/>
      <c r="C1872" s="10"/>
      <c r="D1872" s="12"/>
      <c r="E1872" s="10"/>
      <c r="F1872" s="10"/>
      <c r="G1872" s="10"/>
    </row>
    <row r="1873" spans="1:7" x14ac:dyDescent="0.25">
      <c r="A1873" s="10"/>
      <c r="B1873" s="10"/>
      <c r="C1873" s="10"/>
      <c r="D1873" s="12"/>
      <c r="E1873" s="10"/>
      <c r="F1873" s="10"/>
      <c r="G1873" s="10"/>
    </row>
    <row r="1874" spans="1:7" x14ac:dyDescent="0.25">
      <c r="A1874" s="10"/>
      <c r="B1874" s="10"/>
      <c r="C1874" s="10"/>
      <c r="D1874" s="12"/>
      <c r="E1874" s="10"/>
      <c r="F1874" s="10"/>
      <c r="G1874" s="10"/>
    </row>
    <row r="1875" spans="1:7" x14ac:dyDescent="0.25">
      <c r="A1875" s="10"/>
      <c r="B1875" s="10"/>
      <c r="C1875" s="10"/>
      <c r="D1875" s="12"/>
      <c r="E1875" s="10"/>
      <c r="F1875" s="10"/>
      <c r="G1875" s="10"/>
    </row>
    <row r="1876" spans="1:7" x14ac:dyDescent="0.25">
      <c r="A1876" s="10"/>
      <c r="B1876" s="10"/>
      <c r="C1876" s="10"/>
      <c r="D1876" s="12"/>
      <c r="E1876" s="10"/>
      <c r="F1876" s="10"/>
      <c r="G1876" s="10"/>
    </row>
    <row r="1877" spans="1:7" x14ac:dyDescent="0.25">
      <c r="A1877" s="10"/>
      <c r="B1877" s="10"/>
      <c r="C1877" s="10"/>
      <c r="D1877" s="12"/>
      <c r="E1877" s="10"/>
      <c r="F1877" s="10"/>
      <c r="G1877" s="10"/>
    </row>
    <row r="1878" spans="1:7" x14ac:dyDescent="0.25">
      <c r="A1878" s="10"/>
      <c r="B1878" s="10"/>
      <c r="C1878" s="10"/>
      <c r="D1878" s="12"/>
      <c r="E1878" s="10"/>
      <c r="F1878" s="10"/>
      <c r="G1878" s="10"/>
    </row>
    <row r="1879" spans="1:7" x14ac:dyDescent="0.25">
      <c r="A1879" s="10"/>
      <c r="B1879" s="10"/>
      <c r="C1879" s="10"/>
      <c r="D1879" s="12"/>
      <c r="E1879" s="10"/>
      <c r="F1879" s="10"/>
      <c r="G1879" s="10"/>
    </row>
    <row r="1880" spans="1:7" x14ac:dyDescent="0.25">
      <c r="A1880" s="10"/>
      <c r="B1880" s="10"/>
      <c r="C1880" s="10"/>
      <c r="D1880" s="12"/>
      <c r="E1880" s="10"/>
      <c r="F1880" s="10"/>
      <c r="G1880" s="10"/>
    </row>
    <row r="1881" spans="1:7" x14ac:dyDescent="0.25">
      <c r="A1881" s="10"/>
      <c r="B1881" s="10"/>
      <c r="C1881" s="10"/>
      <c r="D1881" s="12"/>
      <c r="E1881" s="10"/>
      <c r="F1881" s="10"/>
      <c r="G1881" s="10"/>
    </row>
    <row r="1882" spans="1:7" x14ac:dyDescent="0.25">
      <c r="A1882" s="10"/>
      <c r="B1882" s="10"/>
      <c r="C1882" s="10"/>
      <c r="D1882" s="12"/>
      <c r="E1882" s="10"/>
      <c r="F1882" s="10"/>
      <c r="G1882" s="10"/>
    </row>
    <row r="1883" spans="1:7" x14ac:dyDescent="0.25">
      <c r="A1883" s="10"/>
      <c r="B1883" s="10"/>
      <c r="C1883" s="10"/>
      <c r="D1883" s="12"/>
      <c r="E1883" s="10"/>
      <c r="F1883" s="10"/>
      <c r="G1883" s="10"/>
    </row>
    <row r="1884" spans="1:7" x14ac:dyDescent="0.25">
      <c r="A1884" s="10"/>
      <c r="B1884" s="10"/>
      <c r="C1884" s="10"/>
      <c r="D1884" s="12"/>
      <c r="E1884" s="10"/>
      <c r="F1884" s="10"/>
      <c r="G1884" s="10"/>
    </row>
    <row r="1885" spans="1:7" x14ac:dyDescent="0.25">
      <c r="A1885" s="10"/>
      <c r="B1885" s="10"/>
      <c r="C1885" s="10"/>
      <c r="D1885" s="12"/>
      <c r="E1885" s="10"/>
      <c r="F1885" s="10"/>
      <c r="G1885" s="10"/>
    </row>
    <row r="1886" spans="1:7" x14ac:dyDescent="0.25">
      <c r="A1886" s="10"/>
      <c r="B1886" s="10"/>
      <c r="C1886" s="10"/>
      <c r="D1886" s="12"/>
      <c r="E1886" s="10"/>
      <c r="F1886" s="10"/>
      <c r="G1886" s="10"/>
    </row>
    <row r="1887" spans="1:7" x14ac:dyDescent="0.25">
      <c r="A1887" s="10"/>
      <c r="B1887" s="10"/>
      <c r="C1887" s="10"/>
      <c r="D1887" s="12"/>
      <c r="E1887" s="10"/>
      <c r="F1887" s="10"/>
      <c r="G1887" s="10"/>
    </row>
    <row r="1888" spans="1:7" x14ac:dyDescent="0.25">
      <c r="A1888" s="10"/>
      <c r="B1888" s="10"/>
      <c r="C1888" s="10"/>
      <c r="D1888" s="12"/>
      <c r="E1888" s="10"/>
      <c r="F1888" s="10"/>
      <c r="G1888" s="10"/>
    </row>
    <row r="1889" spans="1:7" x14ac:dyDescent="0.25">
      <c r="A1889" s="10"/>
      <c r="B1889" s="10"/>
      <c r="C1889" s="10"/>
      <c r="D1889" s="12"/>
      <c r="E1889" s="10"/>
      <c r="F1889" s="10"/>
      <c r="G1889" s="10"/>
    </row>
    <row r="1890" spans="1:7" x14ac:dyDescent="0.25">
      <c r="A1890" s="10"/>
      <c r="B1890" s="10"/>
      <c r="C1890" s="10"/>
      <c r="D1890" s="12"/>
      <c r="E1890" s="10"/>
      <c r="F1890" s="10"/>
      <c r="G1890" s="10"/>
    </row>
    <row r="1891" spans="1:7" x14ac:dyDescent="0.25">
      <c r="A1891" s="10"/>
      <c r="B1891" s="10"/>
      <c r="C1891" s="10"/>
      <c r="D1891" s="12"/>
      <c r="E1891" s="10"/>
      <c r="F1891" s="10"/>
      <c r="G1891" s="10"/>
    </row>
    <row r="1892" spans="1:7" x14ac:dyDescent="0.25">
      <c r="A1892" s="10"/>
      <c r="B1892" s="10"/>
      <c r="C1892" s="10"/>
      <c r="D1892" s="12"/>
      <c r="E1892" s="10"/>
      <c r="F1892" s="10"/>
      <c r="G1892" s="10"/>
    </row>
    <row r="1893" spans="1:7" x14ac:dyDescent="0.25">
      <c r="A1893" s="10"/>
      <c r="B1893" s="10"/>
      <c r="C1893" s="10"/>
      <c r="D1893" s="12"/>
      <c r="E1893" s="10"/>
      <c r="F1893" s="10"/>
      <c r="G1893" s="10"/>
    </row>
    <row r="1894" spans="1:7" x14ac:dyDescent="0.25">
      <c r="A1894" s="10"/>
      <c r="B1894" s="10"/>
      <c r="C1894" s="10"/>
      <c r="D1894" s="12"/>
      <c r="E1894" s="10"/>
      <c r="F1894" s="10"/>
      <c r="G1894" s="10"/>
    </row>
    <row r="1895" spans="1:7" x14ac:dyDescent="0.25">
      <c r="A1895" s="10"/>
      <c r="B1895" s="10"/>
      <c r="C1895" s="10"/>
      <c r="D1895" s="12"/>
      <c r="E1895" s="10"/>
      <c r="F1895" s="10"/>
      <c r="G1895" s="10"/>
    </row>
    <row r="1896" spans="1:7" x14ac:dyDescent="0.25">
      <c r="A1896" s="10"/>
      <c r="B1896" s="10"/>
      <c r="C1896" s="10"/>
      <c r="D1896" s="12"/>
      <c r="E1896" s="10"/>
      <c r="F1896" s="10"/>
      <c r="G1896" s="10"/>
    </row>
    <row r="1897" spans="1:7" x14ac:dyDescent="0.25">
      <c r="A1897" s="10"/>
      <c r="B1897" s="10"/>
      <c r="C1897" s="10"/>
      <c r="D1897" s="12"/>
      <c r="E1897" s="10"/>
      <c r="F1897" s="10"/>
      <c r="G1897" s="10"/>
    </row>
    <row r="1898" spans="1:7" x14ac:dyDescent="0.25">
      <c r="A1898" s="10"/>
      <c r="B1898" s="10"/>
      <c r="C1898" s="10"/>
      <c r="D1898" s="12"/>
      <c r="E1898" s="10"/>
      <c r="F1898" s="10"/>
      <c r="G1898" s="10"/>
    </row>
    <row r="1899" spans="1:7" x14ac:dyDescent="0.25">
      <c r="A1899" s="10"/>
      <c r="B1899" s="10"/>
      <c r="C1899" s="10"/>
      <c r="D1899" s="12"/>
      <c r="E1899" s="10"/>
      <c r="F1899" s="10"/>
      <c r="G1899" s="10"/>
    </row>
    <row r="1900" spans="1:7" x14ac:dyDescent="0.25">
      <c r="A1900" s="10"/>
      <c r="B1900" s="10"/>
      <c r="C1900" s="10"/>
      <c r="D1900" s="12"/>
      <c r="E1900" s="10"/>
      <c r="F1900" s="10"/>
      <c r="G1900" s="10"/>
    </row>
    <row r="1901" spans="1:7" x14ac:dyDescent="0.25">
      <c r="A1901" s="10"/>
      <c r="B1901" s="10"/>
      <c r="C1901" s="10"/>
      <c r="D1901" s="12"/>
      <c r="E1901" s="10"/>
      <c r="F1901" s="10"/>
      <c r="G1901" s="10"/>
    </row>
    <row r="1902" spans="1:7" x14ac:dyDescent="0.25">
      <c r="A1902" s="10"/>
      <c r="B1902" s="10"/>
      <c r="C1902" s="10"/>
      <c r="D1902" s="12"/>
      <c r="E1902" s="10"/>
      <c r="F1902" s="10"/>
      <c r="G1902" s="10"/>
    </row>
    <row r="1903" spans="1:7" x14ac:dyDescent="0.25">
      <c r="A1903" s="10"/>
      <c r="B1903" s="10"/>
      <c r="C1903" s="10"/>
      <c r="D1903" s="12"/>
      <c r="E1903" s="10"/>
      <c r="F1903" s="10"/>
      <c r="G1903" s="10"/>
    </row>
    <row r="1904" spans="1:7" x14ac:dyDescent="0.25">
      <c r="A1904" s="10"/>
      <c r="B1904" s="10"/>
      <c r="C1904" s="10"/>
      <c r="D1904" s="12"/>
      <c r="E1904" s="10"/>
      <c r="F1904" s="10"/>
      <c r="G1904" s="10"/>
    </row>
    <row r="1905" spans="1:7" x14ac:dyDescent="0.25">
      <c r="A1905" s="10"/>
      <c r="B1905" s="10"/>
      <c r="C1905" s="10"/>
      <c r="D1905" s="12"/>
      <c r="E1905" s="10"/>
      <c r="F1905" s="10"/>
      <c r="G1905" s="10"/>
    </row>
    <row r="1906" spans="1:7" x14ac:dyDescent="0.25">
      <c r="A1906" s="10"/>
      <c r="B1906" s="10"/>
      <c r="C1906" s="10"/>
      <c r="D1906" s="12"/>
      <c r="E1906" s="10"/>
      <c r="F1906" s="10"/>
      <c r="G1906" s="10"/>
    </row>
    <row r="1907" spans="1:7" x14ac:dyDescent="0.25">
      <c r="A1907" s="10"/>
      <c r="B1907" s="10"/>
      <c r="C1907" s="10"/>
      <c r="D1907" s="12"/>
      <c r="E1907" s="10"/>
      <c r="F1907" s="10"/>
      <c r="G1907" s="10"/>
    </row>
    <row r="1908" spans="1:7" x14ac:dyDescent="0.25">
      <c r="A1908" s="10"/>
      <c r="B1908" s="10"/>
      <c r="C1908" s="10"/>
      <c r="D1908" s="12"/>
      <c r="E1908" s="10"/>
      <c r="F1908" s="10"/>
      <c r="G1908" s="10"/>
    </row>
    <row r="1909" spans="1:7" x14ac:dyDescent="0.25">
      <c r="A1909" s="10"/>
      <c r="B1909" s="10"/>
      <c r="C1909" s="10"/>
      <c r="D1909" s="12"/>
      <c r="E1909" s="10"/>
      <c r="F1909" s="10"/>
      <c r="G1909" s="10"/>
    </row>
    <row r="1910" spans="1:7" x14ac:dyDescent="0.25">
      <c r="A1910" s="10"/>
      <c r="B1910" s="10"/>
      <c r="C1910" s="10"/>
      <c r="D1910" s="12"/>
      <c r="E1910" s="10"/>
      <c r="F1910" s="10"/>
      <c r="G1910" s="10"/>
    </row>
    <row r="1911" spans="1:7" x14ac:dyDescent="0.25">
      <c r="A1911" s="10"/>
      <c r="B1911" s="10"/>
      <c r="C1911" s="10"/>
      <c r="D1911" s="12"/>
      <c r="E1911" s="10"/>
      <c r="F1911" s="10"/>
      <c r="G1911" s="10"/>
    </row>
    <row r="1912" spans="1:7" x14ac:dyDescent="0.25">
      <c r="A1912" s="10"/>
      <c r="B1912" s="10"/>
      <c r="C1912" s="10"/>
      <c r="D1912" s="12"/>
      <c r="E1912" s="10"/>
      <c r="F1912" s="10"/>
      <c r="G1912" s="10"/>
    </row>
    <row r="1913" spans="1:7" x14ac:dyDescent="0.25">
      <c r="A1913" s="10"/>
      <c r="B1913" s="10"/>
      <c r="C1913" s="10"/>
      <c r="D1913" s="12"/>
      <c r="E1913" s="10"/>
      <c r="F1913" s="10"/>
      <c r="G1913" s="10"/>
    </row>
    <row r="1914" spans="1:7" x14ac:dyDescent="0.25">
      <c r="A1914" s="10"/>
      <c r="B1914" s="10"/>
      <c r="C1914" s="10"/>
      <c r="D1914" s="12"/>
      <c r="E1914" s="10"/>
      <c r="F1914" s="10"/>
      <c r="G1914" s="10"/>
    </row>
    <row r="1915" spans="1:7" x14ac:dyDescent="0.25">
      <c r="A1915" s="10"/>
      <c r="B1915" s="10"/>
      <c r="C1915" s="10"/>
      <c r="D1915" s="12"/>
      <c r="E1915" s="10"/>
      <c r="F1915" s="10"/>
      <c r="G1915" s="10"/>
    </row>
    <row r="1916" spans="1:7" x14ac:dyDescent="0.25">
      <c r="A1916" s="10"/>
      <c r="B1916" s="10"/>
      <c r="C1916" s="10"/>
      <c r="D1916" s="12"/>
      <c r="E1916" s="10"/>
      <c r="F1916" s="10"/>
      <c r="G1916" s="10"/>
    </row>
    <row r="1917" spans="1:7" x14ac:dyDescent="0.25">
      <c r="A1917" s="10"/>
      <c r="B1917" s="10"/>
      <c r="C1917" s="10"/>
      <c r="D1917" s="12"/>
      <c r="E1917" s="10"/>
      <c r="F1917" s="10"/>
      <c r="G1917" s="10"/>
    </row>
    <row r="1918" spans="1:7" x14ac:dyDescent="0.25">
      <c r="A1918" s="10"/>
      <c r="B1918" s="10"/>
      <c r="C1918" s="10"/>
      <c r="D1918" s="12"/>
      <c r="E1918" s="10"/>
      <c r="F1918" s="10"/>
      <c r="G1918" s="10"/>
    </row>
    <row r="1919" spans="1:7" x14ac:dyDescent="0.25">
      <c r="A1919" s="10"/>
      <c r="B1919" s="10"/>
      <c r="C1919" s="10"/>
      <c r="D1919" s="12"/>
      <c r="E1919" s="10"/>
      <c r="F1919" s="10"/>
      <c r="G1919" s="10"/>
    </row>
    <row r="1920" spans="1:7" x14ac:dyDescent="0.25">
      <c r="A1920" s="10"/>
      <c r="B1920" s="10"/>
      <c r="C1920" s="10"/>
      <c r="D1920" s="12"/>
      <c r="E1920" s="10"/>
      <c r="F1920" s="10"/>
      <c r="G1920" s="10"/>
    </row>
    <row r="1921" spans="1:7" x14ac:dyDescent="0.25">
      <c r="A1921" s="10"/>
      <c r="B1921" s="10"/>
      <c r="C1921" s="10"/>
      <c r="D1921" s="12"/>
      <c r="E1921" s="10"/>
      <c r="F1921" s="10"/>
      <c r="G1921" s="10"/>
    </row>
    <row r="1922" spans="1:7" x14ac:dyDescent="0.25">
      <c r="A1922" s="10"/>
      <c r="B1922" s="10"/>
      <c r="C1922" s="10"/>
      <c r="D1922" s="12"/>
      <c r="E1922" s="10"/>
      <c r="F1922" s="10"/>
      <c r="G1922" s="10"/>
    </row>
    <row r="1923" spans="1:7" x14ac:dyDescent="0.25">
      <c r="A1923" s="10"/>
      <c r="B1923" s="10"/>
      <c r="C1923" s="10"/>
      <c r="D1923" s="12"/>
      <c r="E1923" s="10"/>
      <c r="F1923" s="10"/>
      <c r="G1923" s="10"/>
    </row>
    <row r="1924" spans="1:7" x14ac:dyDescent="0.25">
      <c r="A1924" s="10"/>
      <c r="B1924" s="10"/>
      <c r="C1924" s="10"/>
      <c r="D1924" s="12"/>
      <c r="E1924" s="10"/>
      <c r="F1924" s="10"/>
      <c r="G1924" s="10"/>
    </row>
    <row r="1925" spans="1:7" x14ac:dyDescent="0.25">
      <c r="A1925" s="10"/>
      <c r="B1925" s="10"/>
      <c r="C1925" s="10"/>
      <c r="D1925" s="12"/>
      <c r="E1925" s="10"/>
      <c r="F1925" s="10"/>
      <c r="G1925" s="10"/>
    </row>
    <row r="1926" spans="1:7" x14ac:dyDescent="0.25">
      <c r="A1926" s="10"/>
      <c r="B1926" s="10"/>
      <c r="C1926" s="10"/>
      <c r="D1926" s="12"/>
      <c r="E1926" s="10"/>
      <c r="F1926" s="10"/>
      <c r="G1926" s="10"/>
    </row>
    <row r="1927" spans="1:7" x14ac:dyDescent="0.25">
      <c r="A1927" s="10"/>
      <c r="B1927" s="10"/>
      <c r="C1927" s="10"/>
      <c r="D1927" s="12"/>
      <c r="E1927" s="10"/>
      <c r="F1927" s="10"/>
      <c r="G1927" s="10"/>
    </row>
    <row r="1928" spans="1:7" x14ac:dyDescent="0.25">
      <c r="A1928" s="10"/>
      <c r="B1928" s="10"/>
      <c r="C1928" s="10"/>
      <c r="D1928" s="12"/>
      <c r="E1928" s="10"/>
      <c r="F1928" s="10"/>
      <c r="G1928" s="10"/>
    </row>
    <row r="1929" spans="1:7" x14ac:dyDescent="0.25">
      <c r="A1929" s="10"/>
      <c r="B1929" s="10"/>
      <c r="C1929" s="10"/>
      <c r="D1929" s="12"/>
      <c r="E1929" s="10"/>
      <c r="F1929" s="10"/>
      <c r="G1929" s="10"/>
    </row>
    <row r="1930" spans="1:7" x14ac:dyDescent="0.25">
      <c r="A1930" s="10"/>
      <c r="B1930" s="10"/>
      <c r="C1930" s="10"/>
      <c r="D1930" s="12"/>
      <c r="E1930" s="10"/>
      <c r="F1930" s="10"/>
      <c r="G1930" s="10"/>
    </row>
    <row r="1931" spans="1:7" x14ac:dyDescent="0.25">
      <c r="A1931" s="10"/>
      <c r="B1931" s="10"/>
      <c r="C1931" s="10"/>
      <c r="D1931" s="12"/>
      <c r="E1931" s="10"/>
      <c r="F1931" s="10"/>
      <c r="G1931" s="10"/>
    </row>
    <row r="1932" spans="1:7" x14ac:dyDescent="0.25">
      <c r="A1932" s="10"/>
      <c r="B1932" s="10"/>
      <c r="C1932" s="10"/>
      <c r="D1932" s="12"/>
      <c r="E1932" s="10"/>
      <c r="F1932" s="10"/>
      <c r="G1932" s="10"/>
    </row>
    <row r="1933" spans="1:7" x14ac:dyDescent="0.25">
      <c r="A1933" s="10"/>
      <c r="B1933" s="10"/>
      <c r="C1933" s="10"/>
      <c r="D1933" s="12"/>
      <c r="E1933" s="10"/>
      <c r="F1933" s="10"/>
      <c r="G1933" s="10"/>
    </row>
    <row r="1934" spans="1:7" x14ac:dyDescent="0.25">
      <c r="A1934" s="10"/>
      <c r="B1934" s="10"/>
      <c r="C1934" s="10"/>
      <c r="D1934" s="12"/>
      <c r="E1934" s="10"/>
      <c r="F1934" s="10"/>
      <c r="G1934" s="10"/>
    </row>
    <row r="1935" spans="1:7" x14ac:dyDescent="0.25">
      <c r="A1935" s="10"/>
      <c r="B1935" s="10"/>
      <c r="C1935" s="10"/>
      <c r="D1935" s="12"/>
      <c r="E1935" s="10"/>
      <c r="F1935" s="10"/>
      <c r="G1935" s="10"/>
    </row>
    <row r="1936" spans="1:7" x14ac:dyDescent="0.25">
      <c r="A1936" s="10"/>
      <c r="B1936" s="10"/>
      <c r="C1936" s="10"/>
      <c r="D1936" s="12"/>
      <c r="E1936" s="10"/>
      <c r="F1936" s="10"/>
      <c r="G1936" s="10"/>
    </row>
    <row r="1937" spans="1:7" x14ac:dyDescent="0.25">
      <c r="A1937" s="10"/>
      <c r="B1937" s="10"/>
      <c r="C1937" s="10"/>
      <c r="D1937" s="12"/>
      <c r="E1937" s="10"/>
      <c r="F1937" s="10"/>
      <c r="G1937" s="10"/>
    </row>
    <row r="1938" spans="1:7" x14ac:dyDescent="0.25">
      <c r="A1938" s="10"/>
      <c r="B1938" s="10"/>
      <c r="C1938" s="10"/>
      <c r="D1938" s="12"/>
      <c r="E1938" s="10"/>
      <c r="F1938" s="10"/>
      <c r="G1938" s="10"/>
    </row>
    <row r="1939" spans="1:7" x14ac:dyDescent="0.25">
      <c r="A1939" s="10"/>
      <c r="B1939" s="10"/>
      <c r="C1939" s="10"/>
      <c r="D1939" s="12"/>
      <c r="E1939" s="10"/>
      <c r="F1939" s="10"/>
      <c r="G1939" s="10"/>
    </row>
    <row r="1940" spans="1:7" x14ac:dyDescent="0.25">
      <c r="A1940" s="10"/>
      <c r="B1940" s="10"/>
      <c r="C1940" s="10"/>
      <c r="D1940" s="12"/>
      <c r="E1940" s="10"/>
      <c r="F1940" s="10"/>
      <c r="G1940" s="10"/>
    </row>
    <row r="1941" spans="1:7" x14ac:dyDescent="0.25">
      <c r="A1941" s="10"/>
      <c r="B1941" s="10"/>
      <c r="C1941" s="10"/>
      <c r="D1941" s="12"/>
      <c r="E1941" s="10"/>
      <c r="F1941" s="10"/>
      <c r="G1941" s="10"/>
    </row>
    <row r="1942" spans="1:7" x14ac:dyDescent="0.25">
      <c r="A1942" s="10"/>
      <c r="B1942" s="10"/>
      <c r="C1942" s="10"/>
      <c r="D1942" s="12"/>
      <c r="E1942" s="10"/>
      <c r="F1942" s="10"/>
      <c r="G1942" s="10"/>
    </row>
    <row r="1943" spans="1:7" x14ac:dyDescent="0.25">
      <c r="A1943" s="10"/>
      <c r="B1943" s="10"/>
      <c r="C1943" s="10"/>
      <c r="D1943" s="12"/>
      <c r="E1943" s="10"/>
      <c r="F1943" s="10"/>
      <c r="G1943" s="10"/>
    </row>
    <row r="1944" spans="1:7" x14ac:dyDescent="0.25">
      <c r="A1944" s="10"/>
      <c r="B1944" s="10"/>
      <c r="C1944" s="10"/>
      <c r="D1944" s="12"/>
      <c r="E1944" s="10"/>
      <c r="F1944" s="10"/>
      <c r="G1944" s="10"/>
    </row>
    <row r="1945" spans="1:7" x14ac:dyDescent="0.25">
      <c r="A1945" s="10"/>
      <c r="B1945" s="10"/>
      <c r="C1945" s="10"/>
      <c r="D1945" s="12"/>
      <c r="E1945" s="10"/>
      <c r="F1945" s="10"/>
      <c r="G1945" s="10"/>
    </row>
    <row r="1946" spans="1:7" x14ac:dyDescent="0.25">
      <c r="A1946" s="10"/>
      <c r="B1946" s="10"/>
      <c r="C1946" s="10"/>
      <c r="D1946" s="12"/>
      <c r="E1946" s="10"/>
      <c r="F1946" s="10"/>
      <c r="G1946" s="10"/>
    </row>
    <row r="1947" spans="1:7" x14ac:dyDescent="0.25">
      <c r="A1947" s="10"/>
      <c r="B1947" s="10"/>
      <c r="C1947" s="10"/>
      <c r="D1947" s="12"/>
      <c r="E1947" s="10"/>
      <c r="F1947" s="10"/>
      <c r="G1947" s="10"/>
    </row>
    <row r="1948" spans="1:7" x14ac:dyDescent="0.25">
      <c r="A1948" s="10"/>
      <c r="B1948" s="10"/>
      <c r="C1948" s="10"/>
      <c r="D1948" s="12"/>
      <c r="E1948" s="10"/>
      <c r="F1948" s="10"/>
      <c r="G1948" s="10"/>
    </row>
    <row r="1949" spans="1:7" x14ac:dyDescent="0.25">
      <c r="A1949" s="10"/>
      <c r="B1949" s="10"/>
      <c r="C1949" s="10"/>
      <c r="D1949" s="12"/>
      <c r="E1949" s="10"/>
      <c r="F1949" s="10"/>
      <c r="G1949" s="10"/>
    </row>
    <row r="1950" spans="1:7" x14ac:dyDescent="0.25">
      <c r="A1950" s="10"/>
      <c r="B1950" s="10"/>
      <c r="C1950" s="10"/>
      <c r="D1950" s="12"/>
      <c r="E1950" s="10"/>
      <c r="F1950" s="10"/>
      <c r="G1950" s="10"/>
    </row>
    <row r="1951" spans="1:7" x14ac:dyDescent="0.25">
      <c r="A1951" s="10"/>
      <c r="B1951" s="10"/>
      <c r="C1951" s="10"/>
      <c r="D1951" s="12"/>
      <c r="E1951" s="10"/>
      <c r="F1951" s="10"/>
      <c r="G1951" s="10"/>
    </row>
    <row r="1952" spans="1:7" x14ac:dyDescent="0.25">
      <c r="A1952" s="10"/>
      <c r="B1952" s="10"/>
      <c r="C1952" s="10"/>
      <c r="D1952" s="12"/>
      <c r="E1952" s="10"/>
      <c r="F1952" s="10"/>
      <c r="G1952" s="10"/>
    </row>
    <row r="1953" spans="1:7" x14ac:dyDescent="0.25">
      <c r="A1953" s="10"/>
      <c r="B1953" s="10"/>
      <c r="C1953" s="10"/>
      <c r="D1953" s="12"/>
      <c r="E1953" s="10"/>
      <c r="F1953" s="10"/>
      <c r="G1953" s="10"/>
    </row>
    <row r="1954" spans="1:7" x14ac:dyDescent="0.25">
      <c r="A1954" s="10"/>
      <c r="B1954" s="10"/>
      <c r="C1954" s="10"/>
      <c r="D1954" s="12"/>
      <c r="E1954" s="10"/>
      <c r="F1954" s="10"/>
      <c r="G1954" s="10"/>
    </row>
    <row r="1955" spans="1:7" x14ac:dyDescent="0.25">
      <c r="A1955" s="10"/>
      <c r="B1955" s="10"/>
      <c r="C1955" s="10"/>
      <c r="D1955" s="12"/>
      <c r="E1955" s="10"/>
      <c r="F1955" s="10"/>
      <c r="G1955" s="10"/>
    </row>
    <row r="1956" spans="1:7" x14ac:dyDescent="0.25">
      <c r="A1956" s="10"/>
      <c r="B1956" s="10"/>
      <c r="C1956" s="10"/>
      <c r="D1956" s="12"/>
      <c r="E1956" s="10"/>
      <c r="F1956" s="10"/>
      <c r="G1956" s="10"/>
    </row>
    <row r="1957" spans="1:7" x14ac:dyDescent="0.25">
      <c r="A1957" s="10"/>
      <c r="B1957" s="10"/>
      <c r="C1957" s="10"/>
      <c r="D1957" s="12"/>
      <c r="E1957" s="10"/>
      <c r="F1957" s="10"/>
      <c r="G1957" s="10"/>
    </row>
    <row r="1958" spans="1:7" x14ac:dyDescent="0.25">
      <c r="A1958" s="10"/>
      <c r="B1958" s="10"/>
      <c r="C1958" s="10"/>
      <c r="D1958" s="12"/>
      <c r="E1958" s="10"/>
      <c r="F1958" s="10"/>
      <c r="G1958" s="10"/>
    </row>
    <row r="1959" spans="1:7" x14ac:dyDescent="0.25">
      <c r="A1959" s="10"/>
      <c r="B1959" s="10"/>
      <c r="C1959" s="10"/>
      <c r="D1959" s="12"/>
      <c r="E1959" s="10"/>
      <c r="F1959" s="10"/>
      <c r="G1959" s="10"/>
    </row>
    <row r="1960" spans="1:7" x14ac:dyDescent="0.25">
      <c r="A1960" s="10"/>
      <c r="B1960" s="10"/>
      <c r="C1960" s="10"/>
      <c r="D1960" s="12"/>
      <c r="E1960" s="10"/>
      <c r="F1960" s="10"/>
      <c r="G1960" s="10"/>
    </row>
    <row r="1961" spans="1:7" x14ac:dyDescent="0.25">
      <c r="A1961" s="10"/>
      <c r="B1961" s="10"/>
      <c r="C1961" s="10"/>
      <c r="D1961" s="12"/>
      <c r="E1961" s="10"/>
      <c r="F1961" s="10"/>
      <c r="G1961" s="10"/>
    </row>
    <row r="1962" spans="1:7" x14ac:dyDescent="0.25">
      <c r="A1962" s="10"/>
      <c r="B1962" s="10"/>
      <c r="C1962" s="10"/>
      <c r="D1962" s="12"/>
      <c r="E1962" s="10"/>
      <c r="F1962" s="10"/>
      <c r="G1962" s="10"/>
    </row>
    <row r="1963" spans="1:7" x14ac:dyDescent="0.25">
      <c r="A1963" s="10"/>
      <c r="B1963" s="10"/>
      <c r="C1963" s="10"/>
      <c r="D1963" s="12"/>
      <c r="E1963" s="10"/>
      <c r="F1963" s="10"/>
      <c r="G1963" s="10"/>
    </row>
    <row r="1964" spans="1:7" x14ac:dyDescent="0.25">
      <c r="A1964" s="10"/>
      <c r="B1964" s="10"/>
      <c r="C1964" s="10"/>
      <c r="D1964" s="12"/>
      <c r="E1964" s="10"/>
      <c r="F1964" s="10"/>
      <c r="G1964" s="10"/>
    </row>
    <row r="1965" spans="1:7" x14ac:dyDescent="0.25">
      <c r="A1965" s="10"/>
      <c r="B1965" s="10"/>
      <c r="C1965" s="10"/>
      <c r="D1965" s="12"/>
      <c r="E1965" s="10"/>
      <c r="F1965" s="10"/>
      <c r="G1965" s="10"/>
    </row>
    <row r="1966" spans="1:7" x14ac:dyDescent="0.25">
      <c r="A1966" s="10"/>
      <c r="B1966" s="10"/>
      <c r="C1966" s="10"/>
      <c r="D1966" s="12"/>
      <c r="E1966" s="10"/>
      <c r="F1966" s="10"/>
      <c r="G1966" s="10"/>
    </row>
    <row r="1967" spans="1:7" x14ac:dyDescent="0.25">
      <c r="A1967" s="10"/>
      <c r="B1967" s="10"/>
      <c r="C1967" s="10"/>
      <c r="D1967" s="12"/>
      <c r="E1967" s="10"/>
      <c r="F1967" s="10"/>
      <c r="G1967" s="10"/>
    </row>
    <row r="1968" spans="1:7" x14ac:dyDescent="0.25">
      <c r="A1968" s="10"/>
      <c r="B1968" s="10"/>
      <c r="C1968" s="10"/>
      <c r="D1968" s="12"/>
      <c r="E1968" s="10"/>
      <c r="F1968" s="10"/>
      <c r="G1968" s="10"/>
    </row>
    <row r="1969" spans="1:7" x14ac:dyDescent="0.25">
      <c r="A1969" s="10"/>
      <c r="B1969" s="10"/>
      <c r="C1969" s="10"/>
      <c r="D1969" s="12"/>
      <c r="E1969" s="10"/>
      <c r="F1969" s="10"/>
      <c r="G1969" s="10"/>
    </row>
    <row r="1970" spans="1:7" x14ac:dyDescent="0.25">
      <c r="A1970" s="10"/>
      <c r="B1970" s="10"/>
      <c r="C1970" s="10"/>
      <c r="D1970" s="12"/>
      <c r="E1970" s="10"/>
      <c r="F1970" s="10"/>
      <c r="G1970" s="10"/>
    </row>
    <row r="1971" spans="1:7" x14ac:dyDescent="0.25">
      <c r="A1971" s="10"/>
      <c r="B1971" s="10"/>
      <c r="C1971" s="10"/>
      <c r="D1971" s="12"/>
      <c r="E1971" s="10"/>
      <c r="F1971" s="10"/>
      <c r="G1971" s="10"/>
    </row>
    <row r="1972" spans="1:7" x14ac:dyDescent="0.25">
      <c r="A1972" s="10"/>
      <c r="B1972" s="10"/>
      <c r="C1972" s="10"/>
      <c r="D1972" s="12"/>
      <c r="E1972" s="10"/>
      <c r="F1972" s="10"/>
      <c r="G1972" s="10"/>
    </row>
    <row r="1973" spans="1:7" x14ac:dyDescent="0.25">
      <c r="A1973" s="10"/>
      <c r="B1973" s="10"/>
      <c r="C1973" s="10"/>
      <c r="D1973" s="12"/>
      <c r="E1973" s="10"/>
      <c r="F1973" s="10"/>
      <c r="G1973" s="10"/>
    </row>
    <row r="1974" spans="1:7" x14ac:dyDescent="0.25">
      <c r="A1974" s="10"/>
      <c r="B1974" s="10"/>
      <c r="C1974" s="10"/>
      <c r="D1974" s="12"/>
      <c r="E1974" s="10"/>
      <c r="F1974" s="10"/>
      <c r="G1974" s="10"/>
    </row>
    <row r="1975" spans="1:7" x14ac:dyDescent="0.25">
      <c r="A1975" s="10"/>
      <c r="B1975" s="10"/>
      <c r="C1975" s="10"/>
      <c r="D1975" s="12"/>
      <c r="E1975" s="10"/>
      <c r="F1975" s="10"/>
      <c r="G1975" s="10"/>
    </row>
    <row r="1976" spans="1:7" x14ac:dyDescent="0.25">
      <c r="A1976" s="10"/>
      <c r="B1976" s="10"/>
      <c r="C1976" s="10"/>
      <c r="D1976" s="12"/>
      <c r="E1976" s="10"/>
      <c r="F1976" s="10"/>
      <c r="G1976" s="10"/>
    </row>
    <row r="1977" spans="1:7" x14ac:dyDescent="0.25">
      <c r="A1977" s="10"/>
      <c r="B1977" s="10"/>
      <c r="C1977" s="10"/>
      <c r="D1977" s="12"/>
      <c r="E1977" s="10"/>
      <c r="F1977" s="10"/>
      <c r="G1977" s="10"/>
    </row>
    <row r="1978" spans="1:7" x14ac:dyDescent="0.25">
      <c r="A1978" s="10"/>
      <c r="B1978" s="10"/>
      <c r="C1978" s="10"/>
      <c r="D1978" s="12"/>
      <c r="E1978" s="10"/>
      <c r="F1978" s="10"/>
      <c r="G1978" s="10"/>
    </row>
    <row r="1979" spans="1:7" x14ac:dyDescent="0.25">
      <c r="A1979" s="10"/>
      <c r="B1979" s="10"/>
      <c r="C1979" s="10"/>
      <c r="D1979" s="12"/>
      <c r="E1979" s="10"/>
      <c r="F1979" s="10"/>
      <c r="G1979" s="10"/>
    </row>
    <row r="1980" spans="1:7" x14ac:dyDescent="0.25">
      <c r="A1980" s="10"/>
      <c r="B1980" s="10"/>
      <c r="C1980" s="10"/>
      <c r="D1980" s="12"/>
      <c r="E1980" s="10"/>
      <c r="F1980" s="10"/>
      <c r="G1980" s="10"/>
    </row>
    <row r="1981" spans="1:7" x14ac:dyDescent="0.25">
      <c r="A1981" s="10"/>
      <c r="B1981" s="10"/>
      <c r="C1981" s="10"/>
      <c r="D1981" s="12"/>
      <c r="E1981" s="10"/>
      <c r="F1981" s="10"/>
      <c r="G1981" s="10"/>
    </row>
    <row r="1982" spans="1:7" x14ac:dyDescent="0.25">
      <c r="A1982" s="10"/>
      <c r="B1982" s="10"/>
      <c r="C1982" s="10"/>
      <c r="D1982" s="12"/>
      <c r="E1982" s="10"/>
      <c r="F1982" s="10"/>
      <c r="G1982" s="10"/>
    </row>
    <row r="1983" spans="1:7" x14ac:dyDescent="0.25">
      <c r="A1983" s="10"/>
      <c r="B1983" s="10"/>
      <c r="C1983" s="10"/>
      <c r="D1983" s="12"/>
      <c r="E1983" s="10"/>
      <c r="F1983" s="10"/>
      <c r="G1983" s="10"/>
    </row>
    <row r="1984" spans="1:7" x14ac:dyDescent="0.25">
      <c r="A1984" s="10"/>
      <c r="B1984" s="10"/>
      <c r="C1984" s="10"/>
      <c r="D1984" s="12"/>
      <c r="E1984" s="10"/>
      <c r="F1984" s="10"/>
      <c r="G1984" s="10"/>
    </row>
    <row r="1985" spans="1:7" x14ac:dyDescent="0.25">
      <c r="A1985" s="10"/>
      <c r="B1985" s="10"/>
      <c r="C1985" s="10"/>
      <c r="D1985" s="12"/>
      <c r="E1985" s="10"/>
      <c r="F1985" s="10"/>
      <c r="G1985" s="10"/>
    </row>
    <row r="1986" spans="1:7" x14ac:dyDescent="0.25">
      <c r="A1986" s="10"/>
      <c r="B1986" s="10"/>
      <c r="C1986" s="10"/>
      <c r="D1986" s="12"/>
      <c r="E1986" s="10"/>
      <c r="F1986" s="10"/>
      <c r="G1986" s="10"/>
    </row>
    <row r="1987" spans="1:7" x14ac:dyDescent="0.25">
      <c r="A1987" s="10"/>
      <c r="B1987" s="10"/>
      <c r="C1987" s="10"/>
      <c r="D1987" s="12"/>
      <c r="E1987" s="10"/>
      <c r="F1987" s="10"/>
      <c r="G1987" s="10"/>
    </row>
    <row r="1988" spans="1:7" x14ac:dyDescent="0.25">
      <c r="A1988" s="10"/>
      <c r="B1988" s="10"/>
      <c r="C1988" s="10"/>
      <c r="D1988" s="12"/>
      <c r="E1988" s="10"/>
      <c r="F1988" s="10"/>
      <c r="G1988" s="10"/>
    </row>
    <row r="1989" spans="1:7" x14ac:dyDescent="0.25">
      <c r="A1989" s="10"/>
      <c r="B1989" s="10"/>
      <c r="C1989" s="10"/>
      <c r="D1989" s="12"/>
      <c r="E1989" s="10"/>
      <c r="F1989" s="10"/>
      <c r="G1989" s="10"/>
    </row>
    <row r="1990" spans="1:7" x14ac:dyDescent="0.25">
      <c r="A1990" s="10"/>
      <c r="B1990" s="10"/>
      <c r="C1990" s="10"/>
      <c r="D1990" s="12"/>
      <c r="E1990" s="10"/>
      <c r="F1990" s="10"/>
      <c r="G1990" s="10"/>
    </row>
    <row r="1991" spans="1:7" x14ac:dyDescent="0.25">
      <c r="A1991" s="10"/>
      <c r="B1991" s="10"/>
      <c r="C1991" s="10"/>
      <c r="D1991" s="12"/>
      <c r="E1991" s="10"/>
      <c r="F1991" s="10"/>
      <c r="G1991" s="10"/>
    </row>
    <row r="1992" spans="1:7" x14ac:dyDescent="0.25">
      <c r="A1992" s="10"/>
      <c r="B1992" s="10"/>
      <c r="C1992" s="10"/>
      <c r="D1992" s="12"/>
      <c r="E1992" s="10"/>
      <c r="F1992" s="10"/>
      <c r="G1992" s="10"/>
    </row>
    <row r="1993" spans="1:7" x14ac:dyDescent="0.25">
      <c r="A1993" s="10"/>
      <c r="B1993" s="10"/>
      <c r="C1993" s="10"/>
      <c r="D1993" s="12"/>
      <c r="E1993" s="10"/>
      <c r="F1993" s="10"/>
      <c r="G1993" s="10"/>
    </row>
    <row r="1994" spans="1:7" x14ac:dyDescent="0.25">
      <c r="A1994" s="10"/>
      <c r="B1994" s="10"/>
      <c r="C1994" s="10"/>
      <c r="D1994" s="12"/>
      <c r="E1994" s="10"/>
      <c r="F1994" s="10"/>
      <c r="G1994" s="10"/>
    </row>
    <row r="1995" spans="1:7" x14ac:dyDescent="0.25">
      <c r="A1995" s="10"/>
      <c r="B1995" s="10"/>
      <c r="C1995" s="10"/>
      <c r="D1995" s="12"/>
      <c r="E1995" s="10"/>
      <c r="F1995" s="10"/>
      <c r="G1995" s="10"/>
    </row>
    <row r="1996" spans="1:7" x14ac:dyDescent="0.25">
      <c r="A1996" s="10"/>
      <c r="B1996" s="10"/>
      <c r="C1996" s="10"/>
      <c r="D1996" s="12"/>
      <c r="E1996" s="10"/>
      <c r="F1996" s="10"/>
      <c r="G1996" s="10"/>
    </row>
    <row r="1997" spans="1:7" x14ac:dyDescent="0.25">
      <c r="A1997" s="10"/>
      <c r="B1997" s="10"/>
      <c r="C1997" s="10"/>
      <c r="D1997" s="12"/>
      <c r="E1997" s="10"/>
      <c r="F1997" s="10"/>
      <c r="G1997" s="10"/>
    </row>
    <row r="1998" spans="1:7" x14ac:dyDescent="0.25">
      <c r="A1998" s="10"/>
      <c r="B1998" s="10"/>
      <c r="C1998" s="10"/>
      <c r="D1998" s="12"/>
      <c r="E1998" s="10"/>
      <c r="F1998" s="10"/>
      <c r="G1998" s="10"/>
    </row>
    <row r="1999" spans="1:7" x14ac:dyDescent="0.25">
      <c r="A1999" s="10"/>
      <c r="B1999" s="10"/>
      <c r="C1999" s="10"/>
      <c r="D1999" s="12"/>
      <c r="E1999" s="10"/>
      <c r="F1999" s="10"/>
      <c r="G1999" s="10"/>
    </row>
    <row r="2000" spans="1:7" x14ac:dyDescent="0.25">
      <c r="A2000" s="10"/>
      <c r="B2000" s="10"/>
      <c r="C2000" s="10"/>
      <c r="D2000" s="12"/>
      <c r="E2000" s="10"/>
      <c r="F2000" s="10"/>
      <c r="G2000" s="10"/>
    </row>
    <row r="2001" spans="1:7" x14ac:dyDescent="0.25">
      <c r="A2001" s="10"/>
      <c r="B2001" s="10"/>
      <c r="C2001" s="10"/>
      <c r="D2001" s="12"/>
      <c r="E2001" s="10"/>
      <c r="F2001" s="10"/>
      <c r="G2001" s="10"/>
    </row>
    <row r="2002" spans="1:7" x14ac:dyDescent="0.25">
      <c r="A2002" s="10"/>
      <c r="B2002" s="10"/>
      <c r="C2002" s="10"/>
      <c r="D2002" s="12"/>
      <c r="E2002" s="10"/>
      <c r="F2002" s="10"/>
      <c r="G2002" s="10"/>
    </row>
    <row r="2003" spans="1:7" x14ac:dyDescent="0.25">
      <c r="A2003" s="10"/>
      <c r="B2003" s="10"/>
      <c r="C2003" s="10"/>
      <c r="D2003" s="12"/>
      <c r="E2003" s="10"/>
      <c r="F2003" s="10"/>
      <c r="G2003" s="10"/>
    </row>
    <row r="2004" spans="1:7" x14ac:dyDescent="0.25">
      <c r="A2004" s="10"/>
      <c r="B2004" s="10"/>
      <c r="C2004" s="10"/>
      <c r="D2004" s="12"/>
      <c r="E2004" s="10"/>
      <c r="F2004" s="10"/>
      <c r="G2004" s="10"/>
    </row>
    <row r="2005" spans="1:7" x14ac:dyDescent="0.25">
      <c r="A2005" s="10"/>
      <c r="B2005" s="10"/>
      <c r="C2005" s="10"/>
      <c r="D2005" s="12"/>
      <c r="E2005" s="10"/>
      <c r="F2005" s="10"/>
      <c r="G2005" s="10"/>
    </row>
    <row r="2006" spans="1:7" x14ac:dyDescent="0.25">
      <c r="A2006" s="10"/>
      <c r="B2006" s="10"/>
      <c r="C2006" s="10"/>
      <c r="D2006" s="12"/>
      <c r="E2006" s="10"/>
      <c r="F2006" s="10"/>
      <c r="G2006" s="10"/>
    </row>
    <row r="2007" spans="1:7" x14ac:dyDescent="0.25">
      <c r="A2007" s="10"/>
      <c r="B2007" s="10"/>
      <c r="C2007" s="10"/>
      <c r="D2007" s="12"/>
      <c r="E2007" s="10"/>
      <c r="F2007" s="10"/>
      <c r="G2007" s="10"/>
    </row>
    <row r="2008" spans="1:7" x14ac:dyDescent="0.25">
      <c r="A2008" s="10"/>
      <c r="B2008" s="10"/>
      <c r="C2008" s="10"/>
      <c r="D2008" s="12"/>
      <c r="E2008" s="10"/>
      <c r="F2008" s="10"/>
      <c r="G2008" s="10"/>
    </row>
    <row r="2009" spans="1:7" x14ac:dyDescent="0.25">
      <c r="A2009" s="10"/>
      <c r="B2009" s="10"/>
      <c r="C2009" s="10"/>
      <c r="D2009" s="12"/>
      <c r="E2009" s="10"/>
      <c r="F2009" s="10"/>
      <c r="G2009" s="10"/>
    </row>
    <row r="2010" spans="1:7" x14ac:dyDescent="0.25">
      <c r="A2010" s="10"/>
      <c r="B2010" s="10"/>
      <c r="C2010" s="10"/>
      <c r="D2010" s="12"/>
      <c r="E2010" s="10"/>
      <c r="F2010" s="10"/>
      <c r="G2010" s="10"/>
    </row>
    <row r="2011" spans="1:7" x14ac:dyDescent="0.25">
      <c r="A2011" s="10"/>
      <c r="B2011" s="10"/>
      <c r="C2011" s="10"/>
      <c r="D2011" s="12"/>
      <c r="E2011" s="10"/>
      <c r="F2011" s="10"/>
      <c r="G2011" s="10"/>
    </row>
    <row r="2012" spans="1:7" x14ac:dyDescent="0.25">
      <c r="A2012" s="10"/>
      <c r="B2012" s="10"/>
      <c r="C2012" s="10"/>
      <c r="D2012" s="12"/>
      <c r="E2012" s="10"/>
      <c r="F2012" s="10"/>
      <c r="G2012" s="10"/>
    </row>
    <row r="2013" spans="1:7" x14ac:dyDescent="0.25">
      <c r="A2013" s="10"/>
      <c r="B2013" s="10"/>
      <c r="C2013" s="10"/>
      <c r="D2013" s="12"/>
      <c r="E2013" s="10"/>
      <c r="F2013" s="10"/>
      <c r="G2013" s="10"/>
    </row>
    <row r="2014" spans="1:7" x14ac:dyDescent="0.25">
      <c r="A2014" s="10"/>
      <c r="B2014" s="10"/>
      <c r="C2014" s="10"/>
      <c r="D2014" s="12"/>
      <c r="E2014" s="10"/>
      <c r="F2014" s="10"/>
      <c r="G2014" s="10"/>
    </row>
    <row r="2015" spans="1:7" x14ac:dyDescent="0.25">
      <c r="A2015" s="10"/>
      <c r="B2015" s="10"/>
      <c r="C2015" s="10"/>
      <c r="D2015" s="12"/>
      <c r="E2015" s="10"/>
      <c r="F2015" s="10"/>
      <c r="G2015" s="10"/>
    </row>
    <row r="2016" spans="1:7" x14ac:dyDescent="0.25">
      <c r="A2016" s="10"/>
      <c r="B2016" s="10"/>
      <c r="C2016" s="10"/>
      <c r="D2016" s="12"/>
      <c r="E2016" s="10"/>
      <c r="F2016" s="10"/>
      <c r="G2016" s="10"/>
    </row>
    <row r="2017" spans="1:7" x14ac:dyDescent="0.25">
      <c r="A2017" s="10"/>
      <c r="B2017" s="10"/>
      <c r="C2017" s="10"/>
      <c r="D2017" s="12"/>
      <c r="E2017" s="10"/>
      <c r="F2017" s="10"/>
      <c r="G2017" s="10"/>
    </row>
    <row r="2018" spans="1:7" x14ac:dyDescent="0.25">
      <c r="A2018" s="10"/>
      <c r="B2018" s="10"/>
      <c r="C2018" s="10"/>
      <c r="D2018" s="12"/>
      <c r="E2018" s="10"/>
      <c r="F2018" s="10"/>
      <c r="G2018" s="10"/>
    </row>
    <row r="2019" spans="1:7" x14ac:dyDescent="0.25">
      <c r="A2019" s="10"/>
      <c r="B2019" s="10"/>
      <c r="C2019" s="10"/>
      <c r="D2019" s="12"/>
      <c r="E2019" s="10"/>
      <c r="F2019" s="10"/>
      <c r="G2019" s="10"/>
    </row>
    <row r="2020" spans="1:7" x14ac:dyDescent="0.25">
      <c r="A2020" s="10"/>
      <c r="B2020" s="10"/>
      <c r="C2020" s="10"/>
      <c r="D2020" s="12"/>
      <c r="E2020" s="10"/>
      <c r="F2020" s="10"/>
      <c r="G2020" s="10"/>
    </row>
    <row r="2021" spans="1:7" x14ac:dyDescent="0.25">
      <c r="A2021" s="10"/>
      <c r="B2021" s="10"/>
      <c r="C2021" s="10"/>
      <c r="D2021" s="12"/>
      <c r="E2021" s="10"/>
      <c r="F2021" s="10"/>
      <c r="G2021" s="10"/>
    </row>
    <row r="2022" spans="1:7" x14ac:dyDescent="0.25">
      <c r="A2022" s="10"/>
      <c r="B2022" s="10"/>
      <c r="C2022" s="10"/>
      <c r="D2022" s="12"/>
      <c r="E2022" s="10"/>
      <c r="F2022" s="10"/>
      <c r="G2022" s="10"/>
    </row>
    <row r="2023" spans="1:7" x14ac:dyDescent="0.25">
      <c r="A2023" s="10"/>
      <c r="B2023" s="10"/>
      <c r="C2023" s="10"/>
      <c r="D2023" s="12"/>
      <c r="E2023" s="10"/>
      <c r="F2023" s="10"/>
      <c r="G2023" s="10"/>
    </row>
    <row r="2024" spans="1:7" x14ac:dyDescent="0.25">
      <c r="A2024" s="10"/>
      <c r="B2024" s="10"/>
      <c r="C2024" s="10"/>
      <c r="D2024" s="12"/>
      <c r="E2024" s="10"/>
      <c r="F2024" s="10"/>
      <c r="G2024" s="10"/>
    </row>
    <row r="2025" spans="1:7" x14ac:dyDescent="0.25">
      <c r="A2025" s="10"/>
      <c r="B2025" s="10"/>
      <c r="C2025" s="10"/>
      <c r="D2025" s="12"/>
      <c r="E2025" s="10"/>
      <c r="F2025" s="10"/>
      <c r="G2025" s="10"/>
    </row>
    <row r="2026" spans="1:7" x14ac:dyDescent="0.25">
      <c r="A2026" s="10"/>
      <c r="B2026" s="10"/>
      <c r="C2026" s="10"/>
      <c r="D2026" s="12"/>
      <c r="E2026" s="10"/>
      <c r="F2026" s="10"/>
      <c r="G2026" s="10"/>
    </row>
    <row r="2027" spans="1:7" x14ac:dyDescent="0.25">
      <c r="A2027" s="10"/>
      <c r="B2027" s="10"/>
      <c r="C2027" s="10"/>
      <c r="D2027" s="12"/>
      <c r="E2027" s="10"/>
      <c r="F2027" s="10"/>
      <c r="G2027" s="10"/>
    </row>
    <row r="2028" spans="1:7" x14ac:dyDescent="0.25">
      <c r="A2028" s="10"/>
      <c r="B2028" s="10"/>
      <c r="C2028" s="10"/>
      <c r="D2028" s="12"/>
      <c r="E2028" s="10"/>
      <c r="F2028" s="10"/>
      <c r="G2028" s="10"/>
    </row>
    <row r="2029" spans="1:7" x14ac:dyDescent="0.25">
      <c r="A2029" s="10"/>
      <c r="B2029" s="10"/>
      <c r="C2029" s="10"/>
      <c r="D2029" s="12"/>
      <c r="E2029" s="10"/>
      <c r="F2029" s="10"/>
      <c r="G2029" s="10"/>
    </row>
    <row r="2030" spans="1:7" x14ac:dyDescent="0.25">
      <c r="A2030" s="10"/>
      <c r="B2030" s="10"/>
      <c r="C2030" s="10"/>
      <c r="D2030" s="12"/>
      <c r="E2030" s="10"/>
      <c r="F2030" s="10"/>
      <c r="G2030" s="10"/>
    </row>
    <row r="2031" spans="1:7" x14ac:dyDescent="0.25">
      <c r="A2031" s="10"/>
      <c r="B2031" s="10"/>
      <c r="C2031" s="10"/>
      <c r="D2031" s="12"/>
      <c r="E2031" s="10"/>
      <c r="F2031" s="10"/>
      <c r="G2031" s="10"/>
    </row>
    <row r="2032" spans="1:7" x14ac:dyDescent="0.25">
      <c r="A2032" s="10"/>
      <c r="B2032" s="10"/>
      <c r="C2032" s="10"/>
      <c r="D2032" s="12"/>
      <c r="E2032" s="10"/>
      <c r="F2032" s="10"/>
      <c r="G2032" s="10"/>
    </row>
    <row r="2033" spans="1:7" x14ac:dyDescent="0.25">
      <c r="A2033" s="10"/>
      <c r="B2033" s="10"/>
      <c r="C2033" s="10"/>
      <c r="D2033" s="12"/>
      <c r="E2033" s="10"/>
      <c r="F2033" s="10"/>
      <c r="G2033" s="10"/>
    </row>
    <row r="2034" spans="1:7" x14ac:dyDescent="0.25">
      <c r="A2034" s="10"/>
      <c r="B2034" s="10"/>
      <c r="C2034" s="10"/>
      <c r="D2034" s="12"/>
      <c r="E2034" s="10"/>
      <c r="F2034" s="10"/>
      <c r="G2034" s="10"/>
    </row>
    <row r="2035" spans="1:7" x14ac:dyDescent="0.25">
      <c r="A2035" s="10"/>
      <c r="B2035" s="10"/>
      <c r="C2035" s="10"/>
      <c r="D2035" s="12"/>
      <c r="E2035" s="10"/>
      <c r="F2035" s="10"/>
      <c r="G2035" s="10"/>
    </row>
    <row r="2036" spans="1:7" x14ac:dyDescent="0.25">
      <c r="A2036" s="10"/>
      <c r="B2036" s="10"/>
      <c r="C2036" s="10"/>
      <c r="D2036" s="12"/>
      <c r="E2036" s="10"/>
      <c r="F2036" s="10"/>
      <c r="G2036" s="10"/>
    </row>
    <row r="2037" spans="1:7" x14ac:dyDescent="0.25">
      <c r="A2037" s="10"/>
      <c r="B2037" s="10"/>
      <c r="C2037" s="10"/>
      <c r="D2037" s="12"/>
      <c r="E2037" s="10"/>
      <c r="F2037" s="10"/>
      <c r="G2037" s="10"/>
    </row>
    <row r="2038" spans="1:7" x14ac:dyDescent="0.25">
      <c r="A2038" s="10"/>
      <c r="B2038" s="10"/>
      <c r="C2038" s="10"/>
      <c r="D2038" s="12"/>
      <c r="E2038" s="10"/>
      <c r="F2038" s="10"/>
      <c r="G2038" s="10"/>
    </row>
    <row r="2039" spans="1:7" x14ac:dyDescent="0.25">
      <c r="A2039" s="10"/>
      <c r="B2039" s="10"/>
      <c r="C2039" s="10"/>
      <c r="D2039" s="12"/>
      <c r="E2039" s="10"/>
      <c r="F2039" s="10"/>
      <c r="G2039" s="10"/>
    </row>
    <row r="2040" spans="1:7" x14ac:dyDescent="0.25">
      <c r="A2040" s="10"/>
      <c r="B2040" s="10"/>
      <c r="C2040" s="10"/>
      <c r="D2040" s="12"/>
      <c r="E2040" s="10"/>
      <c r="F2040" s="10"/>
      <c r="G2040" s="10"/>
    </row>
    <row r="2041" spans="1:7" x14ac:dyDescent="0.25">
      <c r="A2041" s="10"/>
      <c r="B2041" s="10"/>
      <c r="C2041" s="10"/>
      <c r="D2041" s="12"/>
      <c r="E2041" s="10"/>
      <c r="F2041" s="10"/>
      <c r="G2041" s="10"/>
    </row>
    <row r="2042" spans="1:7" x14ac:dyDescent="0.25">
      <c r="A2042" s="10"/>
      <c r="B2042" s="10"/>
      <c r="C2042" s="10"/>
      <c r="D2042" s="12"/>
      <c r="E2042" s="10"/>
      <c r="F2042" s="10"/>
      <c r="G2042" s="10"/>
    </row>
    <row r="2043" spans="1:7" x14ac:dyDescent="0.25">
      <c r="A2043" s="10"/>
      <c r="B2043" s="10"/>
      <c r="C2043" s="10"/>
      <c r="D2043" s="12"/>
      <c r="E2043" s="10"/>
      <c r="F2043" s="10"/>
      <c r="G2043" s="10"/>
    </row>
    <row r="2044" spans="1:7" x14ac:dyDescent="0.25">
      <c r="A2044" s="10"/>
      <c r="B2044" s="10"/>
      <c r="C2044" s="10"/>
      <c r="D2044" s="12"/>
      <c r="E2044" s="10"/>
      <c r="F2044" s="10"/>
      <c r="G2044" s="10"/>
    </row>
    <row r="2045" spans="1:7" x14ac:dyDescent="0.25">
      <c r="A2045" s="10"/>
      <c r="B2045" s="10"/>
      <c r="C2045" s="10"/>
      <c r="D2045" s="12"/>
      <c r="E2045" s="10"/>
      <c r="F2045" s="10"/>
      <c r="G2045" s="10"/>
    </row>
    <row r="2046" spans="1:7" x14ac:dyDescent="0.25">
      <c r="A2046" s="10"/>
      <c r="B2046" s="10"/>
      <c r="C2046" s="10"/>
      <c r="D2046" s="12"/>
      <c r="E2046" s="10"/>
      <c r="F2046" s="10"/>
      <c r="G2046" s="10"/>
    </row>
    <row r="2047" spans="1:7" x14ac:dyDescent="0.25">
      <c r="A2047" s="10"/>
      <c r="B2047" s="10"/>
      <c r="C2047" s="10"/>
      <c r="D2047" s="12"/>
      <c r="E2047" s="10"/>
      <c r="F2047" s="10"/>
      <c r="G2047" s="10"/>
    </row>
    <row r="2048" spans="1:7" x14ac:dyDescent="0.25">
      <c r="A2048" s="10"/>
      <c r="B2048" s="10"/>
      <c r="C2048" s="10"/>
      <c r="D2048" s="12"/>
      <c r="E2048" s="10"/>
      <c r="F2048" s="10"/>
      <c r="G2048" s="10"/>
    </row>
    <row r="2049" spans="1:7" x14ac:dyDescent="0.25">
      <c r="A2049" s="10"/>
      <c r="B2049" s="10"/>
      <c r="C2049" s="10"/>
      <c r="D2049" s="12"/>
      <c r="E2049" s="10"/>
      <c r="F2049" s="10"/>
      <c r="G2049" s="10"/>
    </row>
    <row r="2050" spans="1:7" x14ac:dyDescent="0.25">
      <c r="A2050" s="10"/>
      <c r="B2050" s="10"/>
      <c r="C2050" s="10"/>
      <c r="D2050" s="12"/>
      <c r="E2050" s="10"/>
      <c r="F2050" s="10"/>
      <c r="G2050" s="10"/>
    </row>
    <row r="2051" spans="1:7" x14ac:dyDescent="0.25">
      <c r="A2051" s="10"/>
      <c r="B2051" s="10"/>
      <c r="C2051" s="10"/>
      <c r="D2051" s="12"/>
      <c r="E2051" s="10"/>
      <c r="F2051" s="10"/>
      <c r="G2051" s="10"/>
    </row>
    <row r="2052" spans="1:7" x14ac:dyDescent="0.25">
      <c r="A2052" s="10"/>
      <c r="B2052" s="10"/>
      <c r="C2052" s="10"/>
      <c r="D2052" s="12"/>
      <c r="E2052" s="10"/>
      <c r="F2052" s="10"/>
      <c r="G2052" s="10"/>
    </row>
    <row r="2053" spans="1:7" x14ac:dyDescent="0.25">
      <c r="A2053" s="10"/>
      <c r="B2053" s="10"/>
      <c r="C2053" s="10"/>
      <c r="D2053" s="12"/>
      <c r="E2053" s="10"/>
      <c r="F2053" s="10"/>
      <c r="G2053" s="10"/>
    </row>
    <row r="2054" spans="1:7" x14ac:dyDescent="0.25">
      <c r="A2054" s="10"/>
      <c r="B2054" s="10"/>
      <c r="C2054" s="10"/>
      <c r="D2054" s="12"/>
      <c r="E2054" s="10"/>
      <c r="F2054" s="10"/>
      <c r="G2054" s="10"/>
    </row>
    <row r="2055" spans="1:7" x14ac:dyDescent="0.25">
      <c r="A2055" s="10"/>
      <c r="B2055" s="10"/>
      <c r="C2055" s="10"/>
      <c r="D2055" s="12"/>
      <c r="E2055" s="10"/>
      <c r="F2055" s="10"/>
      <c r="G2055" s="10"/>
    </row>
    <row r="2056" spans="1:7" x14ac:dyDescent="0.25">
      <c r="A2056" s="10"/>
      <c r="B2056" s="10"/>
      <c r="C2056" s="10"/>
      <c r="D2056" s="12"/>
      <c r="E2056" s="10"/>
      <c r="F2056" s="10"/>
      <c r="G2056" s="10"/>
    </row>
    <row r="2057" spans="1:7" x14ac:dyDescent="0.25">
      <c r="A2057" s="10"/>
      <c r="B2057" s="10"/>
      <c r="C2057" s="10"/>
      <c r="D2057" s="12"/>
      <c r="E2057" s="10"/>
      <c r="F2057" s="10"/>
      <c r="G2057" s="10"/>
    </row>
    <row r="2058" spans="1:7" x14ac:dyDescent="0.25">
      <c r="A2058" s="10"/>
      <c r="B2058" s="10"/>
      <c r="C2058" s="10"/>
      <c r="D2058" s="12"/>
      <c r="E2058" s="10"/>
      <c r="F2058" s="10"/>
      <c r="G2058" s="10"/>
    </row>
    <row r="2059" spans="1:7" x14ac:dyDescent="0.25">
      <c r="A2059" s="10"/>
      <c r="B2059" s="10"/>
      <c r="C2059" s="10"/>
      <c r="D2059" s="12"/>
      <c r="E2059" s="10"/>
      <c r="F2059" s="10"/>
      <c r="G2059" s="10"/>
    </row>
    <row r="2060" spans="1:7" x14ac:dyDescent="0.25">
      <c r="A2060" s="10"/>
      <c r="B2060" s="10"/>
      <c r="C2060" s="10"/>
      <c r="D2060" s="12"/>
      <c r="E2060" s="10"/>
      <c r="F2060" s="10"/>
      <c r="G2060" s="10"/>
    </row>
    <row r="2061" spans="1:7" x14ac:dyDescent="0.25">
      <c r="A2061" s="10"/>
      <c r="B2061" s="10"/>
      <c r="C2061" s="10"/>
      <c r="D2061" s="12"/>
      <c r="E2061" s="10"/>
      <c r="F2061" s="10"/>
      <c r="G2061" s="10"/>
    </row>
    <row r="2062" spans="1:7" x14ac:dyDescent="0.25">
      <c r="A2062" s="10"/>
      <c r="B2062" s="10"/>
      <c r="C2062" s="10"/>
      <c r="D2062" s="12"/>
      <c r="E2062" s="10"/>
      <c r="F2062" s="10"/>
      <c r="G2062" s="10"/>
    </row>
    <row r="2063" spans="1:7" x14ac:dyDescent="0.25">
      <c r="A2063" s="10"/>
      <c r="B2063" s="10"/>
      <c r="C2063" s="10"/>
      <c r="D2063" s="12"/>
      <c r="E2063" s="10"/>
      <c r="F2063" s="10"/>
      <c r="G2063" s="10"/>
    </row>
    <row r="2064" spans="1:7" x14ac:dyDescent="0.25">
      <c r="A2064" s="10"/>
      <c r="B2064" s="10"/>
      <c r="C2064" s="10"/>
      <c r="D2064" s="12"/>
      <c r="E2064" s="10"/>
      <c r="F2064" s="10"/>
      <c r="G2064" s="10"/>
    </row>
    <row r="2065" spans="1:7" x14ac:dyDescent="0.25">
      <c r="A2065" s="10"/>
      <c r="B2065" s="10"/>
      <c r="C2065" s="10"/>
      <c r="D2065" s="12"/>
      <c r="E2065" s="10"/>
      <c r="F2065" s="10"/>
      <c r="G2065" s="10"/>
    </row>
    <row r="2066" spans="1:7" x14ac:dyDescent="0.25">
      <c r="A2066" s="10"/>
      <c r="B2066" s="10"/>
      <c r="C2066" s="10"/>
      <c r="D2066" s="12"/>
      <c r="E2066" s="10"/>
      <c r="F2066" s="10"/>
      <c r="G2066" s="10"/>
    </row>
    <row r="2067" spans="1:7" x14ac:dyDescent="0.25">
      <c r="A2067" s="10"/>
      <c r="B2067" s="10"/>
      <c r="C2067" s="10"/>
      <c r="D2067" s="12"/>
      <c r="E2067" s="10"/>
      <c r="F2067" s="10"/>
      <c r="G2067" s="10"/>
    </row>
    <row r="2068" spans="1:7" x14ac:dyDescent="0.25">
      <c r="A2068" s="10"/>
      <c r="B2068" s="10"/>
      <c r="C2068" s="10"/>
      <c r="D2068" s="12"/>
      <c r="E2068" s="10"/>
      <c r="F2068" s="10"/>
      <c r="G2068" s="10"/>
    </row>
    <row r="2069" spans="1:7" x14ac:dyDescent="0.25">
      <c r="A2069" s="10"/>
      <c r="B2069" s="10"/>
      <c r="C2069" s="10"/>
      <c r="D2069" s="12"/>
      <c r="E2069" s="10"/>
      <c r="F2069" s="10"/>
      <c r="G2069" s="10"/>
    </row>
    <row r="2070" spans="1:7" x14ac:dyDescent="0.25">
      <c r="A2070" s="10"/>
      <c r="B2070" s="10"/>
      <c r="C2070" s="10"/>
      <c r="D2070" s="12"/>
      <c r="E2070" s="10"/>
      <c r="F2070" s="10"/>
      <c r="G2070" s="10"/>
    </row>
    <row r="2071" spans="1:7" x14ac:dyDescent="0.25">
      <c r="A2071" s="10"/>
      <c r="B2071" s="10"/>
      <c r="C2071" s="10"/>
      <c r="D2071" s="12"/>
      <c r="E2071" s="10"/>
      <c r="F2071" s="10"/>
      <c r="G2071" s="10"/>
    </row>
    <row r="2072" spans="1:7" x14ac:dyDescent="0.25">
      <c r="A2072" s="10"/>
      <c r="B2072" s="10"/>
      <c r="C2072" s="10"/>
      <c r="D2072" s="12"/>
      <c r="E2072" s="10"/>
      <c r="F2072" s="10"/>
      <c r="G2072" s="10"/>
    </row>
    <row r="2073" spans="1:7" x14ac:dyDescent="0.25">
      <c r="A2073" s="10"/>
      <c r="B2073" s="10"/>
      <c r="C2073" s="10"/>
      <c r="D2073" s="12"/>
      <c r="E2073" s="10"/>
      <c r="F2073" s="10"/>
      <c r="G2073" s="10"/>
    </row>
    <row r="2074" spans="1:7" x14ac:dyDescent="0.25">
      <c r="A2074" s="10"/>
      <c r="B2074" s="10"/>
      <c r="C2074" s="10"/>
      <c r="D2074" s="12"/>
      <c r="E2074" s="10"/>
      <c r="F2074" s="10"/>
      <c r="G2074" s="10"/>
    </row>
    <row r="2075" spans="1:7" x14ac:dyDescent="0.25">
      <c r="A2075" s="10"/>
      <c r="B2075" s="10"/>
      <c r="C2075" s="10"/>
      <c r="D2075" s="12"/>
      <c r="E2075" s="10"/>
      <c r="F2075" s="10"/>
      <c r="G2075" s="10"/>
    </row>
    <row r="2076" spans="1:7" x14ac:dyDescent="0.25">
      <c r="A2076" s="10"/>
      <c r="B2076" s="10"/>
      <c r="C2076" s="10"/>
      <c r="D2076" s="12"/>
      <c r="E2076" s="10"/>
      <c r="F2076" s="10"/>
      <c r="G2076" s="10"/>
    </row>
    <row r="2077" spans="1:7" x14ac:dyDescent="0.25">
      <c r="A2077" s="10"/>
      <c r="B2077" s="10"/>
      <c r="C2077" s="10"/>
      <c r="D2077" s="12"/>
      <c r="E2077" s="10"/>
      <c r="F2077" s="10"/>
      <c r="G2077" s="10"/>
    </row>
    <row r="2078" spans="1:7" x14ac:dyDescent="0.25">
      <c r="A2078" s="10"/>
      <c r="B2078" s="10"/>
      <c r="C2078" s="10"/>
      <c r="D2078" s="12"/>
      <c r="E2078" s="10"/>
      <c r="F2078" s="10"/>
      <c r="G2078" s="10"/>
    </row>
    <row r="2079" spans="1:7" x14ac:dyDescent="0.25">
      <c r="A2079" s="10"/>
      <c r="B2079" s="10"/>
      <c r="C2079" s="10"/>
      <c r="D2079" s="12"/>
      <c r="E2079" s="10"/>
      <c r="F2079" s="10"/>
      <c r="G2079" s="10"/>
    </row>
    <row r="2080" spans="1:7" x14ac:dyDescent="0.25">
      <c r="A2080" s="10"/>
      <c r="B2080" s="10"/>
      <c r="C2080" s="10"/>
      <c r="D2080" s="12"/>
      <c r="E2080" s="10"/>
      <c r="F2080" s="10"/>
      <c r="G2080" s="10"/>
    </row>
    <row r="2081" spans="1:7" x14ac:dyDescent="0.25">
      <c r="A2081" s="10"/>
      <c r="B2081" s="10"/>
      <c r="C2081" s="10"/>
      <c r="D2081" s="12"/>
      <c r="E2081" s="10"/>
      <c r="F2081" s="10"/>
      <c r="G2081" s="10"/>
    </row>
    <row r="2082" spans="1:7" x14ac:dyDescent="0.25">
      <c r="A2082" s="10"/>
      <c r="B2082" s="10"/>
      <c r="C2082" s="10"/>
      <c r="D2082" s="12"/>
      <c r="E2082" s="10"/>
      <c r="F2082" s="10"/>
      <c r="G2082" s="10"/>
    </row>
    <row r="2083" spans="1:7" x14ac:dyDescent="0.25">
      <c r="A2083" s="10"/>
      <c r="B2083" s="10"/>
      <c r="C2083" s="10"/>
      <c r="D2083" s="12"/>
      <c r="E2083" s="10"/>
      <c r="F2083" s="10"/>
      <c r="G2083" s="10"/>
    </row>
    <row r="2084" spans="1:7" x14ac:dyDescent="0.25">
      <c r="A2084" s="10"/>
      <c r="B2084" s="10"/>
      <c r="C2084" s="10"/>
      <c r="D2084" s="12"/>
      <c r="E2084" s="10"/>
      <c r="F2084" s="10"/>
      <c r="G2084" s="10"/>
    </row>
    <row r="2085" spans="1:7" x14ac:dyDescent="0.25">
      <c r="A2085" s="10"/>
      <c r="B2085" s="10"/>
      <c r="C2085" s="10"/>
      <c r="D2085" s="12"/>
      <c r="E2085" s="10"/>
      <c r="F2085" s="10"/>
      <c r="G2085" s="10"/>
    </row>
    <row r="2086" spans="1:7" x14ac:dyDescent="0.25">
      <c r="A2086" s="10"/>
      <c r="B2086" s="10"/>
      <c r="C2086" s="10"/>
      <c r="D2086" s="12"/>
      <c r="E2086" s="10"/>
      <c r="F2086" s="10"/>
      <c r="G2086" s="10"/>
    </row>
    <row r="2087" spans="1:7" x14ac:dyDescent="0.25">
      <c r="A2087" s="10"/>
      <c r="B2087" s="10"/>
      <c r="C2087" s="10"/>
      <c r="D2087" s="12"/>
      <c r="E2087" s="10"/>
      <c r="F2087" s="10"/>
      <c r="G2087" s="10"/>
    </row>
    <row r="2088" spans="1:7" x14ac:dyDescent="0.25">
      <c r="A2088" s="10"/>
      <c r="B2088" s="10"/>
      <c r="C2088" s="10"/>
      <c r="D2088" s="12"/>
      <c r="E2088" s="10"/>
      <c r="F2088" s="10"/>
      <c r="G2088" s="10"/>
    </row>
    <row r="2089" spans="1:7" x14ac:dyDescent="0.25">
      <c r="A2089" s="10"/>
      <c r="B2089" s="10"/>
      <c r="C2089" s="10"/>
      <c r="D2089" s="12"/>
      <c r="E2089" s="10"/>
      <c r="F2089" s="10"/>
      <c r="G2089" s="10"/>
    </row>
    <row r="2090" spans="1:7" x14ac:dyDescent="0.25">
      <c r="A2090" s="10"/>
      <c r="B2090" s="10"/>
      <c r="C2090" s="10"/>
      <c r="D2090" s="12"/>
      <c r="E2090" s="10"/>
      <c r="F2090" s="10"/>
      <c r="G2090" s="10"/>
    </row>
    <row r="2091" spans="1:7" x14ac:dyDescent="0.25">
      <c r="A2091" s="10"/>
      <c r="B2091" s="10"/>
      <c r="C2091" s="10"/>
      <c r="D2091" s="12"/>
      <c r="E2091" s="10"/>
      <c r="F2091" s="10"/>
      <c r="G2091" s="10"/>
    </row>
    <row r="2092" spans="1:7" x14ac:dyDescent="0.25">
      <c r="A2092" s="10"/>
      <c r="B2092" s="10"/>
      <c r="C2092" s="10"/>
      <c r="D2092" s="12"/>
      <c r="E2092" s="10"/>
      <c r="F2092" s="10"/>
      <c r="G2092" s="10"/>
    </row>
    <row r="2093" spans="1:7" x14ac:dyDescent="0.25">
      <c r="A2093" s="10"/>
      <c r="B2093" s="10"/>
      <c r="C2093" s="10"/>
      <c r="D2093" s="12"/>
      <c r="E2093" s="10"/>
      <c r="F2093" s="10"/>
      <c r="G2093" s="10"/>
    </row>
    <row r="2094" spans="1:7" x14ac:dyDescent="0.25">
      <c r="A2094" s="10"/>
      <c r="B2094" s="10"/>
      <c r="C2094" s="10"/>
      <c r="D2094" s="12"/>
      <c r="E2094" s="10"/>
      <c r="F2094" s="10"/>
      <c r="G2094" s="10"/>
    </row>
    <row r="2095" spans="1:7" x14ac:dyDescent="0.25">
      <c r="A2095" s="10"/>
      <c r="B2095" s="10"/>
      <c r="C2095" s="10"/>
      <c r="D2095" s="12"/>
      <c r="E2095" s="10"/>
      <c r="F2095" s="10"/>
      <c r="G2095" s="10"/>
    </row>
    <row r="2096" spans="1:7" x14ac:dyDescent="0.25">
      <c r="A2096" s="10"/>
      <c r="B2096" s="10"/>
      <c r="C2096" s="10"/>
      <c r="D2096" s="12"/>
      <c r="E2096" s="10"/>
      <c r="F2096" s="10"/>
      <c r="G2096" s="10"/>
    </row>
    <row r="2097" spans="1:7" x14ac:dyDescent="0.25">
      <c r="A2097" s="10"/>
      <c r="B2097" s="10"/>
      <c r="C2097" s="10"/>
      <c r="D2097" s="12"/>
      <c r="E2097" s="10"/>
      <c r="F2097" s="10"/>
      <c r="G2097" s="10"/>
    </row>
    <row r="2098" spans="1:7" x14ac:dyDescent="0.25">
      <c r="A2098" s="10"/>
      <c r="B2098" s="10"/>
      <c r="C2098" s="10"/>
      <c r="D2098" s="12"/>
      <c r="E2098" s="10"/>
      <c r="F2098" s="10"/>
      <c r="G2098" s="10"/>
    </row>
    <row r="2099" spans="1:7" x14ac:dyDescent="0.25">
      <c r="A2099" s="10"/>
      <c r="B2099" s="10"/>
      <c r="C2099" s="10"/>
      <c r="D2099" s="12"/>
      <c r="E2099" s="10"/>
      <c r="F2099" s="10"/>
      <c r="G2099" s="10"/>
    </row>
    <row r="2100" spans="1:7" x14ac:dyDescent="0.25">
      <c r="A2100" s="10"/>
      <c r="B2100" s="10"/>
      <c r="C2100" s="10"/>
      <c r="D2100" s="12"/>
      <c r="E2100" s="10"/>
      <c r="F2100" s="10"/>
      <c r="G2100" s="10"/>
    </row>
    <row r="2101" spans="1:7" x14ac:dyDescent="0.25">
      <c r="A2101" s="10"/>
      <c r="B2101" s="10"/>
      <c r="C2101" s="10"/>
      <c r="D2101" s="12"/>
      <c r="E2101" s="10"/>
      <c r="F2101" s="10"/>
      <c r="G2101" s="10"/>
    </row>
    <row r="2102" spans="1:7" x14ac:dyDescent="0.25">
      <c r="A2102" s="10"/>
      <c r="B2102" s="10"/>
      <c r="C2102" s="10"/>
      <c r="D2102" s="12"/>
      <c r="E2102" s="10"/>
      <c r="F2102" s="10"/>
      <c r="G2102" s="10"/>
    </row>
    <row r="2103" spans="1:7" x14ac:dyDescent="0.25">
      <c r="A2103" s="10"/>
      <c r="B2103" s="10"/>
      <c r="C2103" s="10"/>
      <c r="D2103" s="12"/>
      <c r="E2103" s="10"/>
      <c r="F2103" s="10"/>
      <c r="G2103" s="10"/>
    </row>
    <row r="2104" spans="1:7" x14ac:dyDescent="0.25">
      <c r="A2104" s="10"/>
      <c r="B2104" s="10"/>
      <c r="C2104" s="10"/>
      <c r="D2104" s="12"/>
      <c r="E2104" s="10"/>
      <c r="F2104" s="10"/>
      <c r="G2104" s="10"/>
    </row>
    <row r="2105" spans="1:7" x14ac:dyDescent="0.25">
      <c r="A2105" s="10"/>
      <c r="B2105" s="10"/>
      <c r="C2105" s="10"/>
      <c r="D2105" s="12"/>
      <c r="E2105" s="10"/>
      <c r="F2105" s="10"/>
      <c r="G2105" s="10"/>
    </row>
    <row r="2106" spans="1:7" x14ac:dyDescent="0.25">
      <c r="A2106" s="10"/>
      <c r="B2106" s="10"/>
      <c r="C2106" s="10"/>
      <c r="D2106" s="12"/>
      <c r="E2106" s="10"/>
      <c r="F2106" s="10"/>
      <c r="G2106" s="10"/>
    </row>
    <row r="2107" spans="1:7" x14ac:dyDescent="0.25">
      <c r="A2107" s="10"/>
      <c r="B2107" s="10"/>
      <c r="C2107" s="10"/>
      <c r="D2107" s="12"/>
      <c r="E2107" s="10"/>
      <c r="F2107" s="10"/>
      <c r="G2107" s="10"/>
    </row>
    <row r="2108" spans="1:7" x14ac:dyDescent="0.25">
      <c r="A2108" s="10"/>
      <c r="B2108" s="10"/>
      <c r="C2108" s="10"/>
      <c r="D2108" s="12"/>
      <c r="E2108" s="10"/>
      <c r="F2108" s="10"/>
      <c r="G2108" s="10"/>
    </row>
    <row r="2109" spans="1:7" x14ac:dyDescent="0.25">
      <c r="A2109" s="10"/>
      <c r="B2109" s="10"/>
      <c r="C2109" s="10"/>
      <c r="D2109" s="12"/>
      <c r="E2109" s="10"/>
      <c r="F2109" s="10"/>
      <c r="G2109" s="10"/>
    </row>
    <row r="2110" spans="1:7" x14ac:dyDescent="0.25">
      <c r="A2110" s="10"/>
      <c r="B2110" s="10"/>
      <c r="C2110" s="10"/>
      <c r="D2110" s="12"/>
      <c r="E2110" s="10"/>
      <c r="F2110" s="10"/>
      <c r="G2110" s="10"/>
    </row>
    <row r="2111" spans="1:7" x14ac:dyDescent="0.25">
      <c r="A2111" s="10"/>
      <c r="B2111" s="10"/>
      <c r="C2111" s="10"/>
      <c r="D2111" s="12"/>
      <c r="E2111" s="10"/>
      <c r="F2111" s="10"/>
      <c r="G2111" s="10"/>
    </row>
    <row r="2112" spans="1:7" x14ac:dyDescent="0.25">
      <c r="A2112" s="10"/>
      <c r="B2112" s="10"/>
      <c r="C2112" s="10"/>
      <c r="D2112" s="12"/>
      <c r="E2112" s="10"/>
      <c r="F2112" s="10"/>
      <c r="G2112" s="10"/>
    </row>
    <row r="2113" spans="1:7" x14ac:dyDescent="0.25">
      <c r="A2113" s="10"/>
      <c r="B2113" s="10"/>
      <c r="C2113" s="10"/>
      <c r="D2113" s="12"/>
      <c r="E2113" s="10"/>
      <c r="F2113" s="10"/>
      <c r="G2113" s="10"/>
    </row>
    <row r="2114" spans="1:7" x14ac:dyDescent="0.25">
      <c r="A2114" s="10"/>
      <c r="B2114" s="10"/>
      <c r="C2114" s="10"/>
      <c r="D2114" s="12"/>
      <c r="E2114" s="10"/>
      <c r="F2114" s="10"/>
      <c r="G2114" s="10"/>
    </row>
    <row r="2115" spans="1:7" x14ac:dyDescent="0.25">
      <c r="A2115" s="10"/>
      <c r="B2115" s="10"/>
      <c r="C2115" s="10"/>
      <c r="D2115" s="12"/>
      <c r="E2115" s="10"/>
      <c r="F2115" s="10"/>
      <c r="G2115" s="10"/>
    </row>
    <row r="2116" spans="1:7" x14ac:dyDescent="0.25">
      <c r="A2116" s="10"/>
      <c r="B2116" s="10"/>
      <c r="C2116" s="10"/>
      <c r="D2116" s="12"/>
      <c r="E2116" s="10"/>
      <c r="F2116" s="10"/>
      <c r="G2116" s="10"/>
    </row>
    <row r="2117" spans="1:7" x14ac:dyDescent="0.25">
      <c r="A2117" s="10"/>
      <c r="B2117" s="10"/>
      <c r="C2117" s="10"/>
      <c r="D2117" s="12"/>
      <c r="E2117" s="10"/>
      <c r="F2117" s="10"/>
      <c r="G2117" s="10"/>
    </row>
    <row r="2118" spans="1:7" x14ac:dyDescent="0.25">
      <c r="A2118" s="10"/>
      <c r="B2118" s="10"/>
      <c r="C2118" s="10"/>
      <c r="D2118" s="12"/>
      <c r="E2118" s="10"/>
      <c r="F2118" s="10"/>
      <c r="G2118" s="10"/>
    </row>
    <row r="2119" spans="1:7" x14ac:dyDescent="0.25">
      <c r="A2119" s="10"/>
      <c r="B2119" s="10"/>
      <c r="C2119" s="10"/>
      <c r="D2119" s="12"/>
      <c r="E2119" s="10"/>
      <c r="F2119" s="10"/>
      <c r="G2119" s="10"/>
    </row>
    <row r="2120" spans="1:7" x14ac:dyDescent="0.25">
      <c r="A2120" s="10"/>
      <c r="B2120" s="10"/>
      <c r="C2120" s="10"/>
      <c r="D2120" s="12"/>
      <c r="E2120" s="10"/>
      <c r="F2120" s="10"/>
      <c r="G2120" s="10"/>
    </row>
    <row r="2121" spans="1:7" x14ac:dyDescent="0.25">
      <c r="A2121" s="10"/>
      <c r="B2121" s="10"/>
      <c r="C2121" s="10"/>
      <c r="D2121" s="12"/>
      <c r="E2121" s="10"/>
      <c r="F2121" s="10"/>
      <c r="G2121" s="10"/>
    </row>
    <row r="2122" spans="1:7" x14ac:dyDescent="0.25">
      <c r="A2122" s="10"/>
      <c r="B2122" s="10"/>
      <c r="C2122" s="10"/>
      <c r="D2122" s="12"/>
      <c r="E2122" s="10"/>
      <c r="F2122" s="10"/>
      <c r="G2122" s="10"/>
    </row>
    <row r="2123" spans="1:7" x14ac:dyDescent="0.25">
      <c r="A2123" s="10"/>
      <c r="B2123" s="10"/>
      <c r="C2123" s="10"/>
      <c r="D2123" s="12"/>
      <c r="E2123" s="10"/>
      <c r="F2123" s="10"/>
      <c r="G2123" s="10"/>
    </row>
    <row r="2124" spans="1:7" x14ac:dyDescent="0.25">
      <c r="A2124" s="10"/>
      <c r="B2124" s="10"/>
      <c r="C2124" s="10"/>
      <c r="D2124" s="12"/>
      <c r="E2124" s="10"/>
      <c r="F2124" s="10"/>
      <c r="G2124" s="10"/>
    </row>
    <row r="2125" spans="1:7" x14ac:dyDescent="0.25">
      <c r="A2125" s="10"/>
      <c r="B2125" s="10"/>
      <c r="C2125" s="10"/>
      <c r="D2125" s="12"/>
      <c r="E2125" s="10"/>
      <c r="F2125" s="10"/>
      <c r="G2125" s="10"/>
    </row>
    <row r="2126" spans="1:7" x14ac:dyDescent="0.25">
      <c r="A2126" s="10"/>
      <c r="B2126" s="10"/>
      <c r="C2126" s="10"/>
      <c r="D2126" s="12"/>
      <c r="E2126" s="10"/>
      <c r="F2126" s="10"/>
      <c r="G2126" s="10"/>
    </row>
    <row r="2127" spans="1:7" x14ac:dyDescent="0.25">
      <c r="A2127" s="10"/>
      <c r="B2127" s="10"/>
      <c r="C2127" s="10"/>
      <c r="D2127" s="12"/>
      <c r="E2127" s="10"/>
      <c r="F2127" s="10"/>
      <c r="G2127" s="10"/>
    </row>
    <row r="2128" spans="1:7" x14ac:dyDescent="0.25">
      <c r="A2128" s="10"/>
      <c r="B2128" s="10"/>
      <c r="C2128" s="10"/>
      <c r="D2128" s="12"/>
      <c r="E2128" s="10"/>
      <c r="F2128" s="10"/>
      <c r="G2128" s="10"/>
    </row>
    <row r="2129" spans="1:7" x14ac:dyDescent="0.25">
      <c r="A2129" s="10"/>
      <c r="B2129" s="10"/>
      <c r="C2129" s="10"/>
      <c r="D2129" s="12"/>
      <c r="E2129" s="10"/>
      <c r="F2129" s="10"/>
      <c r="G2129" s="10"/>
    </row>
    <row r="2130" spans="1:7" x14ac:dyDescent="0.25">
      <c r="A2130" s="10"/>
      <c r="B2130" s="10"/>
      <c r="C2130" s="10"/>
      <c r="D2130" s="12"/>
      <c r="E2130" s="10"/>
      <c r="F2130" s="10"/>
      <c r="G2130" s="10"/>
    </row>
    <row r="2131" spans="1:7" x14ac:dyDescent="0.25">
      <c r="A2131" s="10"/>
      <c r="B2131" s="10"/>
      <c r="C2131" s="10"/>
      <c r="D2131" s="12"/>
      <c r="E2131" s="10"/>
      <c r="F2131" s="10"/>
      <c r="G2131" s="10"/>
    </row>
    <row r="2132" spans="1:7" x14ac:dyDescent="0.25">
      <c r="A2132" s="10"/>
      <c r="B2132" s="10"/>
      <c r="C2132" s="10"/>
      <c r="D2132" s="12"/>
      <c r="E2132" s="10"/>
      <c r="F2132" s="10"/>
      <c r="G2132" s="10"/>
    </row>
    <row r="2133" spans="1:7" x14ac:dyDescent="0.25">
      <c r="A2133" s="10"/>
      <c r="B2133" s="10"/>
      <c r="C2133" s="10"/>
      <c r="D2133" s="12"/>
      <c r="E2133" s="10"/>
      <c r="F2133" s="10"/>
      <c r="G2133" s="10"/>
    </row>
    <row r="2134" spans="1:7" x14ac:dyDescent="0.25">
      <c r="A2134" s="10"/>
      <c r="B2134" s="10"/>
      <c r="C2134" s="10"/>
      <c r="D2134" s="12"/>
      <c r="E2134" s="10"/>
      <c r="F2134" s="10"/>
      <c r="G2134" s="10"/>
    </row>
    <row r="2135" spans="1:7" x14ac:dyDescent="0.25">
      <c r="A2135" s="10"/>
      <c r="B2135" s="10"/>
      <c r="C2135" s="10"/>
      <c r="D2135" s="12"/>
      <c r="E2135" s="10"/>
      <c r="F2135" s="10"/>
      <c r="G2135" s="10"/>
    </row>
    <row r="2136" spans="1:7" x14ac:dyDescent="0.25">
      <c r="A2136" s="10"/>
      <c r="B2136" s="10"/>
      <c r="C2136" s="10"/>
      <c r="D2136" s="12"/>
      <c r="E2136" s="10"/>
      <c r="F2136" s="10"/>
      <c r="G2136" s="10"/>
    </row>
    <row r="2137" spans="1:7" x14ac:dyDescent="0.25">
      <c r="A2137" s="10"/>
      <c r="B2137" s="10"/>
      <c r="C2137" s="10"/>
      <c r="D2137" s="12"/>
      <c r="E2137" s="10"/>
      <c r="F2137" s="10"/>
      <c r="G2137" s="10"/>
    </row>
    <row r="2138" spans="1:7" x14ac:dyDescent="0.25">
      <c r="A2138" s="10"/>
      <c r="B2138" s="10"/>
      <c r="C2138" s="10"/>
      <c r="D2138" s="12"/>
      <c r="E2138" s="10"/>
      <c r="F2138" s="10"/>
      <c r="G2138" s="10"/>
    </row>
    <row r="2139" spans="1:7" x14ac:dyDescent="0.25">
      <c r="A2139" s="10"/>
      <c r="B2139" s="10"/>
      <c r="C2139" s="10"/>
      <c r="D2139" s="12"/>
      <c r="E2139" s="10"/>
      <c r="F2139" s="10"/>
      <c r="G2139" s="10"/>
    </row>
    <row r="2140" spans="1:7" x14ac:dyDescent="0.25">
      <c r="A2140" s="10"/>
      <c r="B2140" s="10"/>
      <c r="C2140" s="10"/>
      <c r="D2140" s="12"/>
      <c r="E2140" s="10"/>
      <c r="F2140" s="10"/>
      <c r="G2140" s="10"/>
    </row>
    <row r="2141" spans="1:7" x14ac:dyDescent="0.25">
      <c r="A2141" s="10"/>
      <c r="B2141" s="10"/>
      <c r="C2141" s="10"/>
      <c r="D2141" s="12"/>
      <c r="E2141" s="10"/>
      <c r="F2141" s="10"/>
      <c r="G2141" s="10"/>
    </row>
    <row r="2142" spans="1:7" x14ac:dyDescent="0.25">
      <c r="A2142" s="10"/>
      <c r="B2142" s="10"/>
      <c r="C2142" s="10"/>
      <c r="D2142" s="12"/>
      <c r="E2142" s="10"/>
      <c r="F2142" s="10"/>
      <c r="G2142" s="10"/>
    </row>
    <row r="2143" spans="1:7" x14ac:dyDescent="0.25">
      <c r="A2143" s="10"/>
      <c r="B2143" s="10"/>
      <c r="C2143" s="10"/>
      <c r="D2143" s="12"/>
      <c r="E2143" s="10"/>
      <c r="F2143" s="10"/>
      <c r="G2143" s="10"/>
    </row>
    <row r="2144" spans="1:7" x14ac:dyDescent="0.25">
      <c r="A2144" s="10"/>
      <c r="B2144" s="10"/>
      <c r="C2144" s="10"/>
      <c r="D2144" s="12"/>
      <c r="E2144" s="10"/>
      <c r="F2144" s="10"/>
      <c r="G2144" s="10"/>
    </row>
    <row r="2145" spans="1:7" x14ac:dyDescent="0.25">
      <c r="A2145" s="10"/>
      <c r="B2145" s="10"/>
      <c r="C2145" s="10"/>
      <c r="D2145" s="12"/>
      <c r="E2145" s="10"/>
      <c r="F2145" s="10"/>
      <c r="G2145" s="10"/>
    </row>
    <row r="2146" spans="1:7" x14ac:dyDescent="0.25">
      <c r="A2146" s="10"/>
      <c r="B2146" s="10"/>
      <c r="C2146" s="10"/>
      <c r="D2146" s="12"/>
      <c r="E2146" s="10"/>
      <c r="F2146" s="10"/>
      <c r="G2146" s="10"/>
    </row>
    <row r="2147" spans="1:7" x14ac:dyDescent="0.25">
      <c r="A2147" s="10"/>
      <c r="B2147" s="10"/>
      <c r="C2147" s="10"/>
      <c r="D2147" s="12"/>
      <c r="E2147" s="10"/>
      <c r="F2147" s="10"/>
      <c r="G2147" s="10"/>
    </row>
    <row r="2148" spans="1:7" x14ac:dyDescent="0.25">
      <c r="A2148" s="10"/>
      <c r="B2148" s="10"/>
      <c r="C2148" s="10"/>
      <c r="D2148" s="12"/>
      <c r="E2148" s="10"/>
      <c r="F2148" s="10"/>
      <c r="G2148" s="10"/>
    </row>
    <row r="2149" spans="1:7" x14ac:dyDescent="0.25">
      <c r="A2149" s="10"/>
      <c r="B2149" s="10"/>
      <c r="C2149" s="10"/>
      <c r="D2149" s="12"/>
      <c r="E2149" s="10"/>
      <c r="F2149" s="10"/>
      <c r="G2149" s="10"/>
    </row>
    <row r="2150" spans="1:7" x14ac:dyDescent="0.25">
      <c r="A2150" s="10"/>
      <c r="B2150" s="10"/>
      <c r="C2150" s="10"/>
      <c r="D2150" s="12"/>
      <c r="E2150" s="10"/>
      <c r="F2150" s="10"/>
      <c r="G2150" s="10"/>
    </row>
    <row r="2151" spans="1:7" x14ac:dyDescent="0.25">
      <c r="A2151" s="10"/>
      <c r="B2151" s="10"/>
      <c r="C2151" s="10"/>
      <c r="D2151" s="12"/>
      <c r="E2151" s="10"/>
      <c r="F2151" s="10"/>
      <c r="G2151" s="10"/>
    </row>
    <row r="2152" spans="1:7" x14ac:dyDescent="0.25">
      <c r="A2152" s="10"/>
      <c r="B2152" s="10"/>
      <c r="C2152" s="10"/>
      <c r="D2152" s="12"/>
      <c r="E2152" s="10"/>
      <c r="F2152" s="10"/>
      <c r="G2152" s="10"/>
    </row>
    <row r="2153" spans="1:7" x14ac:dyDescent="0.25">
      <c r="A2153" s="10"/>
      <c r="B2153" s="10"/>
      <c r="C2153" s="10"/>
      <c r="D2153" s="12"/>
      <c r="E2153" s="10"/>
      <c r="F2153" s="10"/>
      <c r="G2153" s="10"/>
    </row>
    <row r="2154" spans="1:7" x14ac:dyDescent="0.25">
      <c r="A2154" s="10"/>
      <c r="B2154" s="10"/>
      <c r="C2154" s="10"/>
      <c r="D2154" s="12"/>
      <c r="E2154" s="10"/>
      <c r="F2154" s="10"/>
      <c r="G2154" s="10"/>
    </row>
    <row r="2155" spans="1:7" x14ac:dyDescent="0.25">
      <c r="A2155" s="10"/>
      <c r="B2155" s="10"/>
      <c r="C2155" s="10"/>
      <c r="D2155" s="12"/>
      <c r="E2155" s="10"/>
      <c r="F2155" s="10"/>
      <c r="G2155" s="10"/>
    </row>
    <row r="2156" spans="1:7" x14ac:dyDescent="0.25">
      <c r="A2156" s="10"/>
      <c r="B2156" s="10"/>
      <c r="C2156" s="10"/>
      <c r="D2156" s="12"/>
      <c r="E2156" s="10"/>
      <c r="F2156" s="10"/>
      <c r="G2156" s="10"/>
    </row>
    <row r="2157" spans="1:7" x14ac:dyDescent="0.25">
      <c r="A2157" s="10"/>
      <c r="B2157" s="10"/>
      <c r="C2157" s="10"/>
      <c r="D2157" s="12"/>
      <c r="E2157" s="10"/>
      <c r="F2157" s="10"/>
      <c r="G2157" s="10"/>
    </row>
    <row r="2158" spans="1:7" x14ac:dyDescent="0.25">
      <c r="A2158" s="10"/>
      <c r="B2158" s="10"/>
      <c r="C2158" s="10"/>
      <c r="D2158" s="12"/>
      <c r="E2158" s="10"/>
      <c r="F2158" s="10"/>
      <c r="G2158" s="10"/>
    </row>
    <row r="2159" spans="1:7" x14ac:dyDescent="0.25">
      <c r="A2159" s="10"/>
      <c r="B2159" s="10"/>
      <c r="C2159" s="10"/>
      <c r="D2159" s="12"/>
      <c r="E2159" s="10"/>
      <c r="F2159" s="10"/>
      <c r="G2159" s="10"/>
    </row>
    <row r="2160" spans="1:7" x14ac:dyDescent="0.25">
      <c r="A2160" s="10"/>
      <c r="B2160" s="10"/>
      <c r="C2160" s="10"/>
      <c r="D2160" s="12"/>
      <c r="E2160" s="10"/>
      <c r="F2160" s="10"/>
      <c r="G2160" s="10"/>
    </row>
    <row r="2161" spans="1:7" x14ac:dyDescent="0.25">
      <c r="A2161" s="10"/>
      <c r="B2161" s="10"/>
      <c r="C2161" s="10"/>
      <c r="D2161" s="12"/>
      <c r="E2161" s="10"/>
      <c r="F2161" s="10"/>
      <c r="G2161" s="10"/>
    </row>
    <row r="2162" spans="1:7" x14ac:dyDescent="0.25">
      <c r="A2162" s="10"/>
      <c r="B2162" s="10"/>
      <c r="C2162" s="10"/>
      <c r="D2162" s="12"/>
      <c r="E2162" s="10"/>
      <c r="F2162" s="10"/>
      <c r="G2162" s="10"/>
    </row>
    <row r="2163" spans="1:7" x14ac:dyDescent="0.25">
      <c r="A2163" s="10"/>
      <c r="B2163" s="10"/>
      <c r="C2163" s="10"/>
      <c r="D2163" s="12"/>
      <c r="E2163" s="10"/>
      <c r="F2163" s="10"/>
      <c r="G2163" s="10"/>
    </row>
    <row r="2164" spans="1:7" x14ac:dyDescent="0.25">
      <c r="A2164" s="10"/>
      <c r="B2164" s="10"/>
      <c r="C2164" s="10"/>
      <c r="D2164" s="12"/>
      <c r="E2164" s="10"/>
      <c r="F2164" s="10"/>
      <c r="G2164" s="10"/>
    </row>
    <row r="2165" spans="1:7" x14ac:dyDescent="0.25">
      <c r="A2165" s="10"/>
      <c r="B2165" s="10"/>
      <c r="C2165" s="10"/>
      <c r="D2165" s="12"/>
      <c r="E2165" s="10"/>
      <c r="F2165" s="10"/>
      <c r="G2165" s="10"/>
    </row>
    <row r="2166" spans="1:7" x14ac:dyDescent="0.25">
      <c r="A2166" s="10"/>
      <c r="B2166" s="10"/>
      <c r="C2166" s="10"/>
      <c r="D2166" s="12"/>
      <c r="E2166" s="10"/>
      <c r="F2166" s="10"/>
      <c r="G2166" s="10"/>
    </row>
    <row r="2167" spans="1:7" x14ac:dyDescent="0.25">
      <c r="A2167" s="10"/>
      <c r="B2167" s="10"/>
      <c r="C2167" s="10"/>
      <c r="D2167" s="12"/>
      <c r="E2167" s="10"/>
      <c r="F2167" s="10"/>
      <c r="G2167" s="10"/>
    </row>
    <row r="2168" spans="1:7" x14ac:dyDescent="0.25">
      <c r="A2168" s="10"/>
      <c r="B2168" s="10"/>
      <c r="C2168" s="10"/>
      <c r="D2168" s="12"/>
      <c r="E2168" s="10"/>
      <c r="F2168" s="10"/>
      <c r="G2168" s="10"/>
    </row>
    <row r="2169" spans="1:7" x14ac:dyDescent="0.25">
      <c r="A2169" s="10"/>
      <c r="B2169" s="10"/>
      <c r="C2169" s="10"/>
      <c r="D2169" s="12"/>
      <c r="E2169" s="10"/>
      <c r="F2169" s="10"/>
      <c r="G2169" s="10"/>
    </row>
    <row r="2170" spans="1:7" x14ac:dyDescent="0.25">
      <c r="A2170" s="10"/>
      <c r="B2170" s="10"/>
      <c r="C2170" s="10"/>
      <c r="D2170" s="12"/>
      <c r="E2170" s="10"/>
      <c r="F2170" s="10"/>
      <c r="G2170" s="10"/>
    </row>
    <row r="2171" spans="1:7" x14ac:dyDescent="0.25">
      <c r="A2171" s="10"/>
      <c r="B2171" s="10"/>
      <c r="C2171" s="10"/>
      <c r="D2171" s="12"/>
      <c r="E2171" s="10"/>
      <c r="F2171" s="10"/>
      <c r="G2171" s="10"/>
    </row>
    <row r="2172" spans="1:7" x14ac:dyDescent="0.25">
      <c r="A2172" s="10"/>
      <c r="B2172" s="10"/>
      <c r="C2172" s="10"/>
      <c r="D2172" s="12"/>
      <c r="E2172" s="10"/>
      <c r="F2172" s="10"/>
      <c r="G2172" s="10"/>
    </row>
    <row r="2173" spans="1:7" x14ac:dyDescent="0.25">
      <c r="A2173" s="10"/>
      <c r="B2173" s="10"/>
      <c r="C2173" s="10"/>
      <c r="D2173" s="12"/>
      <c r="E2173" s="10"/>
      <c r="F2173" s="10"/>
      <c r="G2173" s="10"/>
    </row>
    <row r="2174" spans="1:7" x14ac:dyDescent="0.25">
      <c r="A2174" s="10"/>
      <c r="B2174" s="10"/>
      <c r="C2174" s="10"/>
      <c r="D2174" s="12"/>
      <c r="E2174" s="10"/>
      <c r="F2174" s="10"/>
      <c r="G2174" s="10"/>
    </row>
    <row r="2175" spans="1:7" x14ac:dyDescent="0.25">
      <c r="A2175" s="10"/>
      <c r="B2175" s="10"/>
      <c r="C2175" s="10"/>
      <c r="D2175" s="12"/>
      <c r="E2175" s="10"/>
      <c r="F2175" s="10"/>
      <c r="G2175" s="10"/>
    </row>
    <row r="2176" spans="1:7" x14ac:dyDescent="0.25">
      <c r="A2176" s="10"/>
      <c r="B2176" s="10"/>
      <c r="C2176" s="10"/>
      <c r="D2176" s="12"/>
      <c r="E2176" s="10"/>
      <c r="F2176" s="10"/>
      <c r="G2176" s="10"/>
    </row>
    <row r="2177" spans="1:7" x14ac:dyDescent="0.25">
      <c r="A2177" s="10"/>
      <c r="B2177" s="10"/>
      <c r="C2177" s="10"/>
      <c r="D2177" s="12"/>
      <c r="E2177" s="10"/>
      <c r="F2177" s="10"/>
      <c r="G2177" s="10"/>
    </row>
    <row r="2178" spans="1:7" x14ac:dyDescent="0.25">
      <c r="A2178" s="10"/>
      <c r="B2178" s="10"/>
      <c r="C2178" s="10"/>
      <c r="D2178" s="12"/>
      <c r="E2178" s="10"/>
      <c r="F2178" s="10"/>
      <c r="G2178" s="10"/>
    </row>
    <row r="2179" spans="1:7" x14ac:dyDescent="0.25">
      <c r="A2179" s="10"/>
      <c r="B2179" s="10"/>
      <c r="C2179" s="10"/>
      <c r="D2179" s="12"/>
      <c r="E2179" s="10"/>
      <c r="F2179" s="10"/>
      <c r="G2179" s="10"/>
    </row>
    <row r="2180" spans="1:7" x14ac:dyDescent="0.25">
      <c r="A2180" s="10"/>
      <c r="B2180" s="10"/>
      <c r="C2180" s="10"/>
      <c r="D2180" s="12"/>
      <c r="E2180" s="10"/>
      <c r="F2180" s="10"/>
      <c r="G2180" s="10"/>
    </row>
    <row r="2181" spans="1:7" x14ac:dyDescent="0.25">
      <c r="A2181" s="10"/>
      <c r="B2181" s="10"/>
      <c r="C2181" s="10"/>
      <c r="D2181" s="12"/>
      <c r="E2181" s="10"/>
      <c r="F2181" s="10"/>
      <c r="G2181" s="10"/>
    </row>
    <row r="2182" spans="1:7" x14ac:dyDescent="0.25">
      <c r="A2182" s="10"/>
      <c r="B2182" s="10"/>
      <c r="C2182" s="10"/>
      <c r="D2182" s="12"/>
      <c r="E2182" s="10"/>
      <c r="F2182" s="10"/>
      <c r="G2182" s="10"/>
    </row>
    <row r="2183" spans="1:7" x14ac:dyDescent="0.25">
      <c r="A2183" s="10"/>
      <c r="B2183" s="10"/>
      <c r="C2183" s="10"/>
      <c r="D2183" s="12"/>
      <c r="E2183" s="10"/>
      <c r="F2183" s="10"/>
      <c r="G2183" s="10"/>
    </row>
    <row r="2184" spans="1:7" x14ac:dyDescent="0.25">
      <c r="A2184" s="10"/>
      <c r="B2184" s="10"/>
      <c r="C2184" s="10"/>
      <c r="D2184" s="12"/>
      <c r="E2184" s="10"/>
      <c r="F2184" s="10"/>
      <c r="G2184" s="10"/>
    </row>
    <row r="2185" spans="1:7" x14ac:dyDescent="0.25">
      <c r="A2185" s="10"/>
      <c r="B2185" s="10"/>
      <c r="C2185" s="10"/>
      <c r="D2185" s="12"/>
      <c r="E2185" s="10"/>
      <c r="F2185" s="10"/>
      <c r="G2185" s="10"/>
    </row>
    <row r="2186" spans="1:7" x14ac:dyDescent="0.25">
      <c r="A2186" s="10"/>
      <c r="B2186" s="10"/>
      <c r="C2186" s="10"/>
      <c r="D2186" s="12"/>
      <c r="E2186" s="10"/>
      <c r="F2186" s="10"/>
      <c r="G2186" s="10"/>
    </row>
    <row r="2187" spans="1:7" x14ac:dyDescent="0.25">
      <c r="A2187" s="10"/>
      <c r="B2187" s="10"/>
      <c r="C2187" s="10"/>
      <c r="D2187" s="12"/>
      <c r="E2187" s="10"/>
      <c r="F2187" s="10"/>
      <c r="G2187" s="10"/>
    </row>
    <row r="2188" spans="1:7" x14ac:dyDescent="0.25">
      <c r="A2188" s="10"/>
      <c r="B2188" s="10"/>
      <c r="C2188" s="10"/>
      <c r="D2188" s="12"/>
      <c r="E2188" s="10"/>
      <c r="F2188" s="10"/>
      <c r="G2188" s="10"/>
    </row>
    <row r="2189" spans="1:7" x14ac:dyDescent="0.25">
      <c r="A2189" s="10"/>
      <c r="B2189" s="10"/>
      <c r="C2189" s="10"/>
      <c r="D2189" s="12"/>
      <c r="E2189" s="10"/>
      <c r="F2189" s="10"/>
      <c r="G2189" s="10"/>
    </row>
    <row r="2190" spans="1:7" x14ac:dyDescent="0.25">
      <c r="A2190" s="10"/>
      <c r="B2190" s="10"/>
      <c r="C2190" s="10"/>
      <c r="D2190" s="12"/>
      <c r="E2190" s="10"/>
      <c r="F2190" s="10"/>
      <c r="G2190" s="10"/>
    </row>
    <row r="2191" spans="1:7" x14ac:dyDescent="0.25">
      <c r="A2191" s="10"/>
      <c r="B2191" s="10"/>
      <c r="C2191" s="10"/>
      <c r="D2191" s="12"/>
      <c r="E2191" s="10"/>
      <c r="F2191" s="10"/>
      <c r="G2191" s="10"/>
    </row>
    <row r="2192" spans="1:7" x14ac:dyDescent="0.25">
      <c r="A2192" s="10"/>
      <c r="B2192" s="10"/>
      <c r="C2192" s="10"/>
      <c r="D2192" s="12"/>
      <c r="E2192" s="10"/>
      <c r="F2192" s="10"/>
      <c r="G2192" s="10"/>
    </row>
    <row r="2193" spans="1:7" x14ac:dyDescent="0.25">
      <c r="A2193" s="10"/>
      <c r="B2193" s="10"/>
      <c r="C2193" s="10"/>
      <c r="D2193" s="12"/>
      <c r="E2193" s="10"/>
      <c r="F2193" s="10"/>
      <c r="G2193" s="10"/>
    </row>
    <row r="2194" spans="1:7" x14ac:dyDescent="0.25">
      <c r="A2194" s="10"/>
      <c r="B2194" s="10"/>
      <c r="C2194" s="10"/>
      <c r="D2194" s="12"/>
      <c r="E2194" s="10"/>
      <c r="F2194" s="10"/>
      <c r="G2194" s="10"/>
    </row>
    <row r="2195" spans="1:7" x14ac:dyDescent="0.25">
      <c r="A2195" s="10"/>
      <c r="B2195" s="10"/>
      <c r="C2195" s="10"/>
      <c r="D2195" s="12"/>
      <c r="E2195" s="10"/>
      <c r="F2195" s="10"/>
      <c r="G2195" s="10"/>
    </row>
    <row r="2196" spans="1:7" x14ac:dyDescent="0.25">
      <c r="A2196" s="10"/>
      <c r="B2196" s="10"/>
      <c r="C2196" s="10"/>
      <c r="D2196" s="12"/>
      <c r="E2196" s="10"/>
      <c r="F2196" s="10"/>
      <c r="G2196" s="10"/>
    </row>
    <row r="2197" spans="1:7" x14ac:dyDescent="0.25">
      <c r="A2197" s="10"/>
      <c r="B2197" s="10"/>
      <c r="C2197" s="10"/>
      <c r="D2197" s="12"/>
      <c r="E2197" s="10"/>
      <c r="F2197" s="10"/>
      <c r="G2197" s="10"/>
    </row>
    <row r="2198" spans="1:7" x14ac:dyDescent="0.25">
      <c r="A2198" s="10"/>
      <c r="B2198" s="10"/>
      <c r="C2198" s="10"/>
      <c r="D2198" s="12"/>
      <c r="E2198" s="10"/>
      <c r="F2198" s="10"/>
      <c r="G2198" s="10"/>
    </row>
    <row r="2199" spans="1:7" x14ac:dyDescent="0.25">
      <c r="A2199" s="10"/>
      <c r="B2199" s="10"/>
      <c r="C2199" s="10"/>
      <c r="D2199" s="12"/>
      <c r="E2199" s="10"/>
      <c r="F2199" s="10"/>
      <c r="G2199" s="10"/>
    </row>
    <row r="2200" spans="1:7" x14ac:dyDescent="0.25">
      <c r="A2200" s="10"/>
      <c r="B2200" s="10"/>
      <c r="C2200" s="10"/>
      <c r="D2200" s="12"/>
      <c r="E2200" s="10"/>
      <c r="F2200" s="10"/>
      <c r="G2200" s="10"/>
    </row>
    <row r="2201" spans="1:7" x14ac:dyDescent="0.25">
      <c r="A2201" s="10"/>
      <c r="B2201" s="10"/>
      <c r="C2201" s="10"/>
      <c r="D2201" s="12"/>
      <c r="E2201" s="10"/>
      <c r="F2201" s="10"/>
      <c r="G2201" s="10"/>
    </row>
    <row r="2202" spans="1:7" x14ac:dyDescent="0.25">
      <c r="A2202" s="10"/>
      <c r="B2202" s="10"/>
      <c r="C2202" s="10"/>
      <c r="D2202" s="12"/>
      <c r="E2202" s="10"/>
      <c r="F2202" s="10"/>
      <c r="G2202" s="10"/>
    </row>
    <row r="2203" spans="1:7" x14ac:dyDescent="0.25">
      <c r="A2203" s="10"/>
      <c r="B2203" s="10"/>
      <c r="C2203" s="10"/>
      <c r="D2203" s="12"/>
      <c r="E2203" s="10"/>
      <c r="F2203" s="10"/>
      <c r="G2203" s="10"/>
    </row>
    <row r="2204" spans="1:7" x14ac:dyDescent="0.25">
      <c r="A2204" s="10"/>
      <c r="B2204" s="10"/>
      <c r="C2204" s="10"/>
      <c r="D2204" s="12"/>
      <c r="E2204" s="10"/>
      <c r="F2204" s="10"/>
      <c r="G2204" s="10"/>
    </row>
    <row r="2205" spans="1:7" x14ac:dyDescent="0.25">
      <c r="A2205" s="10"/>
      <c r="B2205" s="10"/>
      <c r="C2205" s="10"/>
      <c r="D2205" s="12"/>
      <c r="E2205" s="10"/>
      <c r="F2205" s="10"/>
      <c r="G2205" s="10"/>
    </row>
    <row r="2206" spans="1:7" x14ac:dyDescent="0.25">
      <c r="A2206" s="10"/>
      <c r="B2206" s="10"/>
      <c r="C2206" s="10"/>
      <c r="D2206" s="12"/>
      <c r="E2206" s="10"/>
      <c r="F2206" s="10"/>
      <c r="G2206" s="10"/>
    </row>
    <row r="2207" spans="1:7" x14ac:dyDescent="0.25">
      <c r="A2207" s="10"/>
      <c r="B2207" s="10"/>
      <c r="C2207" s="10"/>
      <c r="D2207" s="12"/>
      <c r="E2207" s="10"/>
      <c r="F2207" s="10"/>
      <c r="G2207" s="10"/>
    </row>
    <row r="2208" spans="1:7" x14ac:dyDescent="0.25">
      <c r="A2208" s="10"/>
      <c r="B2208" s="10"/>
      <c r="C2208" s="10"/>
      <c r="D2208" s="12"/>
      <c r="E2208" s="10"/>
      <c r="F2208" s="10"/>
      <c r="G2208" s="10"/>
    </row>
    <row r="2209" spans="1:7" x14ac:dyDescent="0.25">
      <c r="A2209" s="10"/>
      <c r="B2209" s="10"/>
      <c r="C2209" s="10"/>
      <c r="D2209" s="12"/>
      <c r="E2209" s="10"/>
      <c r="F2209" s="10"/>
      <c r="G2209" s="10"/>
    </row>
    <row r="2210" spans="1:7" x14ac:dyDescent="0.25">
      <c r="A2210" s="10"/>
      <c r="B2210" s="10"/>
      <c r="C2210" s="10"/>
      <c r="D2210" s="12"/>
      <c r="E2210" s="10"/>
      <c r="F2210" s="10"/>
      <c r="G2210" s="10"/>
    </row>
    <row r="2211" spans="1:7" x14ac:dyDescent="0.25">
      <c r="A2211" s="10"/>
      <c r="B2211" s="10"/>
      <c r="C2211" s="10"/>
      <c r="D2211" s="12"/>
      <c r="E2211" s="10"/>
      <c r="F2211" s="10"/>
      <c r="G2211" s="10"/>
    </row>
    <row r="2212" spans="1:7" x14ac:dyDescent="0.25">
      <c r="A2212" s="10"/>
      <c r="B2212" s="10"/>
      <c r="C2212" s="10"/>
      <c r="D2212" s="12"/>
      <c r="E2212" s="10"/>
      <c r="F2212" s="10"/>
      <c r="G2212" s="10"/>
    </row>
    <row r="2213" spans="1:7" x14ac:dyDescent="0.25">
      <c r="A2213" s="10"/>
      <c r="B2213" s="10"/>
      <c r="C2213" s="10"/>
      <c r="D2213" s="12"/>
      <c r="E2213" s="10"/>
      <c r="F2213" s="10"/>
      <c r="G2213" s="10"/>
    </row>
    <row r="2214" spans="1:7" x14ac:dyDescent="0.25">
      <c r="A2214" s="10"/>
      <c r="B2214" s="10"/>
      <c r="C2214" s="10"/>
      <c r="D2214" s="12"/>
      <c r="E2214" s="10"/>
      <c r="F2214" s="10"/>
      <c r="G2214" s="10"/>
    </row>
    <row r="2215" spans="1:7" x14ac:dyDescent="0.25">
      <c r="A2215" s="10"/>
      <c r="B2215" s="10"/>
      <c r="C2215" s="10"/>
      <c r="D2215" s="12"/>
      <c r="E2215" s="10"/>
      <c r="F2215" s="10"/>
      <c r="G2215" s="10"/>
    </row>
    <row r="2216" spans="1:7" x14ac:dyDescent="0.25">
      <c r="A2216" s="10"/>
      <c r="B2216" s="10"/>
      <c r="C2216" s="10"/>
      <c r="D2216" s="12"/>
      <c r="E2216" s="10"/>
      <c r="F2216" s="10"/>
      <c r="G2216" s="10"/>
    </row>
    <row r="2217" spans="1:7" x14ac:dyDescent="0.25">
      <c r="A2217" s="10"/>
      <c r="B2217" s="10"/>
      <c r="C2217" s="10"/>
      <c r="D2217" s="12"/>
      <c r="E2217" s="10"/>
      <c r="F2217" s="10"/>
      <c r="G2217" s="10"/>
    </row>
    <row r="2218" spans="1:7" x14ac:dyDescent="0.25">
      <c r="A2218" s="10"/>
      <c r="B2218" s="10"/>
      <c r="C2218" s="10"/>
      <c r="D2218" s="12"/>
      <c r="E2218" s="10"/>
      <c r="F2218" s="10"/>
      <c r="G2218" s="10"/>
    </row>
    <row r="2219" spans="1:7" x14ac:dyDescent="0.25">
      <c r="A2219" s="10"/>
      <c r="B2219" s="10"/>
      <c r="C2219" s="10"/>
      <c r="D2219" s="12"/>
      <c r="E2219" s="10"/>
      <c r="F2219" s="10"/>
      <c r="G2219" s="10"/>
    </row>
    <row r="2220" spans="1:7" x14ac:dyDescent="0.25">
      <c r="A2220" s="10"/>
      <c r="B2220" s="10"/>
      <c r="C2220" s="10"/>
      <c r="D2220" s="12"/>
      <c r="E2220" s="10"/>
      <c r="F2220" s="10"/>
      <c r="G2220" s="10"/>
    </row>
    <row r="2221" spans="1:7" x14ac:dyDescent="0.25">
      <c r="A2221" s="10"/>
      <c r="B2221" s="10"/>
      <c r="C2221" s="10"/>
      <c r="D2221" s="12"/>
      <c r="E2221" s="10"/>
      <c r="F2221" s="10"/>
      <c r="G2221" s="10"/>
    </row>
    <row r="2222" spans="1:7" x14ac:dyDescent="0.25">
      <c r="A2222" s="10"/>
      <c r="B2222" s="10"/>
      <c r="C2222" s="10"/>
      <c r="D2222" s="12"/>
      <c r="E2222" s="10"/>
      <c r="F2222" s="10"/>
      <c r="G2222" s="10"/>
    </row>
    <row r="2223" spans="1:7" x14ac:dyDescent="0.25">
      <c r="A2223" s="10"/>
      <c r="B2223" s="10"/>
      <c r="C2223" s="10"/>
      <c r="D2223" s="12"/>
      <c r="E2223" s="10"/>
      <c r="F2223" s="10"/>
      <c r="G2223" s="10"/>
    </row>
    <row r="2224" spans="1:7" x14ac:dyDescent="0.25">
      <c r="A2224" s="10"/>
      <c r="B2224" s="10"/>
      <c r="C2224" s="10"/>
      <c r="D2224" s="12"/>
      <c r="E2224" s="10"/>
      <c r="F2224" s="10"/>
      <c r="G2224" s="10"/>
    </row>
    <row r="2225" spans="1:7" x14ac:dyDescent="0.25">
      <c r="A2225" s="10"/>
      <c r="B2225" s="10"/>
      <c r="C2225" s="10"/>
      <c r="D2225" s="12"/>
      <c r="E2225" s="10"/>
      <c r="F2225" s="10"/>
      <c r="G2225" s="10"/>
    </row>
    <row r="2226" spans="1:7" x14ac:dyDescent="0.25">
      <c r="A2226" s="10"/>
      <c r="B2226" s="10"/>
      <c r="C2226" s="10"/>
      <c r="D2226" s="12"/>
      <c r="E2226" s="10"/>
      <c r="F2226" s="10"/>
      <c r="G2226" s="10"/>
    </row>
    <row r="2227" spans="1:7" x14ac:dyDescent="0.25">
      <c r="A2227" s="10"/>
      <c r="B2227" s="10"/>
      <c r="C2227" s="10"/>
      <c r="D2227" s="12"/>
      <c r="E2227" s="10"/>
      <c r="F2227" s="10"/>
      <c r="G2227" s="10"/>
    </row>
    <row r="2228" spans="1:7" x14ac:dyDescent="0.25">
      <c r="A2228" s="10"/>
      <c r="B2228" s="10"/>
      <c r="C2228" s="10"/>
      <c r="D2228" s="12"/>
      <c r="E2228" s="10"/>
      <c r="F2228" s="10"/>
      <c r="G2228" s="10"/>
    </row>
    <row r="2229" spans="1:7" x14ac:dyDescent="0.25">
      <c r="A2229" s="10"/>
      <c r="B2229" s="10"/>
      <c r="C2229" s="10"/>
      <c r="D2229" s="12"/>
      <c r="E2229" s="10"/>
      <c r="F2229" s="10"/>
      <c r="G2229" s="10"/>
    </row>
    <row r="2230" spans="1:7" x14ac:dyDescent="0.25">
      <c r="A2230" s="10"/>
      <c r="B2230" s="10"/>
      <c r="C2230" s="10"/>
      <c r="D2230" s="12"/>
      <c r="E2230" s="10"/>
      <c r="F2230" s="10"/>
      <c r="G2230" s="10"/>
    </row>
    <row r="2231" spans="1:7" x14ac:dyDescent="0.25">
      <c r="A2231" s="10"/>
      <c r="B2231" s="10"/>
      <c r="C2231" s="10"/>
      <c r="D2231" s="12"/>
      <c r="E2231" s="10"/>
      <c r="F2231" s="10"/>
      <c r="G2231" s="10"/>
    </row>
    <row r="2232" spans="1:7" x14ac:dyDescent="0.25">
      <c r="A2232" s="10"/>
      <c r="B2232" s="10"/>
      <c r="C2232" s="10"/>
      <c r="D2232" s="12"/>
      <c r="E2232" s="10"/>
      <c r="F2232" s="10"/>
      <c r="G2232" s="10"/>
    </row>
    <row r="2233" spans="1:7" x14ac:dyDescent="0.25">
      <c r="A2233" s="10"/>
      <c r="B2233" s="10"/>
      <c r="C2233" s="10"/>
      <c r="D2233" s="12"/>
      <c r="E2233" s="10"/>
      <c r="F2233" s="10"/>
      <c r="G2233" s="10"/>
    </row>
    <row r="2234" spans="1:7" x14ac:dyDescent="0.25">
      <c r="A2234" s="10"/>
      <c r="B2234" s="10"/>
      <c r="C2234" s="10"/>
      <c r="D2234" s="12"/>
      <c r="E2234" s="10"/>
      <c r="F2234" s="10"/>
      <c r="G2234" s="10"/>
    </row>
    <row r="2235" spans="1:7" x14ac:dyDescent="0.25">
      <c r="A2235" s="10"/>
      <c r="B2235" s="10"/>
      <c r="C2235" s="10"/>
      <c r="D2235" s="12"/>
      <c r="E2235" s="10"/>
      <c r="F2235" s="10"/>
      <c r="G2235" s="10"/>
    </row>
    <row r="2236" spans="1:7" x14ac:dyDescent="0.25">
      <c r="A2236" s="10"/>
      <c r="B2236" s="10"/>
      <c r="C2236" s="10"/>
      <c r="D2236" s="12"/>
      <c r="E2236" s="10"/>
      <c r="F2236" s="10"/>
      <c r="G2236" s="10"/>
    </row>
    <row r="2237" spans="1:7" x14ac:dyDescent="0.25">
      <c r="A2237" s="10"/>
      <c r="B2237" s="10"/>
      <c r="C2237" s="10"/>
      <c r="D2237" s="12"/>
      <c r="E2237" s="10"/>
      <c r="F2237" s="10"/>
      <c r="G2237" s="10"/>
    </row>
    <row r="2238" spans="1:7" x14ac:dyDescent="0.25">
      <c r="A2238" s="10"/>
      <c r="B2238" s="10"/>
      <c r="C2238" s="10"/>
      <c r="D2238" s="12"/>
      <c r="E2238" s="10"/>
      <c r="F2238" s="10"/>
      <c r="G2238" s="10"/>
    </row>
    <row r="2239" spans="1:7" x14ac:dyDescent="0.25">
      <c r="A2239" s="10"/>
      <c r="B2239" s="10"/>
      <c r="C2239" s="10"/>
      <c r="D2239" s="12"/>
      <c r="E2239" s="10"/>
      <c r="F2239" s="10"/>
      <c r="G2239" s="10"/>
    </row>
    <row r="2240" spans="1:7" x14ac:dyDescent="0.25">
      <c r="A2240" s="10"/>
      <c r="B2240" s="10"/>
      <c r="C2240" s="10"/>
      <c r="D2240" s="12"/>
      <c r="E2240" s="10"/>
      <c r="F2240" s="10"/>
      <c r="G2240" s="10"/>
    </row>
    <row r="2241" spans="1:7" x14ac:dyDescent="0.25">
      <c r="A2241" s="10"/>
      <c r="B2241" s="10"/>
      <c r="C2241" s="10"/>
      <c r="D2241" s="12"/>
      <c r="E2241" s="10"/>
      <c r="F2241" s="10"/>
      <c r="G2241" s="10"/>
    </row>
    <row r="2242" spans="1:7" x14ac:dyDescent="0.25">
      <c r="A2242" s="10"/>
      <c r="B2242" s="10"/>
      <c r="C2242" s="10"/>
      <c r="D2242" s="12"/>
      <c r="E2242" s="10"/>
      <c r="F2242" s="10"/>
      <c r="G2242" s="10"/>
    </row>
    <row r="2243" spans="1:7" x14ac:dyDescent="0.25">
      <c r="A2243" s="10"/>
      <c r="B2243" s="10"/>
      <c r="C2243" s="10"/>
      <c r="D2243" s="12"/>
      <c r="E2243" s="10"/>
      <c r="F2243" s="10"/>
      <c r="G2243" s="10"/>
    </row>
    <row r="2244" spans="1:7" x14ac:dyDescent="0.25">
      <c r="A2244" s="10"/>
      <c r="B2244" s="10"/>
      <c r="C2244" s="10"/>
      <c r="D2244" s="12"/>
      <c r="E2244" s="10"/>
      <c r="F2244" s="10"/>
      <c r="G2244" s="10"/>
    </row>
    <row r="2245" spans="1:7" x14ac:dyDescent="0.25">
      <c r="A2245" s="10"/>
      <c r="B2245" s="10"/>
      <c r="C2245" s="10"/>
      <c r="D2245" s="12"/>
      <c r="E2245" s="10"/>
      <c r="F2245" s="10"/>
      <c r="G2245" s="10"/>
    </row>
    <row r="2246" spans="1:7" x14ac:dyDescent="0.25">
      <c r="A2246" s="10"/>
      <c r="B2246" s="10"/>
      <c r="C2246" s="10"/>
      <c r="D2246" s="12"/>
      <c r="E2246" s="10"/>
      <c r="F2246" s="10"/>
      <c r="G2246" s="10"/>
    </row>
    <row r="2247" spans="1:7" x14ac:dyDescent="0.25">
      <c r="A2247" s="10"/>
      <c r="B2247" s="10"/>
      <c r="C2247" s="10"/>
      <c r="D2247" s="12"/>
      <c r="E2247" s="10"/>
      <c r="F2247" s="10"/>
      <c r="G2247" s="10"/>
    </row>
    <row r="2248" spans="1:7" x14ac:dyDescent="0.25">
      <c r="A2248" s="10"/>
      <c r="B2248" s="10"/>
      <c r="C2248" s="10"/>
      <c r="D2248" s="12"/>
      <c r="E2248" s="10"/>
      <c r="F2248" s="10"/>
      <c r="G2248" s="10"/>
    </row>
    <row r="2249" spans="1:7" x14ac:dyDescent="0.25">
      <c r="A2249" s="10"/>
      <c r="B2249" s="10"/>
      <c r="C2249" s="10"/>
      <c r="D2249" s="12"/>
      <c r="E2249" s="10"/>
      <c r="F2249" s="10"/>
      <c r="G2249" s="10"/>
    </row>
    <row r="2250" spans="1:7" x14ac:dyDescent="0.25">
      <c r="A2250" s="10"/>
      <c r="B2250" s="10"/>
      <c r="C2250" s="10"/>
      <c r="D2250" s="12"/>
      <c r="E2250" s="10"/>
      <c r="F2250" s="10"/>
      <c r="G2250" s="10"/>
    </row>
    <row r="2251" spans="1:7" x14ac:dyDescent="0.25">
      <c r="A2251" s="10"/>
      <c r="B2251" s="10"/>
      <c r="C2251" s="10"/>
      <c r="D2251" s="12"/>
      <c r="E2251" s="10"/>
      <c r="F2251" s="10"/>
      <c r="G2251" s="10"/>
    </row>
    <row r="2252" spans="1:7" x14ac:dyDescent="0.25">
      <c r="A2252" s="10"/>
      <c r="B2252" s="10"/>
      <c r="C2252" s="10"/>
      <c r="D2252" s="12"/>
      <c r="E2252" s="10"/>
      <c r="F2252" s="10"/>
      <c r="G2252" s="10"/>
    </row>
    <row r="2253" spans="1:7" x14ac:dyDescent="0.25">
      <c r="A2253" s="10"/>
      <c r="B2253" s="10"/>
      <c r="C2253" s="10"/>
      <c r="D2253" s="12"/>
      <c r="E2253" s="10"/>
      <c r="F2253" s="10"/>
      <c r="G2253" s="10"/>
    </row>
    <row r="2254" spans="1:7" x14ac:dyDescent="0.25">
      <c r="A2254" s="10"/>
      <c r="B2254" s="10"/>
      <c r="C2254" s="10"/>
      <c r="D2254" s="12"/>
      <c r="E2254" s="10"/>
      <c r="F2254" s="10"/>
      <c r="G2254" s="10"/>
    </row>
    <row r="2255" spans="1:7" x14ac:dyDescent="0.25">
      <c r="A2255" s="10"/>
      <c r="B2255" s="10"/>
      <c r="C2255" s="10"/>
      <c r="D2255" s="12"/>
      <c r="E2255" s="10"/>
      <c r="F2255" s="10"/>
      <c r="G2255" s="10"/>
    </row>
    <row r="2256" spans="1:7" x14ac:dyDescent="0.25">
      <c r="A2256" s="10"/>
      <c r="B2256" s="10"/>
      <c r="C2256" s="10"/>
      <c r="D2256" s="12"/>
      <c r="E2256" s="10"/>
      <c r="F2256" s="10"/>
      <c r="G2256" s="10"/>
    </row>
    <row r="2257" spans="1:7" x14ac:dyDescent="0.25">
      <c r="A2257" s="10"/>
      <c r="B2257" s="10"/>
      <c r="C2257" s="10"/>
      <c r="D2257" s="12"/>
      <c r="E2257" s="10"/>
      <c r="F2257" s="10"/>
      <c r="G2257" s="10"/>
    </row>
    <row r="2258" spans="1:7" x14ac:dyDescent="0.25">
      <c r="A2258" s="10"/>
      <c r="B2258" s="10"/>
      <c r="C2258" s="10"/>
      <c r="D2258" s="12"/>
      <c r="E2258" s="10"/>
      <c r="F2258" s="10"/>
      <c r="G2258" s="10"/>
    </row>
    <row r="2259" spans="1:7" x14ac:dyDescent="0.25">
      <c r="A2259" s="10"/>
      <c r="B2259" s="10"/>
      <c r="C2259" s="10"/>
      <c r="D2259" s="12"/>
      <c r="E2259" s="10"/>
      <c r="F2259" s="10"/>
      <c r="G2259" s="10"/>
    </row>
    <row r="2260" spans="1:7" x14ac:dyDescent="0.25">
      <c r="A2260" s="10"/>
      <c r="B2260" s="10"/>
      <c r="C2260" s="10"/>
      <c r="D2260" s="12"/>
      <c r="E2260" s="10"/>
      <c r="F2260" s="10"/>
      <c r="G2260" s="10"/>
    </row>
    <row r="2261" spans="1:7" x14ac:dyDescent="0.25">
      <c r="A2261" s="10"/>
      <c r="B2261" s="10"/>
      <c r="C2261" s="10"/>
      <c r="D2261" s="12"/>
      <c r="E2261" s="10"/>
      <c r="F2261" s="10"/>
      <c r="G2261" s="10"/>
    </row>
    <row r="2262" spans="1:7" x14ac:dyDescent="0.25">
      <c r="A2262" s="10"/>
      <c r="B2262" s="10"/>
      <c r="C2262" s="10"/>
      <c r="D2262" s="12"/>
      <c r="E2262" s="10"/>
      <c r="F2262" s="10"/>
      <c r="G2262" s="10"/>
    </row>
    <row r="2263" spans="1:7" x14ac:dyDescent="0.25">
      <c r="A2263" s="10"/>
      <c r="B2263" s="10"/>
      <c r="C2263" s="10"/>
      <c r="D2263" s="12"/>
      <c r="E2263" s="10"/>
      <c r="F2263" s="10"/>
      <c r="G2263" s="10"/>
    </row>
    <row r="2264" spans="1:7" x14ac:dyDescent="0.25">
      <c r="A2264" s="10"/>
      <c r="B2264" s="10"/>
      <c r="C2264" s="10"/>
      <c r="D2264" s="12"/>
      <c r="E2264" s="10"/>
      <c r="F2264" s="10"/>
      <c r="G2264" s="10"/>
    </row>
    <row r="2265" spans="1:7" x14ac:dyDescent="0.25">
      <c r="A2265" s="10"/>
      <c r="B2265" s="10"/>
      <c r="C2265" s="10"/>
      <c r="D2265" s="12"/>
      <c r="E2265" s="10"/>
      <c r="F2265" s="10"/>
      <c r="G2265" s="10"/>
    </row>
    <row r="2266" spans="1:7" x14ac:dyDescent="0.25">
      <c r="A2266" s="10"/>
      <c r="B2266" s="10"/>
      <c r="C2266" s="10"/>
      <c r="D2266" s="12"/>
      <c r="E2266" s="10"/>
      <c r="F2266" s="10"/>
      <c r="G2266" s="10"/>
    </row>
    <row r="2267" spans="1:7" x14ac:dyDescent="0.25">
      <c r="A2267" s="10"/>
      <c r="B2267" s="10"/>
      <c r="C2267" s="10"/>
      <c r="D2267" s="12"/>
      <c r="E2267" s="10"/>
      <c r="F2267" s="10"/>
      <c r="G2267" s="10"/>
    </row>
    <row r="2268" spans="1:7" x14ac:dyDescent="0.25">
      <c r="A2268" s="10"/>
      <c r="B2268" s="10"/>
      <c r="C2268" s="10"/>
      <c r="D2268" s="12"/>
      <c r="E2268" s="10"/>
      <c r="F2268" s="10"/>
      <c r="G2268" s="10"/>
    </row>
    <row r="2269" spans="1:7" x14ac:dyDescent="0.25">
      <c r="A2269" s="10"/>
      <c r="B2269" s="10"/>
      <c r="C2269" s="10"/>
      <c r="D2269" s="12"/>
      <c r="E2269" s="10"/>
      <c r="F2269" s="10"/>
      <c r="G2269" s="10"/>
    </row>
    <row r="2270" spans="1:7" x14ac:dyDescent="0.25">
      <c r="A2270" s="10"/>
      <c r="B2270" s="10"/>
      <c r="C2270" s="10"/>
      <c r="D2270" s="12"/>
      <c r="E2270" s="10"/>
      <c r="F2270" s="10"/>
      <c r="G2270" s="10"/>
    </row>
    <row r="2271" spans="1:7" x14ac:dyDescent="0.25">
      <c r="A2271" s="10"/>
      <c r="B2271" s="10"/>
      <c r="C2271" s="10"/>
      <c r="D2271" s="12"/>
      <c r="E2271" s="10"/>
      <c r="F2271" s="10"/>
      <c r="G2271" s="10"/>
    </row>
    <row r="2272" spans="1:7" x14ac:dyDescent="0.25">
      <c r="A2272" s="10"/>
      <c r="B2272" s="10"/>
      <c r="C2272" s="10"/>
      <c r="D2272" s="12"/>
      <c r="E2272" s="10"/>
      <c r="F2272" s="10"/>
      <c r="G2272" s="10"/>
    </row>
    <row r="2273" spans="1:7" x14ac:dyDescent="0.25">
      <c r="A2273" s="10"/>
      <c r="B2273" s="10"/>
      <c r="C2273" s="10"/>
      <c r="D2273" s="12"/>
      <c r="E2273" s="10"/>
      <c r="F2273" s="10"/>
      <c r="G2273" s="10"/>
    </row>
    <row r="2274" spans="1:7" x14ac:dyDescent="0.25">
      <c r="A2274" s="10"/>
      <c r="B2274" s="10"/>
      <c r="C2274" s="10"/>
      <c r="D2274" s="12"/>
      <c r="E2274" s="10"/>
      <c r="F2274" s="10"/>
      <c r="G2274" s="10"/>
    </row>
    <row r="2275" spans="1:7" x14ac:dyDescent="0.25">
      <c r="A2275" s="10"/>
      <c r="B2275" s="10"/>
      <c r="C2275" s="10"/>
      <c r="D2275" s="12"/>
      <c r="E2275" s="10"/>
      <c r="F2275" s="10"/>
      <c r="G2275" s="10"/>
    </row>
    <row r="2276" spans="1:7" x14ac:dyDescent="0.25">
      <c r="A2276" s="10"/>
      <c r="B2276" s="10"/>
      <c r="C2276" s="10"/>
      <c r="D2276" s="12"/>
      <c r="E2276" s="10"/>
      <c r="F2276" s="10"/>
      <c r="G2276" s="10"/>
    </row>
    <row r="2277" spans="1:7" x14ac:dyDescent="0.25">
      <c r="A2277" s="10"/>
      <c r="B2277" s="10"/>
      <c r="C2277" s="10"/>
      <c r="D2277" s="12"/>
      <c r="E2277" s="10"/>
      <c r="F2277" s="10"/>
      <c r="G2277" s="10"/>
    </row>
    <row r="2278" spans="1:7" x14ac:dyDescent="0.25">
      <c r="A2278" s="10"/>
      <c r="B2278" s="10"/>
      <c r="C2278" s="10"/>
      <c r="D2278" s="12"/>
      <c r="E2278" s="10"/>
      <c r="F2278" s="10"/>
      <c r="G2278" s="10"/>
    </row>
    <row r="2279" spans="1:7" x14ac:dyDescent="0.25">
      <c r="A2279" s="10"/>
      <c r="B2279" s="10"/>
      <c r="C2279" s="10"/>
      <c r="D2279" s="12"/>
      <c r="E2279" s="10"/>
      <c r="F2279" s="10"/>
      <c r="G2279" s="10"/>
    </row>
    <row r="2280" spans="1:7" x14ac:dyDescent="0.25">
      <c r="A2280" s="10"/>
      <c r="B2280" s="10"/>
      <c r="C2280" s="10"/>
      <c r="D2280" s="12"/>
      <c r="E2280" s="10"/>
      <c r="F2280" s="10"/>
      <c r="G2280" s="10"/>
    </row>
    <row r="2281" spans="1:7" x14ac:dyDescent="0.25">
      <c r="A2281" s="10"/>
      <c r="B2281" s="10"/>
      <c r="C2281" s="10"/>
      <c r="D2281" s="12"/>
      <c r="E2281" s="10"/>
      <c r="F2281" s="10"/>
      <c r="G2281" s="10"/>
    </row>
    <row r="2282" spans="1:7" x14ac:dyDescent="0.25">
      <c r="A2282" s="10"/>
      <c r="B2282" s="10"/>
      <c r="C2282" s="10"/>
      <c r="D2282" s="12"/>
      <c r="E2282" s="10"/>
      <c r="F2282" s="10"/>
      <c r="G2282" s="10"/>
    </row>
    <row r="2283" spans="1:7" x14ac:dyDescent="0.25">
      <c r="A2283" s="10"/>
      <c r="B2283" s="10"/>
      <c r="C2283" s="10"/>
      <c r="D2283" s="12"/>
      <c r="E2283" s="10"/>
      <c r="F2283" s="10"/>
      <c r="G2283" s="10"/>
    </row>
    <row r="2284" spans="1:7" x14ac:dyDescent="0.25">
      <c r="A2284" s="10"/>
      <c r="B2284" s="10"/>
      <c r="C2284" s="10"/>
      <c r="D2284" s="12"/>
      <c r="E2284" s="10"/>
      <c r="F2284" s="10"/>
      <c r="G2284" s="10"/>
    </row>
    <row r="2285" spans="1:7" x14ac:dyDescent="0.25">
      <c r="A2285" s="10"/>
      <c r="B2285" s="10"/>
      <c r="C2285" s="10"/>
      <c r="D2285" s="12"/>
      <c r="E2285" s="10"/>
      <c r="F2285" s="10"/>
      <c r="G2285" s="10"/>
    </row>
    <row r="2286" spans="1:7" x14ac:dyDescent="0.25">
      <c r="A2286" s="10"/>
      <c r="B2286" s="10"/>
      <c r="C2286" s="10"/>
      <c r="D2286" s="12"/>
      <c r="E2286" s="10"/>
      <c r="F2286" s="10"/>
      <c r="G2286" s="10"/>
    </row>
    <row r="2287" spans="1:7" x14ac:dyDescent="0.25">
      <c r="A2287" s="10"/>
      <c r="B2287" s="10"/>
      <c r="C2287" s="10"/>
      <c r="D2287" s="12"/>
      <c r="E2287" s="10"/>
      <c r="F2287" s="10"/>
      <c r="G2287" s="10"/>
    </row>
    <row r="2288" spans="1:7" x14ac:dyDescent="0.25">
      <c r="A2288" s="10"/>
      <c r="B2288" s="10"/>
      <c r="C2288" s="10"/>
      <c r="D2288" s="12"/>
      <c r="E2288" s="10"/>
      <c r="F2288" s="10"/>
      <c r="G2288" s="10"/>
    </row>
    <row r="2289" spans="1:7" x14ac:dyDescent="0.25">
      <c r="A2289" s="10"/>
      <c r="B2289" s="10"/>
      <c r="C2289" s="10"/>
      <c r="D2289" s="12"/>
      <c r="E2289" s="10"/>
      <c r="F2289" s="10"/>
      <c r="G2289" s="10"/>
    </row>
    <row r="2290" spans="1:7" x14ac:dyDescent="0.25">
      <c r="A2290" s="10"/>
      <c r="B2290" s="10"/>
      <c r="C2290" s="10"/>
      <c r="D2290" s="12"/>
      <c r="E2290" s="10"/>
      <c r="F2290" s="10"/>
      <c r="G2290" s="10"/>
    </row>
    <row r="2291" spans="1:7" x14ac:dyDescent="0.25">
      <c r="A2291" s="10"/>
      <c r="B2291" s="10"/>
      <c r="C2291" s="10"/>
      <c r="D2291" s="12"/>
      <c r="E2291" s="10"/>
      <c r="F2291" s="10"/>
      <c r="G2291" s="10"/>
    </row>
    <row r="2292" spans="1:7" x14ac:dyDescent="0.25">
      <c r="A2292" s="10"/>
      <c r="B2292" s="10"/>
      <c r="C2292" s="10"/>
      <c r="D2292" s="12"/>
      <c r="E2292" s="10"/>
      <c r="F2292" s="10"/>
      <c r="G2292" s="10"/>
    </row>
    <row r="2293" spans="1:7" x14ac:dyDescent="0.25">
      <c r="A2293" s="10"/>
      <c r="B2293" s="10"/>
      <c r="C2293" s="10"/>
      <c r="D2293" s="12"/>
      <c r="E2293" s="10"/>
      <c r="F2293" s="10"/>
      <c r="G2293" s="10"/>
    </row>
    <row r="2294" spans="1:7" x14ac:dyDescent="0.25">
      <c r="A2294" s="10"/>
      <c r="B2294" s="10"/>
      <c r="C2294" s="10"/>
      <c r="D2294" s="12"/>
      <c r="E2294" s="10"/>
      <c r="F2294" s="10"/>
      <c r="G2294" s="10"/>
    </row>
    <row r="2295" spans="1:7" x14ac:dyDescent="0.25">
      <c r="A2295" s="10"/>
      <c r="B2295" s="10"/>
      <c r="C2295" s="10"/>
      <c r="D2295" s="12"/>
      <c r="E2295" s="10"/>
      <c r="F2295" s="10"/>
      <c r="G2295" s="10"/>
    </row>
    <row r="2296" spans="1:7" x14ac:dyDescent="0.25">
      <c r="A2296" s="10"/>
      <c r="B2296" s="10"/>
      <c r="C2296" s="10"/>
      <c r="D2296" s="12"/>
      <c r="E2296" s="10"/>
      <c r="F2296" s="10"/>
      <c r="G2296" s="10"/>
    </row>
    <row r="2297" spans="1:7" x14ac:dyDescent="0.25">
      <c r="A2297" s="10"/>
      <c r="B2297" s="10"/>
      <c r="C2297" s="10"/>
      <c r="D2297" s="12"/>
      <c r="E2297" s="10"/>
      <c r="F2297" s="10"/>
      <c r="G2297" s="10"/>
    </row>
    <row r="2298" spans="1:7" x14ac:dyDescent="0.25">
      <c r="A2298" s="10"/>
      <c r="B2298" s="10"/>
      <c r="C2298" s="10"/>
      <c r="D2298" s="12"/>
      <c r="E2298" s="10"/>
      <c r="F2298" s="10"/>
      <c r="G2298" s="10"/>
    </row>
    <row r="2299" spans="1:7" x14ac:dyDescent="0.25">
      <c r="A2299" s="10"/>
      <c r="B2299" s="10"/>
      <c r="C2299" s="10"/>
      <c r="D2299" s="12"/>
      <c r="E2299" s="10"/>
      <c r="F2299" s="10"/>
      <c r="G2299" s="10"/>
    </row>
    <row r="2300" spans="1:7" x14ac:dyDescent="0.25">
      <c r="A2300" s="10"/>
      <c r="B2300" s="10"/>
      <c r="C2300" s="10"/>
      <c r="D2300" s="12"/>
      <c r="E2300" s="10"/>
      <c r="F2300" s="10"/>
      <c r="G2300" s="10"/>
    </row>
    <row r="2301" spans="1:7" x14ac:dyDescent="0.25">
      <c r="A2301" s="10"/>
      <c r="B2301" s="10"/>
      <c r="C2301" s="10"/>
      <c r="D2301" s="12"/>
      <c r="E2301" s="10"/>
      <c r="F2301" s="10"/>
      <c r="G2301" s="10"/>
    </row>
    <row r="2302" spans="1:7" x14ac:dyDescent="0.25">
      <c r="A2302" s="10"/>
      <c r="B2302" s="10"/>
      <c r="C2302" s="10"/>
      <c r="D2302" s="12"/>
      <c r="E2302" s="10"/>
      <c r="F2302" s="10"/>
      <c r="G2302" s="10"/>
    </row>
    <row r="2303" spans="1:7" x14ac:dyDescent="0.25">
      <c r="A2303" s="10"/>
      <c r="B2303" s="10"/>
      <c r="C2303" s="10"/>
      <c r="D2303" s="12"/>
      <c r="E2303" s="10"/>
      <c r="F2303" s="10"/>
      <c r="G2303" s="10"/>
    </row>
    <row r="2304" spans="1:7" x14ac:dyDescent="0.25">
      <c r="A2304" s="10"/>
      <c r="B2304" s="10"/>
      <c r="C2304" s="10"/>
      <c r="D2304" s="12"/>
      <c r="E2304" s="10"/>
      <c r="F2304" s="10"/>
      <c r="G2304" s="10"/>
    </row>
    <row r="2305" spans="1:7" x14ac:dyDescent="0.25">
      <c r="A2305" s="10"/>
      <c r="B2305" s="10"/>
      <c r="C2305" s="10"/>
      <c r="D2305" s="12"/>
      <c r="E2305" s="10"/>
      <c r="F2305" s="10"/>
      <c r="G2305" s="10"/>
    </row>
    <row r="2306" spans="1:7" x14ac:dyDescent="0.25">
      <c r="A2306" s="10"/>
      <c r="B2306" s="10"/>
      <c r="C2306" s="10"/>
      <c r="D2306" s="12"/>
      <c r="E2306" s="10"/>
      <c r="F2306" s="10"/>
      <c r="G2306" s="10"/>
    </row>
    <row r="2307" spans="1:7" x14ac:dyDescent="0.25">
      <c r="A2307" s="10"/>
      <c r="B2307" s="10"/>
      <c r="C2307" s="10"/>
      <c r="D2307" s="12"/>
      <c r="E2307" s="10"/>
      <c r="F2307" s="10"/>
      <c r="G2307" s="10"/>
    </row>
    <row r="2308" spans="1:7" x14ac:dyDescent="0.25">
      <c r="A2308" s="10"/>
      <c r="B2308" s="10"/>
      <c r="C2308" s="10"/>
      <c r="D2308" s="12"/>
      <c r="E2308" s="10"/>
      <c r="F2308" s="10"/>
      <c r="G2308" s="10"/>
    </row>
    <row r="2309" spans="1:7" x14ac:dyDescent="0.25">
      <c r="A2309" s="10"/>
      <c r="B2309" s="10"/>
      <c r="C2309" s="10"/>
      <c r="D2309" s="12"/>
      <c r="E2309" s="10"/>
      <c r="F2309" s="10"/>
      <c r="G2309" s="10"/>
    </row>
    <row r="2310" spans="1:7" x14ac:dyDescent="0.25">
      <c r="A2310" s="10"/>
      <c r="B2310" s="10"/>
      <c r="C2310" s="10"/>
      <c r="D2310" s="12"/>
      <c r="E2310" s="10"/>
      <c r="F2310" s="10"/>
      <c r="G2310" s="10"/>
    </row>
    <row r="2311" spans="1:7" x14ac:dyDescent="0.25">
      <c r="A2311" s="10"/>
      <c r="B2311" s="10"/>
      <c r="C2311" s="10"/>
      <c r="D2311" s="12"/>
      <c r="E2311" s="10"/>
      <c r="F2311" s="10"/>
      <c r="G2311" s="10"/>
    </row>
    <row r="2312" spans="1:7" x14ac:dyDescent="0.25">
      <c r="A2312" s="10"/>
      <c r="B2312" s="10"/>
      <c r="C2312" s="10"/>
      <c r="D2312" s="12"/>
      <c r="E2312" s="10"/>
      <c r="F2312" s="10"/>
      <c r="G2312" s="10"/>
    </row>
    <row r="2313" spans="1:7" x14ac:dyDescent="0.25">
      <c r="A2313" s="10"/>
      <c r="B2313" s="10"/>
      <c r="C2313" s="10"/>
      <c r="D2313" s="12"/>
      <c r="E2313" s="10"/>
      <c r="F2313" s="10"/>
      <c r="G2313" s="10"/>
    </row>
    <row r="2314" spans="1:7" x14ac:dyDescent="0.25">
      <c r="A2314" s="10"/>
      <c r="B2314" s="10"/>
      <c r="C2314" s="10"/>
      <c r="D2314" s="12"/>
      <c r="E2314" s="10"/>
      <c r="F2314" s="10"/>
      <c r="G2314" s="10"/>
    </row>
    <row r="2315" spans="1:7" x14ac:dyDescent="0.25">
      <c r="A2315" s="10"/>
      <c r="B2315" s="10"/>
      <c r="C2315" s="10"/>
      <c r="D2315" s="12"/>
      <c r="E2315" s="10"/>
      <c r="F2315" s="10"/>
      <c r="G2315" s="10"/>
    </row>
    <row r="2316" spans="1:7" x14ac:dyDescent="0.25">
      <c r="A2316" s="10"/>
      <c r="B2316" s="10"/>
      <c r="C2316" s="10"/>
      <c r="D2316" s="12"/>
      <c r="E2316" s="10"/>
      <c r="F2316" s="10"/>
      <c r="G2316" s="10"/>
    </row>
    <row r="2317" spans="1:7" x14ac:dyDescent="0.25">
      <c r="A2317" s="10"/>
      <c r="B2317" s="10"/>
      <c r="C2317" s="10"/>
      <c r="D2317" s="12"/>
      <c r="E2317" s="10"/>
      <c r="F2317" s="10"/>
      <c r="G2317" s="10"/>
    </row>
    <row r="2318" spans="1:7" x14ac:dyDescent="0.25">
      <c r="A2318" s="10"/>
      <c r="B2318" s="10"/>
      <c r="C2318" s="10"/>
      <c r="D2318" s="12"/>
      <c r="E2318" s="10"/>
      <c r="F2318" s="10"/>
      <c r="G2318" s="10"/>
    </row>
    <row r="2319" spans="1:7" x14ac:dyDescent="0.25">
      <c r="A2319" s="10"/>
      <c r="B2319" s="10"/>
      <c r="C2319" s="10"/>
      <c r="D2319" s="12"/>
      <c r="E2319" s="10"/>
      <c r="F2319" s="10"/>
      <c r="G2319" s="10"/>
    </row>
    <row r="2320" spans="1:7" x14ac:dyDescent="0.25">
      <c r="A2320" s="10"/>
      <c r="B2320" s="10"/>
      <c r="C2320" s="10"/>
      <c r="D2320" s="12"/>
      <c r="E2320" s="10"/>
      <c r="F2320" s="10"/>
      <c r="G2320" s="10"/>
    </row>
    <row r="2321" spans="1:7" x14ac:dyDescent="0.25">
      <c r="A2321" s="10"/>
      <c r="B2321" s="10"/>
      <c r="C2321" s="10"/>
      <c r="D2321" s="12"/>
      <c r="E2321" s="10"/>
      <c r="F2321" s="10"/>
      <c r="G2321" s="10"/>
    </row>
    <row r="2322" spans="1:7" x14ac:dyDescent="0.25">
      <c r="A2322" s="10"/>
      <c r="B2322" s="10"/>
      <c r="C2322" s="10"/>
      <c r="D2322" s="12"/>
      <c r="E2322" s="10"/>
      <c r="F2322" s="10"/>
      <c r="G2322" s="10"/>
    </row>
    <row r="2323" spans="1:7" x14ac:dyDescent="0.25">
      <c r="A2323" s="10"/>
      <c r="B2323" s="10"/>
      <c r="C2323" s="10"/>
      <c r="D2323" s="12"/>
      <c r="E2323" s="10"/>
      <c r="F2323" s="10"/>
      <c r="G2323" s="10"/>
    </row>
    <row r="2324" spans="1:7" x14ac:dyDescent="0.25">
      <c r="A2324" s="10"/>
      <c r="B2324" s="10"/>
      <c r="C2324" s="10"/>
      <c r="D2324" s="12"/>
      <c r="E2324" s="10"/>
      <c r="F2324" s="10"/>
      <c r="G2324" s="10"/>
    </row>
    <row r="2325" spans="1:7" x14ac:dyDescent="0.25">
      <c r="A2325" s="10"/>
      <c r="B2325" s="10"/>
      <c r="C2325" s="10"/>
      <c r="D2325" s="12"/>
      <c r="E2325" s="10"/>
      <c r="F2325" s="10"/>
      <c r="G2325" s="10"/>
    </row>
    <row r="2326" spans="1:7" x14ac:dyDescent="0.25">
      <c r="A2326" s="10"/>
      <c r="B2326" s="10"/>
      <c r="C2326" s="10"/>
      <c r="D2326" s="12"/>
      <c r="E2326" s="10"/>
      <c r="F2326" s="10"/>
      <c r="G2326" s="10"/>
    </row>
    <row r="2327" spans="1:7" x14ac:dyDescent="0.25">
      <c r="A2327" s="10"/>
      <c r="B2327" s="10"/>
      <c r="C2327" s="10"/>
      <c r="D2327" s="12"/>
      <c r="E2327" s="10"/>
      <c r="F2327" s="10"/>
      <c r="G2327" s="10"/>
    </row>
    <row r="2328" spans="1:7" x14ac:dyDescent="0.25">
      <c r="A2328" s="10"/>
      <c r="B2328" s="10"/>
      <c r="C2328" s="10"/>
      <c r="D2328" s="12"/>
      <c r="E2328" s="10"/>
      <c r="F2328" s="10"/>
      <c r="G2328" s="10"/>
    </row>
    <row r="2329" spans="1:7" x14ac:dyDescent="0.25">
      <c r="A2329" s="10"/>
      <c r="B2329" s="10"/>
      <c r="C2329" s="10"/>
      <c r="D2329" s="12"/>
      <c r="E2329" s="10"/>
      <c r="F2329" s="10"/>
      <c r="G2329" s="10"/>
    </row>
    <row r="2330" spans="1:7" x14ac:dyDescent="0.25">
      <c r="A2330" s="10"/>
      <c r="B2330" s="10"/>
      <c r="C2330" s="10"/>
      <c r="D2330" s="12"/>
      <c r="E2330" s="10"/>
      <c r="F2330" s="10"/>
      <c r="G2330" s="10"/>
    </row>
    <row r="2331" spans="1:7" x14ac:dyDescent="0.25">
      <c r="A2331" s="10"/>
      <c r="B2331" s="10"/>
      <c r="C2331" s="10"/>
      <c r="D2331" s="12"/>
      <c r="E2331" s="10"/>
      <c r="F2331" s="10"/>
      <c r="G2331" s="10"/>
    </row>
    <row r="2332" spans="1:7" x14ac:dyDescent="0.25">
      <c r="A2332" s="10"/>
      <c r="B2332" s="10"/>
      <c r="C2332" s="10"/>
      <c r="D2332" s="12"/>
      <c r="E2332" s="10"/>
      <c r="F2332" s="10"/>
      <c r="G2332" s="10"/>
    </row>
    <row r="2333" spans="1:7" x14ac:dyDescent="0.25">
      <c r="A2333" s="10"/>
      <c r="B2333" s="10"/>
      <c r="C2333" s="10"/>
      <c r="D2333" s="12"/>
      <c r="E2333" s="10"/>
      <c r="F2333" s="10"/>
      <c r="G2333" s="10"/>
    </row>
    <row r="2334" spans="1:7" x14ac:dyDescent="0.25">
      <c r="A2334" s="10"/>
      <c r="B2334" s="10"/>
      <c r="C2334" s="10"/>
      <c r="D2334" s="12"/>
      <c r="E2334" s="10"/>
      <c r="F2334" s="10"/>
      <c r="G2334" s="10"/>
    </row>
    <row r="2335" spans="1:7" x14ac:dyDescent="0.25">
      <c r="A2335" s="10"/>
      <c r="B2335" s="10"/>
      <c r="C2335" s="10"/>
      <c r="D2335" s="12"/>
      <c r="E2335" s="10"/>
      <c r="F2335" s="10"/>
      <c r="G2335" s="10"/>
    </row>
    <row r="2336" spans="1:7" x14ac:dyDescent="0.25">
      <c r="A2336" s="10"/>
      <c r="B2336" s="10"/>
      <c r="C2336" s="10"/>
      <c r="D2336" s="12"/>
      <c r="E2336" s="10"/>
      <c r="F2336" s="10"/>
      <c r="G2336" s="10"/>
    </row>
    <row r="2337" spans="1:7" x14ac:dyDescent="0.25">
      <c r="A2337" s="10"/>
      <c r="B2337" s="10"/>
      <c r="C2337" s="10"/>
      <c r="D2337" s="12"/>
      <c r="E2337" s="10"/>
      <c r="F2337" s="10"/>
      <c r="G2337" s="10"/>
    </row>
    <row r="2338" spans="1:7" x14ac:dyDescent="0.25">
      <c r="A2338" s="10"/>
      <c r="B2338" s="10"/>
      <c r="C2338" s="10"/>
      <c r="D2338" s="12"/>
      <c r="E2338" s="10"/>
      <c r="F2338" s="10"/>
      <c r="G2338" s="10"/>
    </row>
    <row r="2339" spans="1:7" x14ac:dyDescent="0.25">
      <c r="A2339" s="10"/>
      <c r="B2339" s="10"/>
      <c r="C2339" s="10"/>
      <c r="D2339" s="12"/>
      <c r="E2339" s="10"/>
      <c r="F2339" s="10"/>
      <c r="G2339" s="10"/>
    </row>
    <row r="2340" spans="1:7" x14ac:dyDescent="0.25">
      <c r="A2340" s="10"/>
      <c r="B2340" s="10"/>
      <c r="C2340" s="10"/>
      <c r="D2340" s="12"/>
      <c r="E2340" s="10"/>
      <c r="F2340" s="10"/>
      <c r="G2340" s="10"/>
    </row>
    <row r="2341" spans="1:7" x14ac:dyDescent="0.25">
      <c r="A2341" s="10"/>
      <c r="B2341" s="10"/>
      <c r="C2341" s="10"/>
      <c r="D2341" s="12"/>
      <c r="E2341" s="10"/>
      <c r="F2341" s="10"/>
      <c r="G2341" s="10"/>
    </row>
    <row r="2342" spans="1:7" x14ac:dyDescent="0.25">
      <c r="A2342" s="10"/>
      <c r="B2342" s="10"/>
      <c r="C2342" s="10"/>
      <c r="D2342" s="12"/>
      <c r="E2342" s="10"/>
      <c r="F2342" s="10"/>
      <c r="G2342" s="10"/>
    </row>
    <row r="2343" spans="1:7" x14ac:dyDescent="0.25">
      <c r="A2343" s="10"/>
      <c r="B2343" s="10"/>
      <c r="C2343" s="10"/>
      <c r="D2343" s="12"/>
      <c r="E2343" s="10"/>
      <c r="F2343" s="10"/>
      <c r="G2343" s="10"/>
    </row>
    <row r="2344" spans="1:7" x14ac:dyDescent="0.25">
      <c r="A2344" s="10"/>
      <c r="B2344" s="10"/>
      <c r="C2344" s="10"/>
      <c r="D2344" s="12"/>
      <c r="E2344" s="10"/>
      <c r="F2344" s="10"/>
      <c r="G2344" s="10"/>
    </row>
    <row r="2345" spans="1:7" x14ac:dyDescent="0.25">
      <c r="A2345" s="10"/>
      <c r="B2345" s="10"/>
      <c r="C2345" s="10"/>
      <c r="D2345" s="12"/>
      <c r="E2345" s="10"/>
      <c r="F2345" s="10"/>
      <c r="G2345" s="10"/>
    </row>
    <row r="2346" spans="1:7" x14ac:dyDescent="0.25">
      <c r="A2346" s="10"/>
      <c r="B2346" s="10"/>
      <c r="C2346" s="10"/>
      <c r="D2346" s="12"/>
      <c r="E2346" s="10"/>
      <c r="F2346" s="10"/>
      <c r="G2346" s="10"/>
    </row>
    <row r="2347" spans="1:7" x14ac:dyDescent="0.25">
      <c r="A2347" s="10"/>
      <c r="B2347" s="10"/>
      <c r="C2347" s="10"/>
      <c r="D2347" s="12"/>
      <c r="E2347" s="10"/>
      <c r="F2347" s="10"/>
      <c r="G2347" s="10"/>
    </row>
    <row r="2348" spans="1:7" x14ac:dyDescent="0.25">
      <c r="A2348" s="10"/>
      <c r="B2348" s="10"/>
      <c r="C2348" s="10"/>
      <c r="D2348" s="12"/>
      <c r="E2348" s="10"/>
      <c r="F2348" s="10"/>
      <c r="G2348" s="10"/>
    </row>
    <row r="2349" spans="1:7" x14ac:dyDescent="0.25">
      <c r="A2349" s="10"/>
      <c r="B2349" s="10"/>
      <c r="C2349" s="10"/>
      <c r="D2349" s="12"/>
      <c r="E2349" s="10"/>
      <c r="F2349" s="10"/>
      <c r="G2349" s="10"/>
    </row>
    <row r="2350" spans="1:7" x14ac:dyDescent="0.25">
      <c r="A2350" s="10"/>
      <c r="B2350" s="10"/>
      <c r="C2350" s="10"/>
      <c r="D2350" s="12"/>
      <c r="E2350" s="10"/>
      <c r="F2350" s="10"/>
      <c r="G2350" s="10"/>
    </row>
    <row r="2351" spans="1:7" x14ac:dyDescent="0.25">
      <c r="A2351" s="10"/>
      <c r="B2351" s="10"/>
      <c r="C2351" s="10"/>
      <c r="D2351" s="12"/>
      <c r="E2351" s="10"/>
      <c r="F2351" s="10"/>
      <c r="G2351" s="10"/>
    </row>
    <row r="2352" spans="1:7" x14ac:dyDescent="0.25">
      <c r="A2352" s="10"/>
      <c r="B2352" s="10"/>
      <c r="C2352" s="10"/>
      <c r="D2352" s="12"/>
      <c r="E2352" s="10"/>
      <c r="F2352" s="10"/>
      <c r="G2352" s="10"/>
    </row>
    <row r="2353" spans="1:7" x14ac:dyDescent="0.25">
      <c r="A2353" s="10"/>
      <c r="B2353" s="10"/>
      <c r="C2353" s="10"/>
      <c r="D2353" s="12"/>
      <c r="E2353" s="10"/>
      <c r="F2353" s="10"/>
      <c r="G2353" s="10"/>
    </row>
    <row r="2354" spans="1:7" x14ac:dyDescent="0.25">
      <c r="A2354" s="10"/>
      <c r="B2354" s="10"/>
      <c r="C2354" s="10"/>
      <c r="D2354" s="12"/>
      <c r="E2354" s="10"/>
      <c r="F2354" s="10"/>
      <c r="G2354" s="10"/>
    </row>
    <row r="2355" spans="1:7" x14ac:dyDescent="0.25">
      <c r="A2355" s="10"/>
      <c r="B2355" s="10"/>
      <c r="C2355" s="10"/>
      <c r="D2355" s="12"/>
      <c r="E2355" s="10"/>
      <c r="F2355" s="10"/>
      <c r="G2355" s="10"/>
    </row>
    <row r="2356" spans="1:7" x14ac:dyDescent="0.25">
      <c r="A2356" s="10"/>
      <c r="B2356" s="10"/>
      <c r="C2356" s="10"/>
      <c r="D2356" s="12"/>
      <c r="E2356" s="10"/>
      <c r="F2356" s="10"/>
      <c r="G2356" s="10"/>
    </row>
    <row r="2357" spans="1:7" x14ac:dyDescent="0.25">
      <c r="A2357" s="10"/>
      <c r="B2357" s="10"/>
      <c r="C2357" s="10"/>
      <c r="D2357" s="12"/>
      <c r="E2357" s="10"/>
      <c r="F2357" s="10"/>
      <c r="G2357" s="10"/>
    </row>
    <row r="2358" spans="1:7" x14ac:dyDescent="0.25">
      <c r="A2358" s="10"/>
      <c r="B2358" s="10"/>
      <c r="C2358" s="10"/>
      <c r="D2358" s="12"/>
      <c r="E2358" s="10"/>
      <c r="F2358" s="10"/>
      <c r="G2358" s="10"/>
    </row>
    <row r="2359" spans="1:7" x14ac:dyDescent="0.25">
      <c r="A2359" s="10"/>
      <c r="B2359" s="10"/>
      <c r="C2359" s="10"/>
      <c r="D2359" s="12"/>
      <c r="E2359" s="10"/>
      <c r="F2359" s="10"/>
      <c r="G2359" s="10"/>
    </row>
    <row r="2360" spans="1:7" x14ac:dyDescent="0.25">
      <c r="A2360" s="10"/>
      <c r="B2360" s="10"/>
      <c r="C2360" s="10"/>
      <c r="D2360" s="12"/>
      <c r="E2360" s="10"/>
      <c r="F2360" s="10"/>
      <c r="G2360" s="10"/>
    </row>
    <row r="2361" spans="1:7" x14ac:dyDescent="0.25">
      <c r="A2361" s="10"/>
      <c r="B2361" s="10"/>
      <c r="C2361" s="10"/>
      <c r="D2361" s="12"/>
      <c r="E2361" s="10"/>
      <c r="F2361" s="10"/>
      <c r="G2361" s="10"/>
    </row>
    <row r="2362" spans="1:7" x14ac:dyDescent="0.25">
      <c r="A2362" s="10"/>
      <c r="B2362" s="10"/>
      <c r="C2362" s="10"/>
      <c r="D2362" s="12"/>
      <c r="E2362" s="10"/>
      <c r="F2362" s="10"/>
      <c r="G2362" s="10"/>
    </row>
    <row r="2363" spans="1:7" x14ac:dyDescent="0.25">
      <c r="A2363" s="10"/>
      <c r="B2363" s="10"/>
      <c r="C2363" s="10"/>
      <c r="D2363" s="12"/>
      <c r="E2363" s="10"/>
      <c r="F2363" s="10"/>
      <c r="G2363" s="10"/>
    </row>
    <row r="2364" spans="1:7" x14ac:dyDescent="0.25">
      <c r="A2364" s="10"/>
      <c r="B2364" s="10"/>
      <c r="C2364" s="10"/>
      <c r="D2364" s="12"/>
      <c r="E2364" s="10"/>
      <c r="F2364" s="10"/>
      <c r="G2364" s="10"/>
    </row>
    <row r="2365" spans="1:7" x14ac:dyDescent="0.25">
      <c r="A2365" s="10"/>
      <c r="B2365" s="10"/>
      <c r="C2365" s="10"/>
      <c r="D2365" s="12"/>
      <c r="E2365" s="10"/>
      <c r="F2365" s="10"/>
      <c r="G2365" s="10"/>
    </row>
    <row r="2366" spans="1:7" x14ac:dyDescent="0.25">
      <c r="A2366" s="10"/>
      <c r="B2366" s="10"/>
      <c r="C2366" s="10"/>
      <c r="D2366" s="12"/>
      <c r="E2366" s="10"/>
      <c r="F2366" s="10"/>
      <c r="G2366" s="10"/>
    </row>
    <row r="2367" spans="1:7" x14ac:dyDescent="0.25">
      <c r="A2367" s="10"/>
      <c r="B2367" s="10"/>
      <c r="C2367" s="10"/>
      <c r="D2367" s="12"/>
      <c r="E2367" s="10"/>
      <c r="F2367" s="10"/>
      <c r="G2367" s="10"/>
    </row>
    <row r="2368" spans="1:7" x14ac:dyDescent="0.25">
      <c r="A2368" s="10"/>
      <c r="B2368" s="10"/>
      <c r="C2368" s="10"/>
      <c r="D2368" s="12"/>
      <c r="E2368" s="10"/>
      <c r="F2368" s="10"/>
      <c r="G2368" s="10"/>
    </row>
    <row r="2369" spans="1:7" x14ac:dyDescent="0.25">
      <c r="A2369" s="10"/>
      <c r="B2369" s="10"/>
      <c r="C2369" s="10"/>
      <c r="D2369" s="12"/>
      <c r="E2369" s="10"/>
      <c r="F2369" s="10"/>
      <c r="G2369" s="10"/>
    </row>
    <row r="2370" spans="1:7" x14ac:dyDescent="0.25">
      <c r="A2370" s="10"/>
      <c r="B2370" s="10"/>
      <c r="C2370" s="10"/>
      <c r="D2370" s="12"/>
      <c r="E2370" s="10"/>
      <c r="F2370" s="10"/>
      <c r="G2370" s="10"/>
    </row>
    <row r="2371" spans="1:7" x14ac:dyDescent="0.25">
      <c r="A2371" s="10"/>
      <c r="B2371" s="10"/>
      <c r="C2371" s="10"/>
      <c r="D2371" s="12"/>
      <c r="E2371" s="10"/>
      <c r="F2371" s="10"/>
      <c r="G2371" s="10"/>
    </row>
    <row r="2372" spans="1:7" x14ac:dyDescent="0.25">
      <c r="A2372" s="10"/>
      <c r="B2372" s="10"/>
      <c r="C2372" s="10"/>
      <c r="D2372" s="12"/>
      <c r="E2372" s="10"/>
      <c r="F2372" s="10"/>
      <c r="G2372" s="10"/>
    </row>
    <row r="2373" spans="1:7" x14ac:dyDescent="0.25">
      <c r="A2373" s="10"/>
      <c r="B2373" s="10"/>
      <c r="C2373" s="10"/>
      <c r="D2373" s="12"/>
      <c r="E2373" s="10"/>
      <c r="F2373" s="10"/>
      <c r="G2373" s="10"/>
    </row>
    <row r="2374" spans="1:7" x14ac:dyDescent="0.25">
      <c r="A2374" s="10"/>
      <c r="B2374" s="10"/>
      <c r="C2374" s="10"/>
      <c r="D2374" s="12"/>
      <c r="E2374" s="10"/>
      <c r="F2374" s="10"/>
      <c r="G2374" s="10"/>
    </row>
    <row r="2375" spans="1:7" x14ac:dyDescent="0.25">
      <c r="A2375" s="10"/>
      <c r="B2375" s="10"/>
      <c r="C2375" s="10"/>
      <c r="D2375" s="12"/>
      <c r="E2375" s="10"/>
      <c r="F2375" s="10"/>
      <c r="G2375" s="10"/>
    </row>
    <row r="2376" spans="1:7" x14ac:dyDescent="0.25">
      <c r="A2376" s="10"/>
      <c r="B2376" s="10"/>
      <c r="C2376" s="10"/>
      <c r="D2376" s="12"/>
      <c r="E2376" s="10"/>
      <c r="F2376" s="10"/>
      <c r="G2376" s="10"/>
    </row>
    <row r="2377" spans="1:7" x14ac:dyDescent="0.25">
      <c r="A2377" s="10"/>
      <c r="B2377" s="10"/>
      <c r="C2377" s="10"/>
      <c r="D2377" s="12"/>
      <c r="E2377" s="10"/>
      <c r="F2377" s="10"/>
      <c r="G2377" s="10"/>
    </row>
    <row r="2378" spans="1:7" x14ac:dyDescent="0.25">
      <c r="A2378" s="10"/>
      <c r="B2378" s="10"/>
      <c r="C2378" s="10"/>
      <c r="D2378" s="12"/>
      <c r="E2378" s="10"/>
      <c r="F2378" s="10"/>
      <c r="G2378" s="10"/>
    </row>
    <row r="2379" spans="1:7" x14ac:dyDescent="0.25">
      <c r="A2379" s="10"/>
      <c r="B2379" s="10"/>
      <c r="C2379" s="10"/>
      <c r="D2379" s="12"/>
      <c r="E2379" s="10"/>
      <c r="F2379" s="10"/>
      <c r="G2379" s="10"/>
    </row>
    <row r="2380" spans="1:7" x14ac:dyDescent="0.25">
      <c r="A2380" s="10"/>
      <c r="B2380" s="10"/>
      <c r="C2380" s="10"/>
      <c r="D2380" s="12"/>
      <c r="E2380" s="10"/>
      <c r="F2380" s="10"/>
      <c r="G2380" s="10"/>
    </row>
    <row r="2381" spans="1:7" x14ac:dyDescent="0.25">
      <c r="A2381" s="10"/>
      <c r="B2381" s="10"/>
      <c r="C2381" s="10"/>
      <c r="D2381" s="12"/>
      <c r="E2381" s="10"/>
      <c r="F2381" s="10"/>
      <c r="G2381" s="10"/>
    </row>
    <row r="2382" spans="1:7" x14ac:dyDescent="0.25">
      <c r="A2382" s="10"/>
      <c r="B2382" s="10"/>
      <c r="C2382" s="10"/>
      <c r="D2382" s="12"/>
      <c r="E2382" s="10"/>
      <c r="F2382" s="10"/>
      <c r="G2382" s="10"/>
    </row>
    <row r="2383" spans="1:7" x14ac:dyDescent="0.25">
      <c r="A2383" s="10"/>
      <c r="B2383" s="10"/>
      <c r="C2383" s="10"/>
      <c r="D2383" s="12"/>
      <c r="E2383" s="10"/>
      <c r="F2383" s="10"/>
      <c r="G2383" s="10"/>
    </row>
    <row r="2384" spans="1:7" x14ac:dyDescent="0.25">
      <c r="A2384" s="10"/>
      <c r="B2384" s="10"/>
      <c r="C2384" s="10"/>
      <c r="D2384" s="12"/>
      <c r="E2384" s="10"/>
      <c r="F2384" s="10"/>
      <c r="G2384" s="10"/>
    </row>
    <row r="2385" spans="1:7" x14ac:dyDescent="0.25">
      <c r="A2385" s="10"/>
      <c r="B2385" s="10"/>
      <c r="C2385" s="10"/>
      <c r="D2385" s="12"/>
      <c r="E2385" s="10"/>
      <c r="F2385" s="10"/>
      <c r="G2385" s="10"/>
    </row>
    <row r="2386" spans="1:7" x14ac:dyDescent="0.25">
      <c r="A2386" s="10"/>
      <c r="B2386" s="10"/>
      <c r="C2386" s="10"/>
      <c r="D2386" s="12"/>
      <c r="E2386" s="10"/>
      <c r="F2386" s="10"/>
      <c r="G2386" s="10"/>
    </row>
    <row r="2387" spans="1:7" x14ac:dyDescent="0.25">
      <c r="A2387" s="10"/>
      <c r="B2387" s="10"/>
      <c r="C2387" s="10"/>
      <c r="D2387" s="12"/>
      <c r="E2387" s="10"/>
      <c r="F2387" s="10"/>
      <c r="G2387" s="10"/>
    </row>
    <row r="2388" spans="1:7" x14ac:dyDescent="0.25">
      <c r="A2388" s="10"/>
      <c r="B2388" s="10"/>
      <c r="C2388" s="10"/>
      <c r="D2388" s="12"/>
      <c r="E2388" s="10"/>
      <c r="F2388" s="10"/>
      <c r="G2388" s="10"/>
    </row>
    <row r="2389" spans="1:7" x14ac:dyDescent="0.25">
      <c r="A2389" s="10"/>
      <c r="B2389" s="10"/>
      <c r="C2389" s="10"/>
      <c r="D2389" s="12"/>
      <c r="E2389" s="10"/>
      <c r="F2389" s="10"/>
      <c r="G2389" s="10"/>
    </row>
    <row r="2390" spans="1:7" x14ac:dyDescent="0.25">
      <c r="A2390" s="10"/>
      <c r="B2390" s="10"/>
      <c r="C2390" s="10"/>
      <c r="D2390" s="12"/>
      <c r="E2390" s="10"/>
      <c r="F2390" s="10"/>
      <c r="G2390" s="10"/>
    </row>
    <row r="2391" spans="1:7" x14ac:dyDescent="0.25">
      <c r="A2391" s="10"/>
      <c r="B2391" s="10"/>
      <c r="C2391" s="10"/>
      <c r="D2391" s="12"/>
      <c r="E2391" s="10"/>
      <c r="F2391" s="10"/>
      <c r="G2391" s="10"/>
    </row>
    <row r="2392" spans="1:7" x14ac:dyDescent="0.25">
      <c r="A2392" s="10"/>
      <c r="B2392" s="10"/>
      <c r="C2392" s="10"/>
      <c r="D2392" s="12"/>
      <c r="E2392" s="10"/>
      <c r="F2392" s="10"/>
      <c r="G2392" s="10"/>
    </row>
    <row r="2393" spans="1:7" x14ac:dyDescent="0.25">
      <c r="A2393" s="10"/>
      <c r="B2393" s="10"/>
      <c r="C2393" s="10"/>
      <c r="D2393" s="12"/>
      <c r="E2393" s="10"/>
      <c r="F2393" s="10"/>
      <c r="G2393" s="10"/>
    </row>
    <row r="2394" spans="1:7" x14ac:dyDescent="0.25">
      <c r="A2394" s="10"/>
      <c r="B2394" s="10"/>
      <c r="C2394" s="10"/>
      <c r="D2394" s="12"/>
      <c r="E2394" s="10"/>
      <c r="F2394" s="10"/>
      <c r="G2394" s="10"/>
    </row>
    <row r="2395" spans="1:7" x14ac:dyDescent="0.25">
      <c r="A2395" s="10"/>
      <c r="B2395" s="10"/>
      <c r="C2395" s="10"/>
      <c r="D2395" s="12"/>
      <c r="E2395" s="10"/>
      <c r="F2395" s="10"/>
      <c r="G2395" s="10"/>
    </row>
    <row r="2396" spans="1:7" x14ac:dyDescent="0.25">
      <c r="A2396" s="10"/>
      <c r="B2396" s="10"/>
      <c r="C2396" s="10"/>
      <c r="D2396" s="12"/>
      <c r="E2396" s="10"/>
      <c r="F2396" s="10"/>
      <c r="G2396" s="10"/>
    </row>
    <row r="2397" spans="1:7" x14ac:dyDescent="0.25">
      <c r="A2397" s="10"/>
      <c r="B2397" s="10"/>
      <c r="C2397" s="10"/>
      <c r="D2397" s="12"/>
      <c r="E2397" s="10"/>
      <c r="F2397" s="10"/>
      <c r="G2397" s="10"/>
    </row>
    <row r="2398" spans="1:7" x14ac:dyDescent="0.25">
      <c r="A2398" s="10"/>
      <c r="B2398" s="10"/>
      <c r="C2398" s="10"/>
      <c r="D2398" s="12"/>
      <c r="E2398" s="10"/>
      <c r="F2398" s="10"/>
      <c r="G2398" s="10"/>
    </row>
    <row r="2399" spans="1:7" x14ac:dyDescent="0.25">
      <c r="A2399" s="10"/>
      <c r="B2399" s="10"/>
      <c r="C2399" s="10"/>
      <c r="D2399" s="12"/>
      <c r="E2399" s="10"/>
      <c r="F2399" s="10"/>
      <c r="G2399" s="10"/>
    </row>
    <row r="2400" spans="1:7" x14ac:dyDescent="0.25">
      <c r="A2400" s="10"/>
      <c r="B2400" s="10"/>
      <c r="C2400" s="10"/>
      <c r="D2400" s="12"/>
      <c r="E2400" s="10"/>
      <c r="F2400" s="10"/>
      <c r="G2400" s="10"/>
    </row>
    <row r="2401" spans="1:7" x14ac:dyDescent="0.25">
      <c r="A2401" s="10"/>
      <c r="B2401" s="10"/>
      <c r="C2401" s="10"/>
      <c r="D2401" s="12"/>
      <c r="E2401" s="10"/>
      <c r="F2401" s="10"/>
      <c r="G2401" s="10"/>
    </row>
    <row r="2402" spans="1:7" x14ac:dyDescent="0.25">
      <c r="A2402" s="10"/>
      <c r="B2402" s="10"/>
      <c r="C2402" s="10"/>
      <c r="D2402" s="12"/>
      <c r="E2402" s="10"/>
      <c r="F2402" s="10"/>
      <c r="G2402" s="10"/>
    </row>
    <row r="2403" spans="1:7" x14ac:dyDescent="0.25">
      <c r="A2403" s="10"/>
      <c r="B2403" s="10"/>
      <c r="C2403" s="10"/>
      <c r="D2403" s="12"/>
      <c r="E2403" s="10"/>
      <c r="F2403" s="10"/>
      <c r="G2403" s="10"/>
    </row>
    <row r="2404" spans="1:7" x14ac:dyDescent="0.25">
      <c r="A2404" s="10"/>
      <c r="B2404" s="10"/>
      <c r="C2404" s="10"/>
      <c r="D2404" s="12"/>
      <c r="E2404" s="10"/>
      <c r="F2404" s="10"/>
      <c r="G2404" s="10"/>
    </row>
    <row r="2405" spans="1:7" x14ac:dyDescent="0.25">
      <c r="A2405" s="10"/>
      <c r="B2405" s="10"/>
      <c r="C2405" s="10"/>
      <c r="D2405" s="12"/>
      <c r="E2405" s="10"/>
      <c r="F2405" s="10"/>
      <c r="G2405" s="10"/>
    </row>
    <row r="2406" spans="1:7" x14ac:dyDescent="0.25">
      <c r="A2406" s="10"/>
      <c r="B2406" s="10"/>
      <c r="C2406" s="10"/>
      <c r="D2406" s="12"/>
      <c r="E2406" s="10"/>
      <c r="F2406" s="10"/>
      <c r="G2406" s="10"/>
    </row>
    <row r="2407" spans="1:7" x14ac:dyDescent="0.25">
      <c r="A2407" s="10"/>
      <c r="B2407" s="10"/>
      <c r="C2407" s="10"/>
      <c r="D2407" s="12"/>
      <c r="E2407" s="10"/>
      <c r="F2407" s="10"/>
      <c r="G2407" s="10"/>
    </row>
    <row r="2408" spans="1:7" x14ac:dyDescent="0.25">
      <c r="A2408" s="10"/>
      <c r="B2408" s="10"/>
      <c r="C2408" s="10"/>
      <c r="D2408" s="12"/>
      <c r="E2408" s="10"/>
      <c r="F2408" s="10"/>
      <c r="G2408" s="10"/>
    </row>
    <row r="2409" spans="1:7" x14ac:dyDescent="0.25">
      <c r="A2409" s="10"/>
      <c r="B2409" s="10"/>
      <c r="C2409" s="10"/>
      <c r="D2409" s="12"/>
      <c r="E2409" s="10"/>
      <c r="F2409" s="10"/>
      <c r="G2409" s="10"/>
    </row>
    <row r="2410" spans="1:7" x14ac:dyDescent="0.25">
      <c r="A2410" s="10"/>
      <c r="B2410" s="10"/>
      <c r="C2410" s="10"/>
      <c r="D2410" s="12"/>
      <c r="E2410" s="10"/>
      <c r="F2410" s="10"/>
      <c r="G2410" s="10"/>
    </row>
    <row r="2411" spans="1:7" x14ac:dyDescent="0.25">
      <c r="A2411" s="10"/>
      <c r="B2411" s="10"/>
      <c r="C2411" s="10"/>
      <c r="D2411" s="12"/>
      <c r="E2411" s="10"/>
      <c r="F2411" s="10"/>
      <c r="G2411" s="10"/>
    </row>
    <row r="2412" spans="1:7" x14ac:dyDescent="0.25">
      <c r="A2412" s="10"/>
      <c r="B2412" s="10"/>
      <c r="C2412" s="10"/>
      <c r="D2412" s="12"/>
      <c r="E2412" s="10"/>
      <c r="F2412" s="10"/>
      <c r="G2412" s="10"/>
    </row>
    <row r="2413" spans="1:7" x14ac:dyDescent="0.25">
      <c r="A2413" s="10"/>
      <c r="B2413" s="10"/>
      <c r="C2413" s="10"/>
      <c r="D2413" s="12"/>
      <c r="E2413" s="10"/>
      <c r="F2413" s="10"/>
      <c r="G2413" s="10"/>
    </row>
    <row r="2414" spans="1:7" x14ac:dyDescent="0.25">
      <c r="A2414" s="10"/>
      <c r="B2414" s="10"/>
      <c r="C2414" s="10"/>
      <c r="D2414" s="12"/>
      <c r="E2414" s="10"/>
      <c r="F2414" s="10"/>
      <c r="G2414" s="10"/>
    </row>
    <row r="2415" spans="1:7" x14ac:dyDescent="0.25">
      <c r="A2415" s="10"/>
      <c r="B2415" s="10"/>
      <c r="C2415" s="10"/>
      <c r="D2415" s="12"/>
      <c r="E2415" s="10"/>
      <c r="F2415" s="10"/>
      <c r="G2415" s="10"/>
    </row>
    <row r="2416" spans="1:7" x14ac:dyDescent="0.25">
      <c r="A2416" s="10"/>
      <c r="B2416" s="10"/>
      <c r="C2416" s="10"/>
      <c r="D2416" s="12"/>
      <c r="E2416" s="10"/>
      <c r="F2416" s="10"/>
      <c r="G2416" s="10"/>
    </row>
    <row r="2417" spans="1:7" x14ac:dyDescent="0.25">
      <c r="A2417" s="10"/>
      <c r="B2417" s="10"/>
      <c r="C2417" s="10"/>
      <c r="D2417" s="12"/>
      <c r="E2417" s="10"/>
      <c r="F2417" s="10"/>
      <c r="G2417" s="10"/>
    </row>
    <row r="2418" spans="1:7" x14ac:dyDescent="0.25">
      <c r="A2418" s="10"/>
      <c r="B2418" s="10"/>
      <c r="C2418" s="10"/>
      <c r="D2418" s="12"/>
      <c r="E2418" s="10"/>
      <c r="F2418" s="10"/>
      <c r="G2418" s="10"/>
    </row>
    <row r="2419" spans="1:7" x14ac:dyDescent="0.25">
      <c r="A2419" s="10"/>
      <c r="B2419" s="10"/>
      <c r="C2419" s="10"/>
      <c r="D2419" s="12"/>
      <c r="E2419" s="10"/>
      <c r="F2419" s="10"/>
      <c r="G2419" s="10"/>
    </row>
    <row r="2420" spans="1:7" x14ac:dyDescent="0.25">
      <c r="A2420" s="10"/>
      <c r="B2420" s="10"/>
      <c r="C2420" s="10"/>
      <c r="D2420" s="12"/>
      <c r="E2420" s="10"/>
      <c r="F2420" s="10"/>
      <c r="G2420" s="10"/>
    </row>
    <row r="2421" spans="1:7" x14ac:dyDescent="0.25">
      <c r="A2421" s="10"/>
      <c r="B2421" s="10"/>
      <c r="C2421" s="10"/>
      <c r="D2421" s="12"/>
      <c r="E2421" s="10"/>
      <c r="F2421" s="10"/>
      <c r="G2421" s="10"/>
    </row>
    <row r="2422" spans="1:7" x14ac:dyDescent="0.25">
      <c r="A2422" s="10"/>
      <c r="B2422" s="10"/>
      <c r="C2422" s="10"/>
      <c r="D2422" s="12"/>
      <c r="E2422" s="10"/>
      <c r="F2422" s="10"/>
      <c r="G2422" s="10"/>
    </row>
    <row r="2423" spans="1:7" x14ac:dyDescent="0.25">
      <c r="A2423" s="10"/>
      <c r="B2423" s="10"/>
      <c r="C2423" s="10"/>
      <c r="D2423" s="12"/>
      <c r="E2423" s="10"/>
      <c r="F2423" s="10"/>
      <c r="G2423" s="10"/>
    </row>
    <row r="2424" spans="1:7" x14ac:dyDescent="0.25">
      <c r="A2424" s="10"/>
      <c r="B2424" s="10"/>
      <c r="C2424" s="10"/>
      <c r="D2424" s="12"/>
      <c r="E2424" s="10"/>
      <c r="F2424" s="10"/>
      <c r="G2424" s="10"/>
    </row>
    <row r="2425" spans="1:7" x14ac:dyDescent="0.25">
      <c r="A2425" s="10"/>
      <c r="B2425" s="10"/>
      <c r="C2425" s="10"/>
      <c r="D2425" s="12"/>
      <c r="E2425" s="10"/>
      <c r="F2425" s="10"/>
      <c r="G2425" s="10"/>
    </row>
    <row r="2426" spans="1:7" x14ac:dyDescent="0.25">
      <c r="A2426" s="10"/>
      <c r="B2426" s="10"/>
      <c r="C2426" s="10"/>
      <c r="D2426" s="12"/>
      <c r="E2426" s="10"/>
      <c r="F2426" s="10"/>
      <c r="G2426" s="10"/>
    </row>
    <row r="2427" spans="1:7" x14ac:dyDescent="0.25">
      <c r="A2427" s="10"/>
      <c r="B2427" s="10"/>
      <c r="C2427" s="10"/>
      <c r="D2427" s="12"/>
      <c r="E2427" s="10"/>
      <c r="F2427" s="10"/>
      <c r="G2427" s="10"/>
    </row>
    <row r="2428" spans="1:7" x14ac:dyDescent="0.25">
      <c r="A2428" s="10"/>
      <c r="B2428" s="10"/>
      <c r="C2428" s="10"/>
      <c r="D2428" s="12"/>
      <c r="E2428" s="10"/>
      <c r="F2428" s="10"/>
      <c r="G2428" s="10"/>
    </row>
    <row r="2429" spans="1:7" x14ac:dyDescent="0.25">
      <c r="A2429" s="10"/>
      <c r="B2429" s="10"/>
      <c r="C2429" s="10"/>
      <c r="D2429" s="12"/>
      <c r="E2429" s="10"/>
      <c r="F2429" s="10"/>
      <c r="G2429" s="10"/>
    </row>
    <row r="2430" spans="1:7" x14ac:dyDescent="0.25">
      <c r="A2430" s="10"/>
      <c r="B2430" s="10"/>
      <c r="C2430" s="10"/>
      <c r="D2430" s="12"/>
      <c r="E2430" s="10"/>
      <c r="F2430" s="10"/>
      <c r="G2430" s="10"/>
    </row>
    <row r="2431" spans="1:7" x14ac:dyDescent="0.25">
      <c r="A2431" s="10"/>
      <c r="B2431" s="10"/>
      <c r="C2431" s="10"/>
      <c r="D2431" s="12"/>
      <c r="E2431" s="10"/>
      <c r="F2431" s="10"/>
      <c r="G2431" s="10"/>
    </row>
    <row r="2432" spans="1:7" x14ac:dyDescent="0.25">
      <c r="A2432" s="10"/>
      <c r="B2432" s="10"/>
      <c r="C2432" s="10"/>
      <c r="D2432" s="12"/>
      <c r="E2432" s="10"/>
      <c r="F2432" s="10"/>
      <c r="G2432" s="10"/>
    </row>
    <row r="2433" spans="1:7" x14ac:dyDescent="0.25">
      <c r="A2433" s="10"/>
      <c r="B2433" s="10"/>
      <c r="C2433" s="10"/>
      <c r="D2433" s="12"/>
      <c r="E2433" s="10"/>
      <c r="F2433" s="10"/>
      <c r="G2433" s="10"/>
    </row>
    <row r="2434" spans="1:7" x14ac:dyDescent="0.25">
      <c r="A2434" s="10"/>
      <c r="B2434" s="10"/>
      <c r="C2434" s="10"/>
      <c r="D2434" s="12"/>
      <c r="E2434" s="10"/>
      <c r="F2434" s="10"/>
      <c r="G2434" s="10"/>
    </row>
    <row r="2435" spans="1:7" x14ac:dyDescent="0.25">
      <c r="A2435" s="10"/>
      <c r="B2435" s="10"/>
      <c r="C2435" s="10"/>
      <c r="D2435" s="12"/>
      <c r="E2435" s="10"/>
      <c r="F2435" s="10"/>
      <c r="G2435" s="10"/>
    </row>
    <row r="2436" spans="1:7" x14ac:dyDescent="0.25">
      <c r="A2436" s="10"/>
      <c r="B2436" s="10"/>
      <c r="C2436" s="10"/>
      <c r="D2436" s="12"/>
      <c r="E2436" s="10"/>
      <c r="F2436" s="10"/>
      <c r="G2436" s="10"/>
    </row>
    <row r="2437" spans="1:7" x14ac:dyDescent="0.25">
      <c r="A2437" s="10"/>
      <c r="B2437" s="10"/>
      <c r="C2437" s="10"/>
      <c r="D2437" s="12"/>
      <c r="E2437" s="10"/>
      <c r="F2437" s="10"/>
      <c r="G2437" s="10"/>
    </row>
    <row r="2438" spans="1:7" x14ac:dyDescent="0.25">
      <c r="A2438" s="10"/>
      <c r="B2438" s="10"/>
      <c r="C2438" s="10"/>
      <c r="D2438" s="12"/>
      <c r="E2438" s="10"/>
      <c r="F2438" s="10"/>
      <c r="G2438" s="10"/>
    </row>
    <row r="2439" spans="1:7" x14ac:dyDescent="0.25">
      <c r="A2439" s="10"/>
      <c r="B2439" s="10"/>
      <c r="C2439" s="10"/>
      <c r="D2439" s="12"/>
      <c r="E2439" s="10"/>
      <c r="F2439" s="10"/>
      <c r="G2439" s="10"/>
    </row>
    <row r="2440" spans="1:7" x14ac:dyDescent="0.25">
      <c r="A2440" s="10"/>
      <c r="B2440" s="10"/>
      <c r="C2440" s="10"/>
      <c r="D2440" s="12"/>
      <c r="E2440" s="10"/>
      <c r="F2440" s="10"/>
      <c r="G2440" s="10"/>
    </row>
    <row r="2441" spans="1:7" x14ac:dyDescent="0.25">
      <c r="A2441" s="10"/>
      <c r="B2441" s="10"/>
      <c r="C2441" s="10"/>
      <c r="D2441" s="12"/>
      <c r="E2441" s="10"/>
      <c r="F2441" s="10"/>
      <c r="G2441" s="10"/>
    </row>
    <row r="2442" spans="1:7" x14ac:dyDescent="0.25">
      <c r="A2442" s="10"/>
      <c r="B2442" s="10"/>
      <c r="C2442" s="10"/>
      <c r="D2442" s="12"/>
      <c r="E2442" s="10"/>
      <c r="F2442" s="10"/>
      <c r="G2442" s="10"/>
    </row>
    <row r="2443" spans="1:7" x14ac:dyDescent="0.25">
      <c r="A2443" s="10"/>
      <c r="B2443" s="10"/>
      <c r="C2443" s="10"/>
      <c r="D2443" s="12"/>
      <c r="E2443" s="10"/>
      <c r="F2443" s="10"/>
      <c r="G2443" s="10"/>
    </row>
    <row r="2444" spans="1:7" x14ac:dyDescent="0.25">
      <c r="A2444" s="10"/>
      <c r="B2444" s="10"/>
      <c r="C2444" s="10"/>
      <c r="D2444" s="12"/>
      <c r="E2444" s="10"/>
      <c r="F2444" s="10"/>
      <c r="G2444" s="10"/>
    </row>
    <row r="2445" spans="1:7" x14ac:dyDescent="0.25">
      <c r="A2445" s="10"/>
      <c r="B2445" s="10"/>
      <c r="C2445" s="10"/>
      <c r="D2445" s="12"/>
      <c r="E2445" s="10"/>
      <c r="F2445" s="10"/>
      <c r="G2445" s="10"/>
    </row>
    <row r="2446" spans="1:7" x14ac:dyDescent="0.25">
      <c r="A2446" s="10"/>
      <c r="B2446" s="10"/>
      <c r="C2446" s="10"/>
      <c r="D2446" s="12"/>
      <c r="E2446" s="10"/>
      <c r="F2446" s="10"/>
      <c r="G2446" s="10"/>
    </row>
    <row r="2447" spans="1:7" x14ac:dyDescent="0.25">
      <c r="A2447" s="10"/>
      <c r="B2447" s="10"/>
      <c r="C2447" s="10"/>
      <c r="D2447" s="12"/>
      <c r="E2447" s="10"/>
      <c r="F2447" s="10"/>
      <c r="G2447" s="10"/>
    </row>
    <row r="2448" spans="1:7" x14ac:dyDescent="0.25">
      <c r="A2448" s="10"/>
      <c r="B2448" s="10"/>
      <c r="C2448" s="10"/>
      <c r="D2448" s="12"/>
      <c r="E2448" s="10"/>
      <c r="F2448" s="10"/>
      <c r="G2448" s="10"/>
    </row>
    <row r="2449" spans="1:7" x14ac:dyDescent="0.25">
      <c r="A2449" s="10"/>
      <c r="B2449" s="10"/>
      <c r="C2449" s="10"/>
      <c r="D2449" s="12"/>
      <c r="E2449" s="10"/>
      <c r="F2449" s="10"/>
      <c r="G2449" s="10"/>
    </row>
    <row r="2450" spans="1:7" x14ac:dyDescent="0.25">
      <c r="A2450" s="10"/>
      <c r="B2450" s="10"/>
      <c r="C2450" s="10"/>
      <c r="D2450" s="12"/>
      <c r="E2450" s="10"/>
      <c r="F2450" s="10"/>
      <c r="G2450" s="10"/>
    </row>
    <row r="2451" spans="1:7" x14ac:dyDescent="0.25">
      <c r="A2451" s="10"/>
      <c r="B2451" s="10"/>
      <c r="C2451" s="10"/>
      <c r="D2451" s="12"/>
      <c r="E2451" s="10"/>
      <c r="F2451" s="10"/>
      <c r="G2451" s="10"/>
    </row>
    <row r="2452" spans="1:7" x14ac:dyDescent="0.25">
      <c r="A2452" s="10"/>
      <c r="B2452" s="10"/>
      <c r="C2452" s="10"/>
      <c r="D2452" s="12"/>
      <c r="E2452" s="10"/>
      <c r="F2452" s="10"/>
      <c r="G2452" s="10"/>
    </row>
    <row r="2453" spans="1:7" x14ac:dyDescent="0.25">
      <c r="A2453" s="10"/>
      <c r="B2453" s="10"/>
      <c r="C2453" s="10"/>
      <c r="D2453" s="12"/>
      <c r="E2453" s="10"/>
      <c r="F2453" s="10"/>
      <c r="G2453" s="10"/>
    </row>
    <row r="2454" spans="1:7" x14ac:dyDescent="0.25">
      <c r="A2454" s="10"/>
      <c r="B2454" s="10"/>
      <c r="C2454" s="10"/>
      <c r="D2454" s="12"/>
      <c r="E2454" s="10"/>
      <c r="F2454" s="10"/>
      <c r="G2454" s="10"/>
    </row>
    <row r="2455" spans="1:7" x14ac:dyDescent="0.25">
      <c r="A2455" s="10"/>
      <c r="B2455" s="10"/>
      <c r="C2455" s="10"/>
      <c r="D2455" s="12"/>
      <c r="E2455" s="10"/>
      <c r="F2455" s="10"/>
      <c r="G2455" s="10"/>
    </row>
    <row r="2456" spans="1:7" x14ac:dyDescent="0.25">
      <c r="A2456" s="10"/>
      <c r="B2456" s="10"/>
      <c r="C2456" s="10"/>
      <c r="D2456" s="12"/>
      <c r="E2456" s="10"/>
      <c r="F2456" s="10"/>
      <c r="G2456" s="10"/>
    </row>
    <row r="2457" spans="1:7" x14ac:dyDescent="0.25">
      <c r="A2457" s="10"/>
      <c r="B2457" s="10"/>
      <c r="C2457" s="10"/>
      <c r="D2457" s="12"/>
      <c r="E2457" s="10"/>
      <c r="F2457" s="10"/>
      <c r="G2457" s="10"/>
    </row>
    <row r="2458" spans="1:7" x14ac:dyDescent="0.25">
      <c r="A2458" s="10"/>
      <c r="B2458" s="10"/>
      <c r="C2458" s="10"/>
      <c r="D2458" s="12"/>
      <c r="E2458" s="10"/>
      <c r="F2458" s="10"/>
      <c r="G2458" s="10"/>
    </row>
    <row r="2459" spans="1:7" x14ac:dyDescent="0.25">
      <c r="A2459" s="10"/>
      <c r="B2459" s="10"/>
      <c r="C2459" s="10"/>
      <c r="D2459" s="12"/>
      <c r="E2459" s="10"/>
      <c r="F2459" s="10"/>
      <c r="G2459" s="10"/>
    </row>
    <row r="2460" spans="1:7" x14ac:dyDescent="0.25">
      <c r="A2460" s="10"/>
      <c r="B2460" s="10"/>
      <c r="C2460" s="10"/>
      <c r="D2460" s="12"/>
      <c r="E2460" s="10"/>
      <c r="F2460" s="10"/>
      <c r="G2460" s="10"/>
    </row>
    <row r="2461" spans="1:7" x14ac:dyDescent="0.25">
      <c r="A2461" s="10"/>
      <c r="B2461" s="10"/>
      <c r="C2461" s="10"/>
      <c r="D2461" s="12"/>
      <c r="E2461" s="10"/>
      <c r="F2461" s="10"/>
      <c r="G2461" s="10"/>
    </row>
    <row r="2462" spans="1:7" x14ac:dyDescent="0.25">
      <c r="A2462" s="10"/>
      <c r="B2462" s="10"/>
      <c r="C2462" s="10"/>
      <c r="D2462" s="12"/>
      <c r="E2462" s="10"/>
      <c r="F2462" s="10"/>
      <c r="G2462" s="10"/>
    </row>
    <row r="2463" spans="1:7" x14ac:dyDescent="0.25">
      <c r="A2463" s="10"/>
      <c r="B2463" s="10"/>
      <c r="C2463" s="10"/>
      <c r="D2463" s="12"/>
      <c r="E2463" s="10"/>
      <c r="F2463" s="10"/>
      <c r="G2463" s="10"/>
    </row>
    <row r="2464" spans="1:7" x14ac:dyDescent="0.25">
      <c r="A2464" s="10"/>
      <c r="B2464" s="10"/>
      <c r="C2464" s="10"/>
      <c r="D2464" s="12"/>
      <c r="E2464" s="10"/>
      <c r="F2464" s="10"/>
      <c r="G2464" s="10"/>
    </row>
    <row r="2465" spans="1:7" x14ac:dyDescent="0.25">
      <c r="A2465" s="10"/>
      <c r="B2465" s="10"/>
      <c r="C2465" s="10"/>
      <c r="D2465" s="12"/>
      <c r="E2465" s="10"/>
      <c r="F2465" s="10"/>
      <c r="G2465" s="10"/>
    </row>
    <row r="2466" spans="1:7" x14ac:dyDescent="0.25">
      <c r="A2466" s="10"/>
      <c r="B2466" s="10"/>
      <c r="C2466" s="10"/>
      <c r="D2466" s="12"/>
      <c r="E2466" s="10"/>
      <c r="F2466" s="10"/>
      <c r="G2466" s="10"/>
    </row>
    <row r="2467" spans="1:7" x14ac:dyDescent="0.25">
      <c r="A2467" s="10"/>
      <c r="B2467" s="10"/>
      <c r="C2467" s="10"/>
      <c r="D2467" s="12"/>
      <c r="E2467" s="10"/>
      <c r="F2467" s="10"/>
      <c r="G2467" s="10"/>
    </row>
    <row r="2468" spans="1:7" x14ac:dyDescent="0.25">
      <c r="A2468" s="10"/>
      <c r="B2468" s="10"/>
      <c r="C2468" s="10"/>
      <c r="D2468" s="12"/>
      <c r="E2468" s="10"/>
      <c r="F2468" s="10"/>
      <c r="G2468" s="10"/>
    </row>
    <row r="2469" spans="1:7" x14ac:dyDescent="0.25">
      <c r="A2469" s="10"/>
      <c r="B2469" s="10"/>
      <c r="C2469" s="10"/>
      <c r="D2469" s="12"/>
      <c r="E2469" s="10"/>
      <c r="F2469" s="10"/>
      <c r="G2469" s="10"/>
    </row>
    <row r="2470" spans="1:7" x14ac:dyDescent="0.25">
      <c r="A2470" s="10"/>
      <c r="B2470" s="10"/>
      <c r="C2470" s="10"/>
      <c r="D2470" s="12"/>
      <c r="E2470" s="10"/>
      <c r="F2470" s="10"/>
      <c r="G2470" s="10"/>
    </row>
    <row r="2471" spans="1:7" x14ac:dyDescent="0.25">
      <c r="A2471" s="10"/>
      <c r="B2471" s="10"/>
      <c r="C2471" s="10"/>
      <c r="D2471" s="12"/>
      <c r="E2471" s="10"/>
      <c r="F2471" s="10"/>
      <c r="G2471" s="10"/>
    </row>
    <row r="2472" spans="1:7" x14ac:dyDescent="0.25">
      <c r="A2472" s="10"/>
      <c r="B2472" s="10"/>
      <c r="C2472" s="10"/>
      <c r="D2472" s="12"/>
      <c r="E2472" s="10"/>
      <c r="F2472" s="10"/>
      <c r="G2472" s="10"/>
    </row>
    <row r="2473" spans="1:7" x14ac:dyDescent="0.25">
      <c r="A2473" s="10"/>
      <c r="B2473" s="10"/>
      <c r="C2473" s="10"/>
      <c r="D2473" s="12"/>
      <c r="E2473" s="10"/>
      <c r="F2473" s="10"/>
      <c r="G2473" s="10"/>
    </row>
    <row r="2474" spans="1:7" x14ac:dyDescent="0.25">
      <c r="A2474" s="10"/>
      <c r="B2474" s="10"/>
      <c r="C2474" s="10"/>
      <c r="D2474" s="12"/>
      <c r="E2474" s="10"/>
      <c r="F2474" s="10"/>
      <c r="G2474" s="10"/>
    </row>
    <row r="2475" spans="1:7" x14ac:dyDescent="0.25">
      <c r="A2475" s="10"/>
      <c r="B2475" s="10"/>
      <c r="C2475" s="10"/>
      <c r="D2475" s="12"/>
      <c r="E2475" s="10"/>
      <c r="F2475" s="10"/>
      <c r="G2475" s="10"/>
    </row>
    <row r="2476" spans="1:7" x14ac:dyDescent="0.25">
      <c r="A2476" s="10"/>
      <c r="B2476" s="10"/>
      <c r="C2476" s="10"/>
      <c r="D2476" s="12"/>
      <c r="E2476" s="10"/>
      <c r="F2476" s="10"/>
      <c r="G2476" s="10"/>
    </row>
    <row r="2477" spans="1:7" x14ac:dyDescent="0.25">
      <c r="A2477" s="10"/>
      <c r="B2477" s="10"/>
      <c r="C2477" s="10"/>
      <c r="D2477" s="12"/>
      <c r="E2477" s="10"/>
      <c r="F2477" s="10"/>
      <c r="G2477" s="10"/>
    </row>
    <row r="2478" spans="1:7" x14ac:dyDescent="0.25">
      <c r="A2478" s="10"/>
      <c r="B2478" s="10"/>
      <c r="C2478" s="10"/>
      <c r="D2478" s="12"/>
      <c r="E2478" s="10"/>
      <c r="F2478" s="10"/>
      <c r="G2478" s="10"/>
    </row>
    <row r="2479" spans="1:7" x14ac:dyDescent="0.25">
      <c r="A2479" s="10"/>
      <c r="B2479" s="10"/>
      <c r="C2479" s="10"/>
      <c r="D2479" s="12"/>
      <c r="E2479" s="10"/>
      <c r="F2479" s="10"/>
      <c r="G2479" s="10"/>
    </row>
    <row r="2480" spans="1:7" x14ac:dyDescent="0.25">
      <c r="A2480" s="10"/>
      <c r="B2480" s="10"/>
      <c r="C2480" s="10"/>
      <c r="D2480" s="12"/>
      <c r="E2480" s="10"/>
      <c r="F2480" s="10"/>
      <c r="G2480" s="10"/>
    </row>
    <row r="2481" spans="1:7" x14ac:dyDescent="0.25">
      <c r="A2481" s="10"/>
      <c r="B2481" s="10"/>
      <c r="C2481" s="10"/>
      <c r="D2481" s="12"/>
      <c r="E2481" s="10"/>
      <c r="F2481" s="10"/>
      <c r="G2481" s="10"/>
    </row>
    <row r="2482" spans="1:7" x14ac:dyDescent="0.25">
      <c r="A2482" s="10"/>
      <c r="B2482" s="10"/>
      <c r="C2482" s="10"/>
      <c r="D2482" s="12"/>
      <c r="E2482" s="10"/>
      <c r="F2482" s="10"/>
      <c r="G2482" s="10"/>
    </row>
    <row r="2483" spans="1:7" x14ac:dyDescent="0.25">
      <c r="A2483" s="10"/>
      <c r="B2483" s="10"/>
      <c r="C2483" s="10"/>
      <c r="D2483" s="12"/>
      <c r="E2483" s="10"/>
      <c r="F2483" s="10"/>
      <c r="G2483" s="10"/>
    </row>
    <row r="2484" spans="1:7" x14ac:dyDescent="0.25">
      <c r="A2484" s="10"/>
      <c r="B2484" s="10"/>
      <c r="C2484" s="10"/>
      <c r="D2484" s="12"/>
      <c r="E2484" s="10"/>
      <c r="F2484" s="10"/>
      <c r="G2484" s="10"/>
    </row>
    <row r="2485" spans="1:7" x14ac:dyDescent="0.25">
      <c r="A2485" s="10"/>
      <c r="B2485" s="10"/>
      <c r="C2485" s="10"/>
      <c r="D2485" s="12"/>
      <c r="E2485" s="10"/>
      <c r="F2485" s="10"/>
      <c r="G2485" s="10"/>
    </row>
    <row r="2486" spans="1:7" x14ac:dyDescent="0.25">
      <c r="A2486" s="10"/>
      <c r="B2486" s="10"/>
      <c r="C2486" s="10"/>
      <c r="D2486" s="12"/>
      <c r="E2486" s="10"/>
      <c r="F2486" s="10"/>
      <c r="G2486" s="10"/>
    </row>
    <row r="2487" spans="1:7" x14ac:dyDescent="0.25">
      <c r="A2487" s="10"/>
      <c r="B2487" s="10"/>
      <c r="C2487" s="10"/>
      <c r="D2487" s="12"/>
      <c r="E2487" s="10"/>
      <c r="F2487" s="10"/>
      <c r="G2487" s="10"/>
    </row>
    <row r="2488" spans="1:7" x14ac:dyDescent="0.25">
      <c r="A2488" s="10"/>
      <c r="B2488" s="10"/>
      <c r="C2488" s="10"/>
      <c r="D2488" s="12"/>
      <c r="E2488" s="10"/>
      <c r="F2488" s="10"/>
      <c r="G2488" s="10"/>
    </row>
    <row r="2489" spans="1:7" x14ac:dyDescent="0.25">
      <c r="A2489" s="10"/>
      <c r="B2489" s="10"/>
      <c r="C2489" s="10"/>
      <c r="D2489" s="12"/>
      <c r="E2489" s="10"/>
      <c r="F2489" s="10"/>
      <c r="G2489" s="10"/>
    </row>
    <row r="2490" spans="1:7" x14ac:dyDescent="0.25">
      <c r="A2490" s="10"/>
      <c r="B2490" s="10"/>
      <c r="C2490" s="10"/>
      <c r="D2490" s="12"/>
      <c r="E2490" s="10"/>
      <c r="F2490" s="10"/>
      <c r="G2490" s="10"/>
    </row>
    <row r="2491" spans="1:7" x14ac:dyDescent="0.25">
      <c r="A2491" s="10"/>
      <c r="B2491" s="10"/>
      <c r="C2491" s="10"/>
      <c r="D2491" s="12"/>
      <c r="E2491" s="10"/>
      <c r="F2491" s="10"/>
      <c r="G2491" s="10"/>
    </row>
    <row r="2492" spans="1:7" x14ac:dyDescent="0.25">
      <c r="A2492" s="10"/>
      <c r="B2492" s="10"/>
      <c r="C2492" s="10"/>
      <c r="D2492" s="12"/>
      <c r="E2492" s="10"/>
      <c r="F2492" s="10"/>
      <c r="G2492" s="10"/>
    </row>
    <row r="2493" spans="1:7" x14ac:dyDescent="0.25">
      <c r="A2493" s="10"/>
      <c r="B2493" s="10"/>
      <c r="C2493" s="10"/>
      <c r="D2493" s="12"/>
      <c r="E2493" s="10"/>
      <c r="F2493" s="10"/>
      <c r="G2493" s="10"/>
    </row>
    <row r="2494" spans="1:7" x14ac:dyDescent="0.25">
      <c r="A2494" s="10"/>
      <c r="B2494" s="10"/>
      <c r="C2494" s="10"/>
      <c r="D2494" s="12"/>
      <c r="E2494" s="10"/>
      <c r="F2494" s="10"/>
      <c r="G2494" s="10"/>
    </row>
    <row r="2495" spans="1:7" x14ac:dyDescent="0.25">
      <c r="A2495" s="10"/>
      <c r="B2495" s="10"/>
      <c r="C2495" s="10"/>
      <c r="D2495" s="12"/>
      <c r="E2495" s="10"/>
      <c r="F2495" s="10"/>
      <c r="G2495" s="10"/>
    </row>
    <row r="2496" spans="1:7" x14ac:dyDescent="0.25">
      <c r="A2496" s="10"/>
      <c r="B2496" s="10"/>
      <c r="C2496" s="10"/>
      <c r="D2496" s="12"/>
      <c r="E2496" s="10"/>
      <c r="F2496" s="10"/>
      <c r="G2496" s="10"/>
    </row>
    <row r="2497" spans="1:7" x14ac:dyDescent="0.25">
      <c r="A2497" s="10"/>
      <c r="B2497" s="10"/>
      <c r="C2497" s="10"/>
      <c r="D2497" s="12"/>
      <c r="E2497" s="10"/>
      <c r="F2497" s="10"/>
      <c r="G2497" s="10"/>
    </row>
    <row r="2498" spans="1:7" x14ac:dyDescent="0.25">
      <c r="A2498" s="10"/>
      <c r="B2498" s="10"/>
      <c r="C2498" s="10"/>
      <c r="D2498" s="12"/>
      <c r="E2498" s="10"/>
      <c r="F2498" s="10"/>
      <c r="G2498" s="10"/>
    </row>
    <row r="2499" spans="1:7" x14ac:dyDescent="0.25">
      <c r="A2499" s="10"/>
      <c r="B2499" s="10"/>
      <c r="C2499" s="10"/>
      <c r="D2499" s="12"/>
      <c r="E2499" s="10"/>
      <c r="F2499" s="10"/>
      <c r="G2499" s="10"/>
    </row>
    <row r="2500" spans="1:7" x14ac:dyDescent="0.25">
      <c r="A2500" s="10"/>
      <c r="B2500" s="10"/>
      <c r="C2500" s="10"/>
      <c r="D2500" s="12"/>
      <c r="E2500" s="10"/>
      <c r="F2500" s="10"/>
      <c r="G2500" s="10"/>
    </row>
    <row r="2501" spans="1:7" x14ac:dyDescent="0.25">
      <c r="A2501" s="10"/>
      <c r="B2501" s="10"/>
      <c r="C2501" s="10"/>
      <c r="D2501" s="12"/>
      <c r="E2501" s="10"/>
      <c r="F2501" s="10"/>
      <c r="G2501" s="10"/>
    </row>
    <row r="2502" spans="1:7" x14ac:dyDescent="0.25">
      <c r="A2502" s="10"/>
      <c r="B2502" s="10"/>
      <c r="C2502" s="10"/>
      <c r="D2502" s="12"/>
      <c r="E2502" s="10"/>
      <c r="F2502" s="10"/>
      <c r="G2502" s="10"/>
    </row>
    <row r="2503" spans="1:7" x14ac:dyDescent="0.25">
      <c r="A2503" s="10"/>
      <c r="B2503" s="10"/>
      <c r="C2503" s="10"/>
      <c r="D2503" s="12"/>
      <c r="E2503" s="10"/>
      <c r="F2503" s="10"/>
      <c r="G2503" s="10"/>
    </row>
    <row r="2504" spans="1:7" x14ac:dyDescent="0.25">
      <c r="A2504" s="10"/>
      <c r="B2504" s="10"/>
      <c r="C2504" s="10"/>
      <c r="D2504" s="12"/>
      <c r="E2504" s="10"/>
      <c r="F2504" s="10"/>
      <c r="G2504" s="10"/>
    </row>
    <row r="2505" spans="1:7" x14ac:dyDescent="0.25">
      <c r="A2505" s="10"/>
      <c r="B2505" s="10"/>
      <c r="C2505" s="10"/>
      <c r="D2505" s="12"/>
      <c r="E2505" s="10"/>
      <c r="F2505" s="10"/>
      <c r="G2505" s="10"/>
    </row>
    <row r="2506" spans="1:7" x14ac:dyDescent="0.25">
      <c r="A2506" s="10"/>
      <c r="B2506" s="10"/>
      <c r="C2506" s="10"/>
      <c r="D2506" s="12"/>
      <c r="E2506" s="10"/>
      <c r="F2506" s="10"/>
      <c r="G2506" s="10"/>
    </row>
    <row r="2507" spans="1:7" x14ac:dyDescent="0.25">
      <c r="A2507" s="10"/>
      <c r="B2507" s="10"/>
      <c r="C2507" s="10"/>
      <c r="D2507" s="12"/>
      <c r="E2507" s="10"/>
      <c r="F2507" s="10"/>
      <c r="G2507" s="10"/>
    </row>
    <row r="2508" spans="1:7" x14ac:dyDescent="0.25">
      <c r="A2508" s="10"/>
      <c r="B2508" s="10"/>
      <c r="C2508" s="10"/>
      <c r="D2508" s="12"/>
      <c r="E2508" s="10"/>
      <c r="F2508" s="10"/>
      <c r="G2508" s="10"/>
    </row>
    <row r="2509" spans="1:7" x14ac:dyDescent="0.25">
      <c r="A2509" s="10"/>
      <c r="B2509" s="10"/>
      <c r="C2509" s="10"/>
      <c r="D2509" s="12"/>
      <c r="E2509" s="10"/>
      <c r="F2509" s="10"/>
      <c r="G2509" s="10"/>
    </row>
    <row r="2510" spans="1:7" x14ac:dyDescent="0.25">
      <c r="A2510" s="10"/>
      <c r="B2510" s="10"/>
      <c r="C2510" s="10"/>
      <c r="D2510" s="12"/>
      <c r="E2510" s="10"/>
      <c r="F2510" s="10"/>
      <c r="G2510" s="10"/>
    </row>
    <row r="2511" spans="1:7" x14ac:dyDescent="0.25">
      <c r="A2511" s="10"/>
      <c r="B2511" s="10"/>
      <c r="C2511" s="10"/>
      <c r="D2511" s="12"/>
      <c r="E2511" s="10"/>
      <c r="F2511" s="10"/>
      <c r="G2511" s="10"/>
    </row>
    <row r="2512" spans="1:7" x14ac:dyDescent="0.25">
      <c r="A2512" s="10"/>
      <c r="B2512" s="10"/>
      <c r="C2512" s="10"/>
      <c r="D2512" s="12"/>
      <c r="E2512" s="10"/>
      <c r="F2512" s="10"/>
      <c r="G2512" s="10"/>
    </row>
    <row r="2513" spans="1:7" x14ac:dyDescent="0.25">
      <c r="A2513" s="10"/>
      <c r="B2513" s="10"/>
      <c r="C2513" s="10"/>
      <c r="D2513" s="12"/>
      <c r="E2513" s="10"/>
      <c r="F2513" s="10"/>
      <c r="G2513" s="10"/>
    </row>
    <row r="2514" spans="1:7" x14ac:dyDescent="0.25">
      <c r="A2514" s="10"/>
      <c r="B2514" s="10"/>
      <c r="C2514" s="10"/>
      <c r="D2514" s="12"/>
      <c r="E2514" s="10"/>
      <c r="F2514" s="10"/>
      <c r="G2514" s="10"/>
    </row>
    <row r="2515" spans="1:7" x14ac:dyDescent="0.25">
      <c r="A2515" s="10"/>
      <c r="B2515" s="10"/>
      <c r="C2515" s="10"/>
      <c r="D2515" s="12"/>
      <c r="E2515" s="10"/>
      <c r="F2515" s="10"/>
      <c r="G2515" s="10"/>
    </row>
    <row r="2516" spans="1:7" x14ac:dyDescent="0.25">
      <c r="A2516" s="10"/>
      <c r="B2516" s="10"/>
      <c r="C2516" s="10"/>
      <c r="D2516" s="12"/>
      <c r="E2516" s="10"/>
      <c r="F2516" s="10"/>
      <c r="G2516" s="10"/>
    </row>
    <row r="2517" spans="1:7" x14ac:dyDescent="0.25">
      <c r="A2517" s="10"/>
      <c r="B2517" s="10"/>
      <c r="C2517" s="10"/>
      <c r="D2517" s="12"/>
      <c r="E2517" s="10"/>
      <c r="F2517" s="10"/>
      <c r="G2517" s="10"/>
    </row>
    <row r="2518" spans="1:7" x14ac:dyDescent="0.25">
      <c r="A2518" s="10"/>
      <c r="B2518" s="10"/>
      <c r="C2518" s="10"/>
      <c r="D2518" s="12"/>
      <c r="E2518" s="10"/>
      <c r="F2518" s="10"/>
      <c r="G2518" s="10"/>
    </row>
    <row r="2519" spans="1:7" x14ac:dyDescent="0.25">
      <c r="A2519" s="10"/>
      <c r="B2519" s="10"/>
      <c r="C2519" s="10"/>
      <c r="D2519" s="12"/>
      <c r="E2519" s="10"/>
      <c r="F2519" s="10"/>
      <c r="G2519" s="10"/>
    </row>
    <row r="2520" spans="1:7" x14ac:dyDescent="0.25">
      <c r="A2520" s="10"/>
      <c r="B2520" s="10"/>
      <c r="C2520" s="10"/>
      <c r="D2520" s="12"/>
      <c r="E2520" s="10"/>
      <c r="F2520" s="10"/>
      <c r="G2520" s="10"/>
    </row>
    <row r="2521" spans="1:7" x14ac:dyDescent="0.25">
      <c r="A2521" s="10"/>
      <c r="B2521" s="10"/>
      <c r="C2521" s="10"/>
      <c r="D2521" s="12"/>
      <c r="E2521" s="10"/>
      <c r="F2521" s="10"/>
      <c r="G2521" s="10"/>
    </row>
    <row r="2522" spans="1:7" x14ac:dyDescent="0.25">
      <c r="A2522" s="10"/>
      <c r="B2522" s="10"/>
      <c r="C2522" s="10"/>
      <c r="D2522" s="12"/>
      <c r="E2522" s="10"/>
      <c r="F2522" s="10"/>
      <c r="G2522" s="10"/>
    </row>
    <row r="2523" spans="1:7" x14ac:dyDescent="0.25">
      <c r="A2523" s="10"/>
      <c r="B2523" s="10"/>
      <c r="C2523" s="10"/>
      <c r="D2523" s="12"/>
      <c r="E2523" s="10"/>
      <c r="F2523" s="10"/>
      <c r="G2523" s="10"/>
    </row>
    <row r="2524" spans="1:7" x14ac:dyDescent="0.25">
      <c r="A2524" s="10"/>
      <c r="B2524" s="10"/>
      <c r="C2524" s="10"/>
      <c r="D2524" s="12"/>
      <c r="E2524" s="10"/>
      <c r="F2524" s="10"/>
      <c r="G2524" s="10"/>
    </row>
    <row r="2525" spans="1:7" x14ac:dyDescent="0.25">
      <c r="A2525" s="10"/>
      <c r="B2525" s="10"/>
      <c r="C2525" s="10"/>
      <c r="D2525" s="12"/>
      <c r="E2525" s="10"/>
      <c r="F2525" s="10"/>
      <c r="G2525" s="10"/>
    </row>
    <row r="2526" spans="1:7" x14ac:dyDescent="0.25">
      <c r="A2526" s="10"/>
      <c r="B2526" s="10"/>
      <c r="C2526" s="10"/>
      <c r="D2526" s="12"/>
      <c r="E2526" s="10"/>
      <c r="F2526" s="10"/>
      <c r="G2526" s="10"/>
    </row>
    <row r="2527" spans="1:7" x14ac:dyDescent="0.25">
      <c r="A2527" s="10"/>
      <c r="B2527" s="10"/>
      <c r="C2527" s="10"/>
      <c r="D2527" s="12"/>
      <c r="E2527" s="10"/>
      <c r="F2527" s="10"/>
      <c r="G2527" s="10"/>
    </row>
    <row r="2528" spans="1:7" x14ac:dyDescent="0.25">
      <c r="A2528" s="10"/>
      <c r="B2528" s="10"/>
      <c r="C2528" s="10"/>
      <c r="D2528" s="12"/>
      <c r="E2528" s="10"/>
      <c r="F2528" s="10"/>
      <c r="G2528" s="10"/>
    </row>
    <row r="2529" spans="1:7" x14ac:dyDescent="0.25">
      <c r="A2529" s="10"/>
      <c r="B2529" s="10"/>
      <c r="C2529" s="10"/>
      <c r="D2529" s="12"/>
      <c r="E2529" s="10"/>
      <c r="F2529" s="10"/>
      <c r="G2529" s="10"/>
    </row>
    <row r="2530" spans="1:7" x14ac:dyDescent="0.25">
      <c r="A2530" s="10"/>
      <c r="B2530" s="10"/>
      <c r="C2530" s="10"/>
      <c r="D2530" s="12"/>
      <c r="E2530" s="10"/>
      <c r="F2530" s="10"/>
      <c r="G2530" s="10"/>
    </row>
    <row r="2531" spans="1:7" x14ac:dyDescent="0.25">
      <c r="A2531" s="10"/>
      <c r="B2531" s="10"/>
      <c r="C2531" s="10"/>
      <c r="D2531" s="12"/>
      <c r="E2531" s="10"/>
      <c r="F2531" s="10"/>
      <c r="G2531" s="10"/>
    </row>
    <row r="2532" spans="1:7" x14ac:dyDescent="0.25">
      <c r="A2532" s="10"/>
      <c r="B2532" s="10"/>
      <c r="C2532" s="10"/>
      <c r="D2532" s="12"/>
      <c r="E2532" s="10"/>
      <c r="F2532" s="10"/>
      <c r="G2532" s="10"/>
    </row>
    <row r="2533" spans="1:7" x14ac:dyDescent="0.25">
      <c r="A2533" s="10"/>
      <c r="B2533" s="10"/>
      <c r="C2533" s="10"/>
      <c r="D2533" s="12"/>
      <c r="E2533" s="10"/>
      <c r="F2533" s="10"/>
      <c r="G2533" s="10"/>
    </row>
    <row r="2534" spans="1:7" x14ac:dyDescent="0.25">
      <c r="A2534" s="10"/>
      <c r="B2534" s="10"/>
      <c r="C2534" s="10"/>
      <c r="D2534" s="12"/>
      <c r="E2534" s="10"/>
      <c r="F2534" s="10"/>
      <c r="G2534" s="10"/>
    </row>
    <row r="2535" spans="1:7" x14ac:dyDescent="0.25">
      <c r="A2535" s="10"/>
      <c r="B2535" s="10"/>
      <c r="C2535" s="10"/>
      <c r="D2535" s="12"/>
      <c r="E2535" s="10"/>
      <c r="F2535" s="10"/>
      <c r="G2535" s="10"/>
    </row>
    <row r="2536" spans="1:7" x14ac:dyDescent="0.25">
      <c r="A2536" s="10"/>
      <c r="B2536" s="10"/>
      <c r="C2536" s="10"/>
      <c r="D2536" s="12"/>
      <c r="E2536" s="10"/>
      <c r="F2536" s="10"/>
      <c r="G2536" s="10"/>
    </row>
    <row r="2537" spans="1:7" x14ac:dyDescent="0.25">
      <c r="A2537" s="10"/>
      <c r="B2537" s="10"/>
      <c r="C2537" s="10"/>
      <c r="D2537" s="12"/>
      <c r="E2537" s="10"/>
      <c r="F2537" s="10"/>
      <c r="G2537" s="10"/>
    </row>
    <row r="2538" spans="1:7" x14ac:dyDescent="0.25">
      <c r="A2538" s="10"/>
      <c r="B2538" s="10"/>
      <c r="C2538" s="10"/>
      <c r="D2538" s="12"/>
      <c r="E2538" s="10"/>
      <c r="F2538" s="10"/>
      <c r="G2538" s="10"/>
    </row>
    <row r="2539" spans="1:7" x14ac:dyDescent="0.25">
      <c r="A2539" s="10"/>
      <c r="B2539" s="10"/>
      <c r="C2539" s="10"/>
      <c r="D2539" s="12"/>
      <c r="E2539" s="10"/>
      <c r="F2539" s="10"/>
      <c r="G2539" s="10"/>
    </row>
    <row r="2540" spans="1:7" x14ac:dyDescent="0.25">
      <c r="A2540" s="10"/>
      <c r="B2540" s="10"/>
      <c r="C2540" s="10"/>
      <c r="D2540" s="12"/>
      <c r="E2540" s="10"/>
      <c r="F2540" s="10"/>
      <c r="G2540" s="10"/>
    </row>
    <row r="2541" spans="1:7" x14ac:dyDescent="0.25">
      <c r="A2541" s="10"/>
      <c r="B2541" s="10"/>
      <c r="C2541" s="10"/>
      <c r="D2541" s="12"/>
      <c r="E2541" s="10"/>
      <c r="F2541" s="10"/>
      <c r="G2541" s="10"/>
    </row>
    <row r="2542" spans="1:7" x14ac:dyDescent="0.25">
      <c r="A2542" s="10"/>
      <c r="B2542" s="10"/>
      <c r="C2542" s="10"/>
      <c r="D2542" s="12"/>
      <c r="E2542" s="10"/>
      <c r="F2542" s="10"/>
      <c r="G2542" s="10"/>
    </row>
    <row r="2543" spans="1:7" x14ac:dyDescent="0.25">
      <c r="A2543" s="10"/>
      <c r="B2543" s="10"/>
      <c r="C2543" s="10"/>
      <c r="D2543" s="12"/>
      <c r="E2543" s="10"/>
      <c r="F2543" s="10"/>
      <c r="G2543" s="10"/>
    </row>
    <row r="2544" spans="1:7" x14ac:dyDescent="0.25">
      <c r="A2544" s="10"/>
      <c r="B2544" s="10"/>
      <c r="C2544" s="10"/>
      <c r="D2544" s="12"/>
      <c r="E2544" s="10"/>
      <c r="F2544" s="10"/>
      <c r="G2544" s="10"/>
    </row>
    <row r="2545" spans="1:7" x14ac:dyDescent="0.25">
      <c r="A2545" s="10"/>
      <c r="B2545" s="10"/>
      <c r="C2545" s="10"/>
      <c r="D2545" s="12"/>
      <c r="E2545" s="10"/>
      <c r="F2545" s="10"/>
      <c r="G2545" s="10"/>
    </row>
    <row r="2546" spans="1:7" x14ac:dyDescent="0.25">
      <c r="A2546" s="10"/>
      <c r="B2546" s="10"/>
      <c r="C2546" s="10"/>
      <c r="D2546" s="12"/>
      <c r="E2546" s="10"/>
      <c r="F2546" s="10"/>
      <c r="G2546" s="10"/>
    </row>
    <row r="2547" spans="1:7" x14ac:dyDescent="0.25">
      <c r="A2547" s="10"/>
      <c r="B2547" s="10"/>
      <c r="C2547" s="10"/>
      <c r="D2547" s="12"/>
      <c r="E2547" s="10"/>
      <c r="F2547" s="10"/>
      <c r="G2547" s="10"/>
    </row>
    <row r="2548" spans="1:7" x14ac:dyDescent="0.25">
      <c r="A2548" s="10"/>
      <c r="B2548" s="10"/>
      <c r="C2548" s="10"/>
      <c r="D2548" s="12"/>
      <c r="E2548" s="10"/>
      <c r="F2548" s="10"/>
      <c r="G2548" s="10"/>
    </row>
    <row r="2549" spans="1:7" x14ac:dyDescent="0.25">
      <c r="A2549" s="10"/>
      <c r="B2549" s="10"/>
      <c r="C2549" s="10"/>
      <c r="D2549" s="12"/>
      <c r="E2549" s="10"/>
      <c r="F2549" s="10"/>
      <c r="G2549" s="10"/>
    </row>
    <row r="2550" spans="1:7" x14ac:dyDescent="0.25">
      <c r="A2550" s="10"/>
      <c r="B2550" s="10"/>
      <c r="C2550" s="10"/>
      <c r="D2550" s="12"/>
      <c r="E2550" s="10"/>
      <c r="F2550" s="10"/>
      <c r="G2550" s="10"/>
    </row>
    <row r="2551" spans="1:7" x14ac:dyDescent="0.25">
      <c r="A2551" s="10"/>
      <c r="B2551" s="10"/>
      <c r="C2551" s="10"/>
      <c r="D2551" s="12"/>
      <c r="E2551" s="10"/>
      <c r="F2551" s="10"/>
      <c r="G2551" s="10"/>
    </row>
    <row r="2552" spans="1:7" x14ac:dyDescent="0.25">
      <c r="A2552" s="10"/>
      <c r="B2552" s="10"/>
      <c r="C2552" s="10"/>
      <c r="D2552" s="12"/>
      <c r="E2552" s="10"/>
      <c r="F2552" s="10"/>
      <c r="G2552" s="10"/>
    </row>
    <row r="2553" spans="1:7" x14ac:dyDescent="0.25">
      <c r="A2553" s="10"/>
      <c r="B2553" s="10"/>
      <c r="C2553" s="10"/>
      <c r="D2553" s="12"/>
      <c r="E2553" s="10"/>
      <c r="F2553" s="10"/>
      <c r="G2553" s="10"/>
    </row>
    <row r="2554" spans="1:7" x14ac:dyDescent="0.25">
      <c r="A2554" s="10"/>
      <c r="B2554" s="10"/>
      <c r="C2554" s="10"/>
      <c r="D2554" s="12"/>
      <c r="E2554" s="10"/>
      <c r="F2554" s="10"/>
      <c r="G2554" s="10"/>
    </row>
    <row r="2555" spans="1:7" x14ac:dyDescent="0.25">
      <c r="A2555" s="10"/>
      <c r="B2555" s="10"/>
      <c r="C2555" s="10"/>
      <c r="D2555" s="12"/>
      <c r="E2555" s="10"/>
      <c r="F2555" s="10"/>
      <c r="G2555" s="10"/>
    </row>
    <row r="2556" spans="1:7" x14ac:dyDescent="0.25">
      <c r="A2556" s="10"/>
      <c r="B2556" s="10"/>
      <c r="C2556" s="10"/>
      <c r="D2556" s="12"/>
      <c r="E2556" s="10"/>
      <c r="F2556" s="10"/>
      <c r="G2556" s="10"/>
    </row>
    <row r="2557" spans="1:7" x14ac:dyDescent="0.25">
      <c r="A2557" s="10"/>
      <c r="B2557" s="10"/>
      <c r="C2557" s="10"/>
      <c r="D2557" s="12"/>
      <c r="E2557" s="10"/>
      <c r="F2557" s="10"/>
      <c r="G2557" s="10"/>
    </row>
    <row r="2558" spans="1:7" x14ac:dyDescent="0.25">
      <c r="A2558" s="10"/>
      <c r="B2558" s="10"/>
      <c r="C2558" s="10"/>
      <c r="D2558" s="12"/>
      <c r="E2558" s="10"/>
      <c r="F2558" s="10"/>
      <c r="G2558" s="10"/>
    </row>
    <row r="2559" spans="1:7" x14ac:dyDescent="0.25">
      <c r="A2559" s="10"/>
      <c r="B2559" s="10"/>
      <c r="C2559" s="10"/>
      <c r="D2559" s="12"/>
      <c r="E2559" s="10"/>
      <c r="F2559" s="10"/>
      <c r="G2559" s="10"/>
    </row>
    <row r="2560" spans="1:7" x14ac:dyDescent="0.25">
      <c r="A2560" s="10"/>
      <c r="B2560" s="10"/>
      <c r="C2560" s="10"/>
      <c r="D2560" s="12"/>
      <c r="E2560" s="10"/>
      <c r="F2560" s="10"/>
      <c r="G2560" s="10"/>
    </row>
    <row r="2561" spans="1:7" x14ac:dyDescent="0.25">
      <c r="A2561" s="10"/>
      <c r="B2561" s="10"/>
      <c r="C2561" s="10"/>
      <c r="D2561" s="12"/>
      <c r="E2561" s="10"/>
      <c r="F2561" s="10"/>
      <c r="G2561" s="10"/>
    </row>
    <row r="2562" spans="1:7" x14ac:dyDescent="0.25">
      <c r="A2562" s="10"/>
      <c r="B2562" s="10"/>
      <c r="C2562" s="10"/>
      <c r="D2562" s="12"/>
      <c r="E2562" s="10"/>
      <c r="F2562" s="10"/>
      <c r="G2562" s="10"/>
    </row>
    <row r="2563" spans="1:7" x14ac:dyDescent="0.25">
      <c r="A2563" s="10"/>
      <c r="B2563" s="10"/>
      <c r="C2563" s="10"/>
      <c r="D2563" s="12"/>
      <c r="E2563" s="10"/>
      <c r="F2563" s="10"/>
      <c r="G2563" s="10"/>
    </row>
    <row r="2564" spans="1:7" x14ac:dyDescent="0.25">
      <c r="A2564" s="10"/>
      <c r="B2564" s="10"/>
      <c r="C2564" s="10"/>
      <c r="D2564" s="12"/>
      <c r="E2564" s="10"/>
      <c r="F2564" s="10"/>
      <c r="G2564" s="10"/>
    </row>
    <row r="2565" spans="1:7" x14ac:dyDescent="0.25">
      <c r="A2565" s="10"/>
      <c r="B2565" s="10"/>
      <c r="C2565" s="10"/>
      <c r="D2565" s="12"/>
      <c r="E2565" s="10"/>
      <c r="F2565" s="10"/>
      <c r="G2565" s="10"/>
    </row>
    <row r="2566" spans="1:7" x14ac:dyDescent="0.25">
      <c r="A2566" s="10"/>
      <c r="B2566" s="10"/>
      <c r="C2566" s="10"/>
      <c r="D2566" s="12"/>
      <c r="E2566" s="10"/>
      <c r="F2566" s="10"/>
      <c r="G2566" s="10"/>
    </row>
    <row r="2567" spans="1:7" x14ac:dyDescent="0.25">
      <c r="A2567" s="10"/>
      <c r="B2567" s="10"/>
      <c r="C2567" s="10"/>
      <c r="D2567" s="12"/>
      <c r="E2567" s="10"/>
      <c r="F2567" s="10"/>
      <c r="G2567" s="10"/>
    </row>
    <row r="2568" spans="1:7" x14ac:dyDescent="0.25">
      <c r="A2568" s="10"/>
      <c r="B2568" s="10"/>
      <c r="C2568" s="10"/>
      <c r="D2568" s="12"/>
      <c r="E2568" s="10"/>
      <c r="F2568" s="10"/>
      <c r="G2568" s="10"/>
    </row>
    <row r="2569" spans="1:7" x14ac:dyDescent="0.25">
      <c r="A2569" s="10"/>
      <c r="B2569" s="10"/>
      <c r="C2569" s="10"/>
      <c r="D2569" s="12"/>
      <c r="E2569" s="10"/>
      <c r="F2569" s="10"/>
      <c r="G2569" s="10"/>
    </row>
    <row r="2570" spans="1:7" x14ac:dyDescent="0.25">
      <c r="A2570" s="10"/>
      <c r="B2570" s="10"/>
      <c r="C2570" s="10"/>
      <c r="D2570" s="12"/>
      <c r="E2570" s="10"/>
      <c r="F2570" s="10"/>
      <c r="G2570" s="10"/>
    </row>
    <row r="2571" spans="1:7" x14ac:dyDescent="0.25">
      <c r="A2571" s="10"/>
      <c r="B2571" s="10"/>
      <c r="C2571" s="10"/>
      <c r="D2571" s="12"/>
      <c r="E2571" s="10"/>
      <c r="F2571" s="10"/>
      <c r="G2571" s="10"/>
    </row>
    <row r="2572" spans="1:7" x14ac:dyDescent="0.25">
      <c r="A2572" s="10"/>
      <c r="B2572" s="10"/>
      <c r="C2572" s="10"/>
      <c r="D2572" s="12"/>
      <c r="E2572" s="10"/>
      <c r="F2572" s="10"/>
      <c r="G2572" s="10"/>
    </row>
    <row r="2573" spans="1:7" x14ac:dyDescent="0.25">
      <c r="A2573" s="10"/>
      <c r="B2573" s="10"/>
      <c r="C2573" s="10"/>
      <c r="D2573" s="12"/>
      <c r="E2573" s="10"/>
      <c r="F2573" s="10"/>
      <c r="G2573" s="10"/>
    </row>
    <row r="2574" spans="1:7" x14ac:dyDescent="0.25">
      <c r="A2574" s="10"/>
      <c r="B2574" s="10"/>
      <c r="C2574" s="10"/>
      <c r="D2574" s="12"/>
      <c r="E2574" s="10"/>
      <c r="F2574" s="10"/>
      <c r="G2574" s="10"/>
    </row>
    <row r="2575" spans="1:7" x14ac:dyDescent="0.25">
      <c r="A2575" s="10"/>
      <c r="B2575" s="10"/>
      <c r="C2575" s="10"/>
      <c r="D2575" s="12"/>
      <c r="E2575" s="10"/>
      <c r="F2575" s="10"/>
      <c r="G2575" s="10"/>
    </row>
    <row r="2576" spans="1:7" x14ac:dyDescent="0.25">
      <c r="A2576" s="10"/>
      <c r="B2576" s="10"/>
      <c r="C2576" s="10"/>
      <c r="D2576" s="12"/>
      <c r="E2576" s="10"/>
      <c r="F2576" s="10"/>
      <c r="G2576" s="10"/>
    </row>
    <row r="2577" spans="1:7" x14ac:dyDescent="0.25">
      <c r="A2577" s="10"/>
      <c r="B2577" s="10"/>
      <c r="C2577" s="10"/>
      <c r="D2577" s="12"/>
      <c r="E2577" s="10"/>
      <c r="F2577" s="10"/>
      <c r="G2577" s="10"/>
    </row>
    <row r="2578" spans="1:7" x14ac:dyDescent="0.25">
      <c r="A2578" s="10"/>
      <c r="B2578" s="10"/>
      <c r="C2578" s="10"/>
      <c r="D2578" s="12"/>
      <c r="E2578" s="10"/>
      <c r="F2578" s="10"/>
      <c r="G2578" s="10"/>
    </row>
    <row r="2579" spans="1:7" x14ac:dyDescent="0.25">
      <c r="A2579" s="10"/>
      <c r="B2579" s="10"/>
      <c r="C2579" s="10"/>
      <c r="D2579" s="12"/>
      <c r="E2579" s="10"/>
      <c r="F2579" s="10"/>
      <c r="G2579" s="10"/>
    </row>
    <row r="2580" spans="1:7" x14ac:dyDescent="0.25">
      <c r="A2580" s="10"/>
      <c r="B2580" s="10"/>
      <c r="C2580" s="10"/>
      <c r="D2580" s="12"/>
      <c r="E2580" s="10"/>
      <c r="F2580" s="10"/>
      <c r="G2580" s="10"/>
    </row>
    <row r="2581" spans="1:7" x14ac:dyDescent="0.25">
      <c r="A2581" s="10"/>
      <c r="B2581" s="10"/>
      <c r="C2581" s="10"/>
      <c r="D2581" s="12"/>
      <c r="E2581" s="10"/>
      <c r="F2581" s="10"/>
      <c r="G2581" s="10"/>
    </row>
    <row r="2582" spans="1:7" x14ac:dyDescent="0.25">
      <c r="A2582" s="10"/>
      <c r="B2582" s="10"/>
      <c r="C2582" s="10"/>
      <c r="D2582" s="12"/>
      <c r="E2582" s="10"/>
      <c r="F2582" s="10"/>
      <c r="G2582" s="10"/>
    </row>
    <row r="2583" spans="1:7" x14ac:dyDescent="0.25">
      <c r="A2583" s="10"/>
      <c r="B2583" s="10"/>
      <c r="C2583" s="10"/>
      <c r="D2583" s="12"/>
      <c r="E2583" s="10"/>
      <c r="F2583" s="10"/>
      <c r="G2583" s="10"/>
    </row>
    <row r="2584" spans="1:7" x14ac:dyDescent="0.25">
      <c r="A2584" s="10"/>
      <c r="B2584" s="10"/>
      <c r="C2584" s="10"/>
      <c r="D2584" s="12"/>
      <c r="E2584" s="10"/>
      <c r="F2584" s="10"/>
      <c r="G2584" s="10"/>
    </row>
    <row r="2585" spans="1:7" x14ac:dyDescent="0.25">
      <c r="A2585" s="10"/>
      <c r="B2585" s="10"/>
      <c r="C2585" s="10"/>
      <c r="D2585" s="12"/>
      <c r="E2585" s="10"/>
      <c r="F2585" s="10"/>
      <c r="G2585" s="10"/>
    </row>
    <row r="2586" spans="1:7" x14ac:dyDescent="0.25">
      <c r="A2586" s="10"/>
      <c r="B2586" s="10"/>
      <c r="C2586" s="10"/>
      <c r="D2586" s="12"/>
      <c r="E2586" s="10"/>
      <c r="F2586" s="10"/>
      <c r="G2586" s="10"/>
    </row>
    <row r="2587" spans="1:7" x14ac:dyDescent="0.25">
      <c r="A2587" s="10"/>
      <c r="B2587" s="10"/>
      <c r="C2587" s="10"/>
      <c r="D2587" s="12"/>
      <c r="E2587" s="10"/>
      <c r="F2587" s="10"/>
      <c r="G2587" s="10"/>
    </row>
    <row r="2588" spans="1:7" x14ac:dyDescent="0.25">
      <c r="A2588" s="10"/>
      <c r="B2588" s="10"/>
      <c r="C2588" s="10"/>
      <c r="D2588" s="12"/>
      <c r="E2588" s="10"/>
      <c r="F2588" s="10"/>
      <c r="G2588" s="10"/>
    </row>
    <row r="2589" spans="1:7" x14ac:dyDescent="0.25">
      <c r="A2589" s="10"/>
      <c r="B2589" s="10"/>
      <c r="C2589" s="10"/>
      <c r="D2589" s="12"/>
      <c r="E2589" s="10"/>
      <c r="F2589" s="10"/>
      <c r="G2589" s="10"/>
    </row>
    <row r="2590" spans="1:7" x14ac:dyDescent="0.25">
      <c r="A2590" s="10"/>
      <c r="B2590" s="10"/>
      <c r="C2590" s="10"/>
      <c r="D2590" s="12"/>
      <c r="E2590" s="10"/>
      <c r="F2590" s="10"/>
      <c r="G2590" s="10"/>
    </row>
    <row r="2591" spans="1:7" x14ac:dyDescent="0.25">
      <c r="A2591" s="10"/>
      <c r="B2591" s="10"/>
      <c r="C2591" s="10"/>
      <c r="D2591" s="12"/>
      <c r="E2591" s="10"/>
      <c r="F2591" s="10"/>
      <c r="G2591" s="10"/>
    </row>
    <row r="2592" spans="1:7" x14ac:dyDescent="0.25">
      <c r="A2592" s="10"/>
      <c r="B2592" s="10"/>
      <c r="C2592" s="10"/>
      <c r="D2592" s="12"/>
      <c r="E2592" s="10"/>
      <c r="F2592" s="10"/>
      <c r="G2592" s="10"/>
    </row>
    <row r="2593" spans="1:7" x14ac:dyDescent="0.25">
      <c r="A2593" s="10"/>
      <c r="B2593" s="10"/>
      <c r="C2593" s="10"/>
      <c r="D2593" s="12"/>
      <c r="E2593" s="10"/>
      <c r="F2593" s="10"/>
      <c r="G2593" s="10"/>
    </row>
    <row r="2594" spans="1:7" x14ac:dyDescent="0.25">
      <c r="A2594" s="10"/>
      <c r="B2594" s="10"/>
      <c r="C2594" s="10"/>
      <c r="D2594" s="12"/>
      <c r="E2594" s="10"/>
      <c r="F2594" s="10"/>
      <c r="G2594" s="10"/>
    </row>
    <row r="2595" spans="1:7" x14ac:dyDescent="0.25">
      <c r="A2595" s="10"/>
      <c r="B2595" s="10"/>
      <c r="C2595" s="10"/>
      <c r="D2595" s="12"/>
      <c r="E2595" s="10"/>
      <c r="F2595" s="10"/>
      <c r="G2595" s="10"/>
    </row>
    <row r="2596" spans="1:7" x14ac:dyDescent="0.25">
      <c r="A2596" s="10"/>
      <c r="B2596" s="10"/>
      <c r="C2596" s="10"/>
      <c r="D2596" s="12"/>
      <c r="E2596" s="10"/>
      <c r="F2596" s="10"/>
      <c r="G2596" s="10"/>
    </row>
    <row r="2597" spans="1:7" x14ac:dyDescent="0.25">
      <c r="A2597" s="10"/>
      <c r="B2597" s="10"/>
      <c r="C2597" s="10"/>
      <c r="D2597" s="12"/>
      <c r="E2597" s="10"/>
      <c r="F2597" s="10"/>
      <c r="G2597" s="10"/>
    </row>
    <row r="2598" spans="1:7" x14ac:dyDescent="0.25">
      <c r="A2598" s="10"/>
      <c r="B2598" s="10"/>
      <c r="C2598" s="10"/>
      <c r="D2598" s="12"/>
      <c r="E2598" s="10"/>
      <c r="F2598" s="10"/>
      <c r="G2598" s="10"/>
    </row>
    <row r="2599" spans="1:7" x14ac:dyDescent="0.25">
      <c r="A2599" s="10"/>
      <c r="B2599" s="10"/>
      <c r="C2599" s="10"/>
      <c r="D2599" s="12"/>
      <c r="E2599" s="10"/>
      <c r="F2599" s="10"/>
      <c r="G2599" s="10"/>
    </row>
    <row r="2600" spans="1:7" x14ac:dyDescent="0.25">
      <c r="A2600" s="10"/>
      <c r="B2600" s="10"/>
      <c r="C2600" s="10"/>
      <c r="D2600" s="12"/>
      <c r="E2600" s="10"/>
      <c r="F2600" s="10"/>
      <c r="G2600" s="10"/>
    </row>
    <row r="2601" spans="1:7" x14ac:dyDescent="0.25">
      <c r="A2601" s="10"/>
      <c r="B2601" s="10"/>
      <c r="C2601" s="10"/>
      <c r="D2601" s="12"/>
      <c r="E2601" s="10"/>
      <c r="F2601" s="10"/>
      <c r="G2601" s="10"/>
    </row>
    <row r="2602" spans="1:7" x14ac:dyDescent="0.25">
      <c r="A2602" s="10"/>
      <c r="B2602" s="10"/>
      <c r="C2602" s="10"/>
      <c r="D2602" s="12"/>
      <c r="E2602" s="10"/>
      <c r="F2602" s="10"/>
      <c r="G2602" s="10"/>
    </row>
    <row r="2603" spans="1:7" x14ac:dyDescent="0.25">
      <c r="A2603" s="10"/>
      <c r="B2603" s="10"/>
      <c r="C2603" s="10"/>
      <c r="D2603" s="12"/>
      <c r="E2603" s="10"/>
      <c r="F2603" s="10"/>
      <c r="G2603" s="10"/>
    </row>
    <row r="2604" spans="1:7" x14ac:dyDescent="0.25">
      <c r="A2604" s="10"/>
      <c r="B2604" s="10"/>
      <c r="C2604" s="10"/>
      <c r="D2604" s="12"/>
      <c r="E2604" s="10"/>
      <c r="F2604" s="10"/>
      <c r="G2604" s="10"/>
    </row>
    <row r="2605" spans="1:7" x14ac:dyDescent="0.25">
      <c r="A2605" s="10"/>
      <c r="B2605" s="10"/>
      <c r="C2605" s="10"/>
      <c r="D2605" s="12"/>
      <c r="E2605" s="10"/>
      <c r="F2605" s="10"/>
      <c r="G2605" s="10"/>
    </row>
    <row r="2606" spans="1:7" x14ac:dyDescent="0.25">
      <c r="A2606" s="10"/>
      <c r="B2606" s="10"/>
      <c r="C2606" s="10"/>
      <c r="D2606" s="12"/>
      <c r="E2606" s="10"/>
      <c r="F2606" s="10"/>
      <c r="G2606" s="10"/>
    </row>
    <row r="2607" spans="1:7" x14ac:dyDescent="0.25">
      <c r="A2607" s="10"/>
      <c r="B2607" s="10"/>
      <c r="C2607" s="10"/>
      <c r="D2607" s="12"/>
      <c r="E2607" s="10"/>
      <c r="F2607" s="10"/>
      <c r="G2607" s="10"/>
    </row>
    <row r="2608" spans="1:7" x14ac:dyDescent="0.25">
      <c r="A2608" s="10"/>
      <c r="B2608" s="10"/>
      <c r="C2608" s="10"/>
      <c r="D2608" s="12"/>
      <c r="E2608" s="10"/>
      <c r="F2608" s="10"/>
      <c r="G2608" s="10"/>
    </row>
    <row r="2609" spans="1:7" x14ac:dyDescent="0.25">
      <c r="A2609" s="10"/>
      <c r="B2609" s="10"/>
      <c r="C2609" s="10"/>
      <c r="D2609" s="12"/>
      <c r="E2609" s="10"/>
      <c r="F2609" s="10"/>
      <c r="G2609" s="10"/>
    </row>
    <row r="2610" spans="1:7" x14ac:dyDescent="0.25">
      <c r="A2610" s="10"/>
      <c r="B2610" s="10"/>
      <c r="C2610" s="10"/>
      <c r="D2610" s="12"/>
      <c r="E2610" s="10"/>
      <c r="F2610" s="10"/>
      <c r="G2610" s="10"/>
    </row>
    <row r="2611" spans="1:7" x14ac:dyDescent="0.25">
      <c r="A2611" s="10"/>
      <c r="B2611" s="10"/>
      <c r="C2611" s="10"/>
      <c r="D2611" s="12"/>
      <c r="E2611" s="10"/>
      <c r="F2611" s="10"/>
      <c r="G2611" s="10"/>
    </row>
    <row r="2612" spans="1:7" x14ac:dyDescent="0.25">
      <c r="A2612" s="10"/>
      <c r="B2612" s="10"/>
      <c r="C2612" s="10"/>
      <c r="D2612" s="12"/>
      <c r="E2612" s="10"/>
      <c r="F2612" s="10"/>
      <c r="G2612" s="10"/>
    </row>
    <row r="2613" spans="1:7" x14ac:dyDescent="0.25">
      <c r="A2613" s="10"/>
      <c r="B2613" s="10"/>
      <c r="C2613" s="10"/>
      <c r="D2613" s="12"/>
      <c r="E2613" s="10"/>
      <c r="F2613" s="10"/>
      <c r="G2613" s="10"/>
    </row>
    <row r="2614" spans="1:7" x14ac:dyDescent="0.25">
      <c r="A2614" s="10"/>
      <c r="B2614" s="10"/>
      <c r="C2614" s="10"/>
      <c r="D2614" s="12"/>
      <c r="E2614" s="10"/>
      <c r="F2614" s="10"/>
      <c r="G2614" s="10"/>
    </row>
    <row r="2615" spans="1:7" x14ac:dyDescent="0.25">
      <c r="A2615" s="10"/>
      <c r="B2615" s="10"/>
      <c r="C2615" s="10"/>
      <c r="D2615" s="12"/>
      <c r="E2615" s="10"/>
      <c r="F2615" s="10"/>
      <c r="G2615" s="10"/>
    </row>
    <row r="2616" spans="1:7" x14ac:dyDescent="0.25">
      <c r="A2616" s="10"/>
      <c r="B2616" s="10"/>
      <c r="C2616" s="10"/>
      <c r="D2616" s="12"/>
      <c r="E2616" s="10"/>
      <c r="F2616" s="10"/>
      <c r="G2616" s="10"/>
    </row>
    <row r="2617" spans="1:7" x14ac:dyDescent="0.25">
      <c r="A2617" s="10"/>
      <c r="B2617" s="10"/>
      <c r="C2617" s="10"/>
      <c r="D2617" s="12"/>
      <c r="E2617" s="10"/>
      <c r="F2617" s="10"/>
      <c r="G2617" s="10"/>
    </row>
    <row r="2618" spans="1:7" x14ac:dyDescent="0.25">
      <c r="A2618" s="10"/>
      <c r="B2618" s="10"/>
      <c r="C2618" s="10"/>
      <c r="D2618" s="12"/>
      <c r="E2618" s="10"/>
      <c r="F2618" s="10"/>
      <c r="G2618" s="10"/>
    </row>
    <row r="2619" spans="1:7" x14ac:dyDescent="0.25">
      <c r="A2619" s="10"/>
      <c r="B2619" s="10"/>
      <c r="C2619" s="10"/>
      <c r="D2619" s="12"/>
      <c r="E2619" s="10"/>
      <c r="F2619" s="10"/>
      <c r="G2619" s="10"/>
    </row>
    <row r="2620" spans="1:7" x14ac:dyDescent="0.25">
      <c r="A2620" s="10"/>
      <c r="B2620" s="10"/>
      <c r="C2620" s="10"/>
      <c r="D2620" s="12"/>
      <c r="E2620" s="10"/>
      <c r="F2620" s="10"/>
      <c r="G2620" s="10"/>
    </row>
    <row r="2621" spans="1:7" x14ac:dyDescent="0.25">
      <c r="A2621" s="10"/>
      <c r="B2621" s="10"/>
      <c r="C2621" s="10"/>
      <c r="D2621" s="12"/>
      <c r="E2621" s="10"/>
      <c r="F2621" s="10"/>
      <c r="G2621" s="10"/>
    </row>
    <row r="2622" spans="1:7" x14ac:dyDescent="0.25">
      <c r="A2622" s="10"/>
      <c r="B2622" s="10"/>
      <c r="C2622" s="10"/>
      <c r="D2622" s="12"/>
      <c r="E2622" s="10"/>
      <c r="F2622" s="10"/>
      <c r="G2622" s="10"/>
    </row>
    <row r="2623" spans="1:7" x14ac:dyDescent="0.25">
      <c r="A2623" s="10"/>
      <c r="B2623" s="10"/>
      <c r="C2623" s="10"/>
      <c r="D2623" s="12"/>
      <c r="E2623" s="10"/>
      <c r="F2623" s="10"/>
      <c r="G2623" s="10"/>
    </row>
    <row r="2624" spans="1:7" x14ac:dyDescent="0.25">
      <c r="A2624" s="10"/>
      <c r="B2624" s="10"/>
      <c r="C2624" s="10"/>
      <c r="D2624" s="12"/>
      <c r="E2624" s="10"/>
      <c r="F2624" s="10"/>
      <c r="G2624" s="10"/>
    </row>
    <row r="2625" spans="1:7" x14ac:dyDescent="0.25">
      <c r="A2625" s="10"/>
      <c r="B2625" s="10"/>
      <c r="C2625" s="10"/>
      <c r="D2625" s="12"/>
      <c r="E2625" s="10"/>
      <c r="F2625" s="10"/>
      <c r="G2625" s="10"/>
    </row>
    <row r="2626" spans="1:7" x14ac:dyDescent="0.25">
      <c r="A2626" s="10"/>
      <c r="B2626" s="10"/>
      <c r="C2626" s="10"/>
      <c r="D2626" s="12"/>
      <c r="E2626" s="10"/>
      <c r="F2626" s="10"/>
      <c r="G2626" s="10"/>
    </row>
    <row r="2627" spans="1:7" x14ac:dyDescent="0.25">
      <c r="A2627" s="10"/>
      <c r="B2627" s="10"/>
      <c r="C2627" s="10"/>
      <c r="D2627" s="12"/>
      <c r="E2627" s="10"/>
      <c r="F2627" s="10"/>
      <c r="G2627" s="10"/>
    </row>
    <row r="2628" spans="1:7" x14ac:dyDescent="0.25">
      <c r="A2628" s="10"/>
      <c r="B2628" s="10"/>
      <c r="C2628" s="10"/>
      <c r="D2628" s="12"/>
      <c r="E2628" s="10"/>
      <c r="F2628" s="10"/>
      <c r="G2628" s="10"/>
    </row>
    <row r="2629" spans="1:7" x14ac:dyDescent="0.25">
      <c r="A2629" s="10"/>
      <c r="B2629" s="10"/>
      <c r="C2629" s="10"/>
      <c r="D2629" s="12"/>
      <c r="E2629" s="10"/>
      <c r="F2629" s="10"/>
      <c r="G2629" s="10"/>
    </row>
    <row r="2630" spans="1:7" x14ac:dyDescent="0.25">
      <c r="A2630" s="10"/>
      <c r="B2630" s="10"/>
      <c r="C2630" s="10"/>
      <c r="D2630" s="12"/>
      <c r="E2630" s="10"/>
      <c r="F2630" s="10"/>
      <c r="G2630" s="10"/>
    </row>
    <row r="2631" spans="1:7" x14ac:dyDescent="0.25">
      <c r="A2631" s="10"/>
      <c r="B2631" s="10"/>
      <c r="C2631" s="10"/>
      <c r="D2631" s="12"/>
      <c r="E2631" s="10"/>
      <c r="F2631" s="10"/>
      <c r="G2631" s="10"/>
    </row>
    <row r="2632" spans="1:7" x14ac:dyDescent="0.25">
      <c r="A2632" s="10"/>
      <c r="B2632" s="10"/>
      <c r="C2632" s="10"/>
      <c r="D2632" s="12"/>
      <c r="E2632" s="10"/>
      <c r="F2632" s="10"/>
      <c r="G2632" s="10"/>
    </row>
    <row r="2633" spans="1:7" x14ac:dyDescent="0.25">
      <c r="A2633" s="10"/>
      <c r="B2633" s="10"/>
      <c r="C2633" s="10"/>
      <c r="D2633" s="12"/>
      <c r="E2633" s="10"/>
      <c r="F2633" s="10"/>
      <c r="G2633" s="10"/>
    </row>
    <row r="2634" spans="1:7" x14ac:dyDescent="0.25">
      <c r="A2634" s="10"/>
      <c r="B2634" s="10"/>
      <c r="C2634" s="10"/>
      <c r="D2634" s="12"/>
      <c r="E2634" s="10"/>
      <c r="F2634" s="10"/>
      <c r="G2634" s="10"/>
    </row>
    <row r="2635" spans="1:7" x14ac:dyDescent="0.25">
      <c r="A2635" s="10"/>
      <c r="B2635" s="10"/>
      <c r="C2635" s="10"/>
      <c r="D2635" s="12"/>
      <c r="E2635" s="10"/>
      <c r="F2635" s="10"/>
      <c r="G2635" s="10"/>
    </row>
    <row r="2636" spans="1:7" x14ac:dyDescent="0.25">
      <c r="A2636" s="10"/>
      <c r="B2636" s="10"/>
      <c r="C2636" s="10"/>
      <c r="D2636" s="12"/>
      <c r="E2636" s="10"/>
      <c r="F2636" s="10"/>
      <c r="G2636" s="10"/>
    </row>
    <row r="2637" spans="1:7" x14ac:dyDescent="0.25">
      <c r="A2637" s="10"/>
      <c r="B2637" s="10"/>
      <c r="C2637" s="10"/>
      <c r="D2637" s="12"/>
      <c r="E2637" s="10"/>
      <c r="F2637" s="10"/>
      <c r="G2637" s="10"/>
    </row>
    <row r="2638" spans="1:7" x14ac:dyDescent="0.25">
      <c r="A2638" s="10"/>
      <c r="B2638" s="10"/>
      <c r="C2638" s="10"/>
      <c r="D2638" s="12"/>
      <c r="E2638" s="10"/>
      <c r="F2638" s="10"/>
      <c r="G2638" s="10"/>
    </row>
    <row r="2639" spans="1:7" x14ac:dyDescent="0.25">
      <c r="A2639" s="10"/>
      <c r="B2639" s="10"/>
      <c r="C2639" s="10"/>
      <c r="D2639" s="12"/>
      <c r="E2639" s="10"/>
      <c r="F2639" s="10"/>
      <c r="G2639" s="10"/>
    </row>
    <row r="2640" spans="1:7" x14ac:dyDescent="0.25">
      <c r="A2640" s="10"/>
      <c r="B2640" s="10"/>
      <c r="C2640" s="10"/>
      <c r="D2640" s="12"/>
      <c r="E2640" s="10"/>
      <c r="F2640" s="10"/>
      <c r="G2640" s="10"/>
    </row>
    <row r="2641" spans="1:7" x14ac:dyDescent="0.25">
      <c r="A2641" s="10"/>
      <c r="B2641" s="10"/>
      <c r="C2641" s="10"/>
      <c r="D2641" s="12"/>
      <c r="E2641" s="10"/>
      <c r="F2641" s="10"/>
      <c r="G2641" s="10"/>
    </row>
    <row r="2642" spans="1:7" x14ac:dyDescent="0.25">
      <c r="A2642" s="10"/>
      <c r="B2642" s="10"/>
      <c r="C2642" s="10"/>
      <c r="D2642" s="12"/>
      <c r="E2642" s="10"/>
      <c r="F2642" s="10"/>
      <c r="G2642" s="10"/>
    </row>
    <row r="2643" spans="1:7" x14ac:dyDescent="0.25">
      <c r="A2643" s="10"/>
      <c r="B2643" s="10"/>
      <c r="C2643" s="10"/>
      <c r="D2643" s="12"/>
      <c r="E2643" s="10"/>
      <c r="F2643" s="10"/>
      <c r="G2643" s="10"/>
    </row>
    <row r="2644" spans="1:7" x14ac:dyDescent="0.25">
      <c r="A2644" s="10"/>
      <c r="B2644" s="10"/>
      <c r="C2644" s="10"/>
      <c r="D2644" s="12"/>
      <c r="E2644" s="10"/>
      <c r="F2644" s="10"/>
      <c r="G2644" s="10"/>
    </row>
    <row r="2645" spans="1:7" x14ac:dyDescent="0.25">
      <c r="A2645" s="10"/>
      <c r="B2645" s="10"/>
      <c r="C2645" s="10"/>
      <c r="D2645" s="12"/>
      <c r="E2645" s="10"/>
      <c r="F2645" s="10"/>
      <c r="G2645" s="10"/>
    </row>
    <row r="2646" spans="1:7" x14ac:dyDescent="0.25">
      <c r="A2646" s="10"/>
      <c r="B2646" s="10"/>
      <c r="C2646" s="10"/>
      <c r="D2646" s="12"/>
      <c r="E2646" s="10"/>
      <c r="F2646" s="10"/>
      <c r="G2646" s="10"/>
    </row>
    <row r="2647" spans="1:7" x14ac:dyDescent="0.25">
      <c r="A2647" s="10"/>
      <c r="B2647" s="10"/>
      <c r="C2647" s="10"/>
      <c r="D2647" s="12"/>
      <c r="E2647" s="10"/>
      <c r="F2647" s="10"/>
      <c r="G2647" s="10"/>
    </row>
    <row r="2648" spans="1:7" x14ac:dyDescent="0.25">
      <c r="A2648" s="10"/>
      <c r="B2648" s="10"/>
      <c r="C2648" s="10"/>
      <c r="D2648" s="12"/>
      <c r="E2648" s="10"/>
      <c r="F2648" s="10"/>
      <c r="G2648" s="10"/>
    </row>
    <row r="2649" spans="1:7" x14ac:dyDescent="0.25">
      <c r="A2649" s="10"/>
      <c r="B2649" s="10"/>
      <c r="C2649" s="10"/>
      <c r="D2649" s="12"/>
      <c r="E2649" s="10"/>
      <c r="F2649" s="10"/>
      <c r="G2649" s="10"/>
    </row>
    <row r="2650" spans="1:7" x14ac:dyDescent="0.25">
      <c r="A2650" s="10"/>
      <c r="B2650" s="10"/>
      <c r="C2650" s="10"/>
      <c r="D2650" s="12"/>
      <c r="E2650" s="10"/>
      <c r="F2650" s="10"/>
      <c r="G2650" s="10"/>
    </row>
    <row r="2651" spans="1:7" x14ac:dyDescent="0.25">
      <c r="A2651" s="10"/>
      <c r="B2651" s="10"/>
      <c r="C2651" s="10"/>
      <c r="D2651" s="12"/>
      <c r="E2651" s="10"/>
      <c r="F2651" s="10"/>
      <c r="G2651" s="10"/>
    </row>
    <row r="2652" spans="1:7" x14ac:dyDescent="0.25">
      <c r="A2652" s="10"/>
      <c r="B2652" s="10"/>
      <c r="C2652" s="10"/>
      <c r="D2652" s="12"/>
      <c r="E2652" s="10"/>
      <c r="F2652" s="10"/>
      <c r="G2652" s="10"/>
    </row>
    <row r="2653" spans="1:7" x14ac:dyDescent="0.25">
      <c r="A2653" s="10"/>
      <c r="B2653" s="10"/>
      <c r="C2653" s="10"/>
      <c r="D2653" s="12"/>
      <c r="E2653" s="10"/>
      <c r="F2653" s="10"/>
      <c r="G2653" s="10"/>
    </row>
    <row r="2654" spans="1:7" x14ac:dyDescent="0.25">
      <c r="A2654" s="10"/>
      <c r="B2654" s="10"/>
      <c r="C2654" s="10"/>
      <c r="D2654" s="12"/>
      <c r="E2654" s="10"/>
      <c r="F2654" s="10"/>
      <c r="G2654" s="10"/>
    </row>
    <row r="2655" spans="1:7" x14ac:dyDescent="0.25">
      <c r="A2655" s="10"/>
      <c r="B2655" s="10"/>
      <c r="C2655" s="10"/>
      <c r="D2655" s="12"/>
      <c r="E2655" s="10"/>
      <c r="F2655" s="10"/>
      <c r="G2655" s="10"/>
    </row>
    <row r="2656" spans="1:7" x14ac:dyDescent="0.25">
      <c r="A2656" s="10"/>
      <c r="B2656" s="10"/>
      <c r="C2656" s="10"/>
      <c r="D2656" s="12"/>
      <c r="E2656" s="10"/>
      <c r="F2656" s="10"/>
      <c r="G2656" s="10"/>
    </row>
    <row r="2657" spans="1:7" x14ac:dyDescent="0.25">
      <c r="A2657" s="10"/>
      <c r="B2657" s="10"/>
      <c r="C2657" s="10"/>
      <c r="D2657" s="12"/>
      <c r="E2657" s="10"/>
      <c r="F2657" s="10"/>
      <c r="G2657" s="10"/>
    </row>
    <row r="2658" spans="1:7" x14ac:dyDescent="0.25">
      <c r="A2658" s="10"/>
      <c r="B2658" s="10"/>
      <c r="C2658" s="10"/>
      <c r="D2658" s="12"/>
      <c r="E2658" s="10"/>
      <c r="F2658" s="10"/>
      <c r="G2658" s="10"/>
    </row>
    <row r="2659" spans="1:7" x14ac:dyDescent="0.25">
      <c r="A2659" s="10"/>
      <c r="B2659" s="10"/>
      <c r="C2659" s="10"/>
      <c r="D2659" s="12"/>
      <c r="E2659" s="10"/>
      <c r="F2659" s="10"/>
      <c r="G2659" s="10"/>
    </row>
    <row r="2660" spans="1:7" x14ac:dyDescent="0.25">
      <c r="A2660" s="10"/>
      <c r="B2660" s="10"/>
      <c r="C2660" s="10"/>
      <c r="D2660" s="12"/>
      <c r="E2660" s="10"/>
      <c r="F2660" s="10"/>
      <c r="G2660" s="10"/>
    </row>
    <row r="2661" spans="1:7" x14ac:dyDescent="0.25">
      <c r="A2661" s="10"/>
      <c r="B2661" s="10"/>
      <c r="C2661" s="10"/>
      <c r="D2661" s="12"/>
      <c r="E2661" s="10"/>
      <c r="F2661" s="10"/>
      <c r="G2661" s="10"/>
    </row>
    <row r="2662" spans="1:7" x14ac:dyDescent="0.25">
      <c r="A2662" s="10"/>
      <c r="B2662" s="10"/>
      <c r="C2662" s="10"/>
      <c r="D2662" s="12"/>
      <c r="E2662" s="10"/>
      <c r="F2662" s="10"/>
      <c r="G2662" s="10"/>
    </row>
    <row r="2663" spans="1:7" x14ac:dyDescent="0.25">
      <c r="A2663" s="10"/>
      <c r="B2663" s="10"/>
      <c r="C2663" s="10"/>
      <c r="D2663" s="12"/>
      <c r="E2663" s="10"/>
      <c r="F2663" s="10"/>
      <c r="G2663" s="10"/>
    </row>
    <row r="2664" spans="1:7" x14ac:dyDescent="0.25">
      <c r="A2664" s="10"/>
      <c r="B2664" s="10"/>
      <c r="C2664" s="10"/>
      <c r="D2664" s="12"/>
      <c r="E2664" s="10"/>
      <c r="F2664" s="10"/>
      <c r="G2664" s="10"/>
    </row>
    <row r="2665" spans="1:7" x14ac:dyDescent="0.25">
      <c r="A2665" s="10"/>
      <c r="B2665" s="10"/>
      <c r="C2665" s="10"/>
      <c r="D2665" s="12"/>
      <c r="E2665" s="10"/>
      <c r="F2665" s="10"/>
      <c r="G2665" s="10"/>
    </row>
    <row r="2666" spans="1:7" x14ac:dyDescent="0.25">
      <c r="A2666" s="10"/>
      <c r="B2666" s="10"/>
      <c r="C2666" s="10"/>
      <c r="D2666" s="12"/>
      <c r="E2666" s="10"/>
      <c r="F2666" s="10"/>
      <c r="G2666" s="10"/>
    </row>
    <row r="2667" spans="1:7" x14ac:dyDescent="0.25">
      <c r="A2667" s="10"/>
      <c r="B2667" s="10"/>
      <c r="C2667" s="10"/>
      <c r="D2667" s="12"/>
      <c r="E2667" s="10"/>
      <c r="F2667" s="10"/>
      <c r="G2667" s="10"/>
    </row>
    <row r="2668" spans="1:7" x14ac:dyDescent="0.25">
      <c r="A2668" s="10"/>
      <c r="B2668" s="10"/>
      <c r="C2668" s="10"/>
      <c r="D2668" s="12"/>
      <c r="E2668" s="10"/>
      <c r="F2668" s="10"/>
      <c r="G2668" s="10"/>
    </row>
    <row r="2669" spans="1:7" x14ac:dyDescent="0.25">
      <c r="A2669" s="10"/>
      <c r="B2669" s="10"/>
      <c r="C2669" s="10"/>
      <c r="D2669" s="12"/>
      <c r="E2669" s="10"/>
      <c r="F2669" s="10"/>
      <c r="G2669" s="10"/>
    </row>
    <row r="2670" spans="1:7" x14ac:dyDescent="0.25">
      <c r="A2670" s="10"/>
      <c r="B2670" s="10"/>
      <c r="C2670" s="10"/>
      <c r="D2670" s="12"/>
      <c r="E2670" s="10"/>
      <c r="F2670" s="10"/>
      <c r="G2670" s="10"/>
    </row>
    <row r="2671" spans="1:7" x14ac:dyDescent="0.25">
      <c r="A2671" s="10"/>
      <c r="B2671" s="10"/>
      <c r="C2671" s="10"/>
      <c r="D2671" s="12"/>
      <c r="E2671" s="10"/>
      <c r="F2671" s="10"/>
      <c r="G2671" s="10"/>
    </row>
    <row r="2672" spans="1:7" x14ac:dyDescent="0.25">
      <c r="A2672" s="10"/>
      <c r="B2672" s="10"/>
      <c r="C2672" s="10"/>
      <c r="D2672" s="12"/>
      <c r="E2672" s="10"/>
      <c r="F2672" s="10"/>
      <c r="G2672" s="10"/>
    </row>
    <row r="2673" spans="1:7" x14ac:dyDescent="0.25">
      <c r="A2673" s="10"/>
      <c r="B2673" s="10"/>
      <c r="C2673" s="10"/>
      <c r="D2673" s="12"/>
      <c r="E2673" s="10"/>
      <c r="F2673" s="10"/>
      <c r="G2673" s="10"/>
    </row>
    <row r="2674" spans="1:7" x14ac:dyDescent="0.25">
      <c r="A2674" s="10"/>
      <c r="B2674" s="10"/>
      <c r="C2674" s="10"/>
      <c r="D2674" s="12"/>
      <c r="E2674" s="10"/>
      <c r="F2674" s="10"/>
      <c r="G2674" s="10"/>
    </row>
    <row r="2675" spans="1:7" x14ac:dyDescent="0.25">
      <c r="A2675" s="10"/>
      <c r="B2675" s="10"/>
      <c r="C2675" s="10"/>
      <c r="D2675" s="12"/>
      <c r="E2675" s="10"/>
      <c r="F2675" s="10"/>
      <c r="G2675" s="10"/>
    </row>
    <row r="2676" spans="1:7" x14ac:dyDescent="0.25">
      <c r="A2676" s="10"/>
      <c r="B2676" s="10"/>
      <c r="C2676" s="10"/>
      <c r="D2676" s="12"/>
      <c r="E2676" s="10"/>
      <c r="F2676" s="10"/>
      <c r="G2676" s="10"/>
    </row>
    <row r="2677" spans="1:7" x14ac:dyDescent="0.25">
      <c r="A2677" s="10"/>
      <c r="B2677" s="10"/>
      <c r="C2677" s="10"/>
      <c r="D2677" s="12"/>
      <c r="E2677" s="10"/>
      <c r="F2677" s="10"/>
      <c r="G2677" s="10"/>
    </row>
    <row r="2678" spans="1:7" x14ac:dyDescent="0.25">
      <c r="A2678" s="10"/>
      <c r="B2678" s="10"/>
      <c r="C2678" s="10"/>
      <c r="D2678" s="12"/>
      <c r="E2678" s="10"/>
      <c r="F2678" s="10"/>
      <c r="G2678" s="10"/>
    </row>
    <row r="2679" spans="1:7" x14ac:dyDescent="0.25">
      <c r="A2679" s="10"/>
      <c r="B2679" s="10"/>
      <c r="C2679" s="10"/>
      <c r="D2679" s="12"/>
      <c r="E2679" s="10"/>
      <c r="F2679" s="10"/>
      <c r="G2679" s="10"/>
    </row>
    <row r="2680" spans="1:7" x14ac:dyDescent="0.25">
      <c r="A2680" s="10"/>
      <c r="B2680" s="10"/>
      <c r="C2680" s="10"/>
      <c r="D2680" s="12"/>
      <c r="E2680" s="10"/>
      <c r="F2680" s="10"/>
      <c r="G2680" s="10"/>
    </row>
    <row r="2681" spans="1:7" x14ac:dyDescent="0.25">
      <c r="A2681" s="10"/>
      <c r="B2681" s="10"/>
      <c r="C2681" s="10"/>
      <c r="D2681" s="12"/>
      <c r="E2681" s="10"/>
      <c r="F2681" s="10"/>
      <c r="G2681" s="10"/>
    </row>
    <row r="2682" spans="1:7" x14ac:dyDescent="0.25">
      <c r="A2682" s="10"/>
      <c r="B2682" s="10"/>
      <c r="C2682" s="10"/>
      <c r="D2682" s="12"/>
      <c r="E2682" s="10"/>
      <c r="F2682" s="10"/>
      <c r="G2682" s="10"/>
    </row>
    <row r="2683" spans="1:7" x14ac:dyDescent="0.25">
      <c r="A2683" s="10"/>
      <c r="B2683" s="10"/>
      <c r="C2683" s="10"/>
      <c r="D2683" s="12"/>
      <c r="E2683" s="10"/>
      <c r="F2683" s="10"/>
      <c r="G2683" s="10"/>
    </row>
    <row r="2684" spans="1:7" x14ac:dyDescent="0.25">
      <c r="A2684" s="10"/>
      <c r="B2684" s="10"/>
      <c r="C2684" s="10"/>
      <c r="D2684" s="12"/>
      <c r="E2684" s="10"/>
      <c r="F2684" s="10"/>
      <c r="G2684" s="10"/>
    </row>
    <row r="2685" spans="1:7" x14ac:dyDescent="0.25">
      <c r="A2685" s="10"/>
      <c r="B2685" s="10"/>
      <c r="C2685" s="10"/>
      <c r="D2685" s="12"/>
      <c r="E2685" s="10"/>
      <c r="F2685" s="10"/>
      <c r="G2685" s="10"/>
    </row>
    <row r="2686" spans="1:7" x14ac:dyDescent="0.25">
      <c r="A2686" s="10"/>
      <c r="B2686" s="10"/>
      <c r="C2686" s="10"/>
      <c r="D2686" s="12"/>
      <c r="E2686" s="10"/>
      <c r="F2686" s="10"/>
      <c r="G2686" s="10"/>
    </row>
    <row r="2687" spans="1:7" x14ac:dyDescent="0.25">
      <c r="A2687" s="10"/>
      <c r="B2687" s="10"/>
      <c r="C2687" s="10"/>
      <c r="D2687" s="12"/>
      <c r="E2687" s="10"/>
      <c r="F2687" s="10"/>
      <c r="G2687" s="10"/>
    </row>
    <row r="2688" spans="1:7" x14ac:dyDescent="0.25">
      <c r="A2688" s="10"/>
      <c r="B2688" s="10"/>
      <c r="C2688" s="10"/>
      <c r="D2688" s="12"/>
      <c r="E2688" s="10"/>
      <c r="F2688" s="10"/>
      <c r="G2688" s="10"/>
    </row>
    <row r="2689" spans="1:7" x14ac:dyDescent="0.25">
      <c r="A2689" s="10"/>
      <c r="B2689" s="10"/>
      <c r="C2689" s="10"/>
      <c r="D2689" s="12"/>
      <c r="E2689" s="10"/>
      <c r="F2689" s="10"/>
      <c r="G2689" s="10"/>
    </row>
    <row r="2690" spans="1:7" x14ac:dyDescent="0.25">
      <c r="A2690" s="10"/>
      <c r="B2690" s="10"/>
      <c r="C2690" s="10"/>
      <c r="D2690" s="12"/>
      <c r="E2690" s="10"/>
      <c r="F2690" s="10"/>
      <c r="G2690" s="10"/>
    </row>
    <row r="2691" spans="1:7" x14ac:dyDescent="0.25">
      <c r="A2691" s="10"/>
      <c r="B2691" s="10"/>
      <c r="C2691" s="10"/>
      <c r="D2691" s="12"/>
      <c r="E2691" s="10"/>
      <c r="F2691" s="10"/>
      <c r="G2691" s="10"/>
    </row>
    <row r="2692" spans="1:7" x14ac:dyDescent="0.25">
      <c r="A2692" s="10"/>
      <c r="B2692" s="10"/>
      <c r="C2692" s="10"/>
      <c r="D2692" s="12"/>
      <c r="E2692" s="10"/>
      <c r="F2692" s="10"/>
      <c r="G2692" s="10"/>
    </row>
    <row r="2693" spans="1:7" x14ac:dyDescent="0.25">
      <c r="A2693" s="10"/>
      <c r="B2693" s="10"/>
      <c r="C2693" s="10"/>
      <c r="D2693" s="12"/>
      <c r="E2693" s="10"/>
      <c r="F2693" s="10"/>
      <c r="G2693" s="10"/>
    </row>
    <row r="2694" spans="1:7" x14ac:dyDescent="0.25">
      <c r="A2694" s="10"/>
      <c r="B2694" s="10"/>
      <c r="C2694" s="10"/>
      <c r="D2694" s="12"/>
      <c r="E2694" s="10"/>
      <c r="F2694" s="10"/>
      <c r="G2694" s="10"/>
    </row>
    <row r="2695" spans="1:7" x14ac:dyDescent="0.25">
      <c r="A2695" s="10"/>
      <c r="B2695" s="10"/>
      <c r="C2695" s="10"/>
      <c r="D2695" s="12"/>
      <c r="E2695" s="10"/>
      <c r="F2695" s="10"/>
      <c r="G2695" s="10"/>
    </row>
    <row r="2696" spans="1:7" x14ac:dyDescent="0.25">
      <c r="A2696" s="10"/>
      <c r="B2696" s="10"/>
      <c r="C2696" s="10"/>
      <c r="D2696" s="12"/>
      <c r="E2696" s="10"/>
      <c r="F2696" s="10"/>
      <c r="G2696" s="10"/>
    </row>
    <row r="2697" spans="1:7" x14ac:dyDescent="0.25">
      <c r="A2697" s="10"/>
      <c r="B2697" s="10"/>
      <c r="C2697" s="10"/>
      <c r="D2697" s="12"/>
      <c r="E2697" s="10"/>
      <c r="F2697" s="10"/>
      <c r="G2697" s="10"/>
    </row>
    <row r="2698" spans="1:7" x14ac:dyDescent="0.25">
      <c r="A2698" s="10"/>
      <c r="B2698" s="10"/>
      <c r="C2698" s="10"/>
      <c r="D2698" s="12"/>
      <c r="E2698" s="10"/>
      <c r="F2698" s="10"/>
      <c r="G2698" s="10"/>
    </row>
    <row r="2699" spans="1:7" x14ac:dyDescent="0.25">
      <c r="A2699" s="10"/>
      <c r="B2699" s="10"/>
      <c r="C2699" s="10"/>
      <c r="D2699" s="12"/>
      <c r="E2699" s="10"/>
      <c r="F2699" s="10"/>
      <c r="G2699" s="10"/>
    </row>
    <row r="2700" spans="1:7" x14ac:dyDescent="0.25">
      <c r="A2700" s="10"/>
      <c r="B2700" s="10"/>
      <c r="C2700" s="10"/>
      <c r="D2700" s="12"/>
      <c r="E2700" s="10"/>
      <c r="F2700" s="10"/>
      <c r="G2700" s="10"/>
    </row>
    <row r="2701" spans="1:7" x14ac:dyDescent="0.25">
      <c r="A2701" s="10"/>
      <c r="B2701" s="10"/>
      <c r="C2701" s="10"/>
      <c r="D2701" s="12"/>
      <c r="E2701" s="10"/>
      <c r="F2701" s="10"/>
      <c r="G2701" s="10"/>
    </row>
    <row r="2702" spans="1:7" x14ac:dyDescent="0.25">
      <c r="A2702" s="10"/>
      <c r="B2702" s="10"/>
      <c r="C2702" s="10"/>
      <c r="D2702" s="12"/>
      <c r="E2702" s="10"/>
      <c r="F2702" s="10"/>
      <c r="G2702" s="10"/>
    </row>
    <row r="2703" spans="1:7" x14ac:dyDescent="0.25">
      <c r="A2703" s="10"/>
      <c r="B2703" s="10"/>
      <c r="C2703" s="10"/>
      <c r="D2703" s="12"/>
      <c r="E2703" s="10"/>
      <c r="F2703" s="10"/>
      <c r="G2703" s="10"/>
    </row>
    <row r="2704" spans="1:7" x14ac:dyDescent="0.25">
      <c r="A2704" s="10"/>
      <c r="B2704" s="10"/>
      <c r="C2704" s="10"/>
      <c r="D2704" s="12"/>
      <c r="E2704" s="10"/>
      <c r="F2704" s="10"/>
      <c r="G2704" s="10"/>
    </row>
    <row r="2705" spans="1:7" x14ac:dyDescent="0.25">
      <c r="A2705" s="10"/>
      <c r="B2705" s="10"/>
      <c r="C2705" s="10"/>
      <c r="D2705" s="12"/>
      <c r="E2705" s="10"/>
      <c r="F2705" s="10"/>
      <c r="G2705" s="10"/>
    </row>
    <row r="2706" spans="1:7" x14ac:dyDescent="0.25">
      <c r="A2706" s="10"/>
      <c r="B2706" s="10"/>
      <c r="C2706" s="10"/>
      <c r="D2706" s="12"/>
      <c r="E2706" s="10"/>
      <c r="F2706" s="10"/>
      <c r="G2706" s="10"/>
    </row>
    <row r="2707" spans="1:7" x14ac:dyDescent="0.25">
      <c r="A2707" s="10"/>
      <c r="B2707" s="10"/>
      <c r="C2707" s="10"/>
      <c r="D2707" s="12"/>
      <c r="E2707" s="10"/>
      <c r="F2707" s="10"/>
      <c r="G2707" s="10"/>
    </row>
    <row r="2708" spans="1:7" x14ac:dyDescent="0.25">
      <c r="A2708" s="10"/>
      <c r="B2708" s="10"/>
      <c r="C2708" s="10"/>
      <c r="D2708" s="12"/>
      <c r="E2708" s="10"/>
      <c r="F2708" s="10"/>
      <c r="G2708" s="10"/>
    </row>
    <row r="2709" spans="1:7" x14ac:dyDescent="0.25">
      <c r="A2709" s="10"/>
      <c r="B2709" s="10"/>
      <c r="C2709" s="10"/>
      <c r="D2709" s="12"/>
      <c r="E2709" s="10"/>
      <c r="F2709" s="10"/>
      <c r="G2709" s="10"/>
    </row>
    <row r="2710" spans="1:7" x14ac:dyDescent="0.25">
      <c r="A2710" s="10"/>
      <c r="B2710" s="10"/>
      <c r="C2710" s="10"/>
      <c r="D2710" s="12"/>
      <c r="E2710" s="10"/>
      <c r="F2710" s="10"/>
      <c r="G2710" s="10"/>
    </row>
    <row r="2711" spans="1:7" x14ac:dyDescent="0.25">
      <c r="A2711" s="10"/>
      <c r="B2711" s="10"/>
      <c r="C2711" s="10"/>
      <c r="D2711" s="12"/>
      <c r="E2711" s="10"/>
      <c r="F2711" s="10"/>
      <c r="G2711" s="10"/>
    </row>
    <row r="2712" spans="1:7" x14ac:dyDescent="0.25">
      <c r="A2712" s="10"/>
      <c r="B2712" s="10"/>
      <c r="C2712" s="10"/>
      <c r="D2712" s="12"/>
      <c r="E2712" s="10"/>
      <c r="F2712" s="10"/>
      <c r="G2712" s="10"/>
    </row>
    <row r="2713" spans="1:7" x14ac:dyDescent="0.25">
      <c r="A2713" s="10"/>
      <c r="B2713" s="10"/>
      <c r="C2713" s="10"/>
      <c r="D2713" s="12"/>
      <c r="E2713" s="10"/>
      <c r="F2713" s="10"/>
      <c r="G2713" s="10"/>
    </row>
    <row r="2714" spans="1:7" x14ac:dyDescent="0.25">
      <c r="A2714" s="10"/>
      <c r="B2714" s="10"/>
      <c r="C2714" s="10"/>
      <c r="D2714" s="12"/>
      <c r="E2714" s="10"/>
      <c r="F2714" s="10"/>
      <c r="G2714" s="10"/>
    </row>
    <row r="2715" spans="1:7" x14ac:dyDescent="0.25">
      <c r="A2715" s="10"/>
      <c r="B2715" s="10"/>
      <c r="C2715" s="10"/>
      <c r="D2715" s="12"/>
      <c r="E2715" s="10"/>
      <c r="F2715" s="10"/>
      <c r="G2715" s="10"/>
    </row>
    <row r="2716" spans="1:7" x14ac:dyDescent="0.25">
      <c r="A2716" s="10"/>
      <c r="B2716" s="10"/>
      <c r="C2716" s="10"/>
      <c r="D2716" s="12"/>
      <c r="E2716" s="10"/>
      <c r="F2716" s="10"/>
      <c r="G2716" s="10"/>
    </row>
    <row r="2717" spans="1:7" x14ac:dyDescent="0.25">
      <c r="A2717" s="10"/>
      <c r="B2717" s="10"/>
      <c r="C2717" s="10"/>
      <c r="D2717" s="12"/>
      <c r="E2717" s="10"/>
      <c r="F2717" s="10"/>
      <c r="G2717" s="10"/>
    </row>
    <row r="2718" spans="1:7" x14ac:dyDescent="0.25">
      <c r="A2718" s="10"/>
      <c r="B2718" s="10"/>
      <c r="C2718" s="10"/>
      <c r="D2718" s="12"/>
      <c r="E2718" s="10"/>
      <c r="F2718" s="10"/>
      <c r="G2718" s="10"/>
    </row>
    <row r="2719" spans="1:7" x14ac:dyDescent="0.25">
      <c r="A2719" s="10"/>
      <c r="B2719" s="10"/>
      <c r="C2719" s="10"/>
      <c r="D2719" s="12"/>
      <c r="E2719" s="10"/>
      <c r="F2719" s="10"/>
      <c r="G2719" s="10"/>
    </row>
    <row r="2720" spans="1:7" x14ac:dyDescent="0.25">
      <c r="A2720" s="10"/>
      <c r="B2720" s="10"/>
      <c r="C2720" s="10"/>
      <c r="D2720" s="12"/>
      <c r="E2720" s="10"/>
      <c r="F2720" s="10"/>
      <c r="G2720" s="10"/>
    </row>
    <row r="2721" spans="1:7" x14ac:dyDescent="0.25">
      <c r="A2721" s="10"/>
      <c r="B2721" s="10"/>
      <c r="C2721" s="10"/>
      <c r="D2721" s="12"/>
      <c r="E2721" s="10"/>
      <c r="F2721" s="10"/>
      <c r="G2721" s="10"/>
    </row>
    <row r="2722" spans="1:7" x14ac:dyDescent="0.25">
      <c r="A2722" s="10"/>
      <c r="B2722" s="10"/>
      <c r="C2722" s="10"/>
      <c r="D2722" s="12"/>
      <c r="E2722" s="10"/>
      <c r="F2722" s="10"/>
      <c r="G2722" s="10"/>
    </row>
    <row r="2723" spans="1:7" x14ac:dyDescent="0.25">
      <c r="A2723" s="10"/>
      <c r="B2723" s="10"/>
      <c r="C2723" s="10"/>
      <c r="D2723" s="12"/>
      <c r="E2723" s="10"/>
      <c r="F2723" s="10"/>
      <c r="G2723" s="10"/>
    </row>
    <row r="2724" spans="1:7" x14ac:dyDescent="0.25">
      <c r="A2724" s="10"/>
      <c r="B2724" s="10"/>
      <c r="C2724" s="10"/>
      <c r="D2724" s="12"/>
      <c r="E2724" s="10"/>
      <c r="F2724" s="10"/>
      <c r="G2724" s="10"/>
    </row>
    <row r="2725" spans="1:7" x14ac:dyDescent="0.25">
      <c r="A2725" s="10"/>
      <c r="B2725" s="10"/>
      <c r="C2725" s="10"/>
      <c r="D2725" s="12"/>
      <c r="E2725" s="10"/>
      <c r="F2725" s="10"/>
      <c r="G2725" s="10"/>
    </row>
    <row r="2726" spans="1:7" x14ac:dyDescent="0.25">
      <c r="A2726" s="10"/>
      <c r="B2726" s="10"/>
      <c r="C2726" s="10"/>
      <c r="D2726" s="12"/>
      <c r="E2726" s="10"/>
      <c r="F2726" s="10"/>
      <c r="G2726" s="10"/>
    </row>
    <row r="2727" spans="1:7" x14ac:dyDescent="0.25">
      <c r="A2727" s="10"/>
      <c r="B2727" s="10"/>
      <c r="C2727" s="10"/>
      <c r="D2727" s="12"/>
      <c r="E2727" s="10"/>
      <c r="F2727" s="10"/>
      <c r="G2727" s="10"/>
    </row>
    <row r="2728" spans="1:7" x14ac:dyDescent="0.25">
      <c r="A2728" s="10"/>
      <c r="B2728" s="10"/>
      <c r="C2728" s="10"/>
      <c r="D2728" s="12"/>
      <c r="E2728" s="10"/>
      <c r="F2728" s="10"/>
      <c r="G2728" s="10"/>
    </row>
    <row r="2729" spans="1:7" x14ac:dyDescent="0.25">
      <c r="A2729" s="10"/>
      <c r="B2729" s="10"/>
      <c r="C2729" s="10"/>
      <c r="D2729" s="12"/>
      <c r="E2729" s="10"/>
      <c r="F2729" s="10"/>
      <c r="G2729" s="10"/>
    </row>
    <row r="2730" spans="1:7" x14ac:dyDescent="0.25">
      <c r="A2730" s="10"/>
      <c r="B2730" s="10"/>
      <c r="C2730" s="10"/>
      <c r="D2730" s="12"/>
      <c r="E2730" s="10"/>
      <c r="F2730" s="10"/>
      <c r="G2730" s="10"/>
    </row>
    <row r="2731" spans="1:7" x14ac:dyDescent="0.25">
      <c r="A2731" s="10"/>
      <c r="B2731" s="10"/>
      <c r="C2731" s="10"/>
      <c r="D2731" s="12"/>
      <c r="E2731" s="10"/>
      <c r="F2731" s="10"/>
      <c r="G2731" s="10"/>
    </row>
    <row r="2732" spans="1:7" x14ac:dyDescent="0.25">
      <c r="A2732" s="10"/>
      <c r="B2732" s="10"/>
      <c r="C2732" s="10"/>
      <c r="D2732" s="12"/>
      <c r="E2732" s="10"/>
      <c r="F2732" s="10"/>
      <c r="G2732" s="10"/>
    </row>
    <row r="2733" spans="1:7" x14ac:dyDescent="0.25">
      <c r="A2733" s="10"/>
      <c r="B2733" s="10"/>
      <c r="C2733" s="10"/>
      <c r="D2733" s="12"/>
      <c r="E2733" s="10"/>
      <c r="F2733" s="10"/>
      <c r="G2733" s="10"/>
    </row>
    <row r="2734" spans="1:7" x14ac:dyDescent="0.25">
      <c r="A2734" s="10"/>
      <c r="B2734" s="10"/>
      <c r="C2734" s="10"/>
      <c r="D2734" s="12"/>
      <c r="E2734" s="10"/>
      <c r="F2734" s="10"/>
      <c r="G2734" s="10"/>
    </row>
    <row r="2735" spans="1:7" x14ac:dyDescent="0.25">
      <c r="A2735" s="10"/>
      <c r="B2735" s="10"/>
      <c r="C2735" s="10"/>
      <c r="D2735" s="12"/>
      <c r="E2735" s="10"/>
      <c r="F2735" s="10"/>
      <c r="G2735" s="10"/>
    </row>
    <row r="2736" spans="1:7" x14ac:dyDescent="0.25">
      <c r="A2736" s="10"/>
      <c r="B2736" s="10"/>
      <c r="C2736" s="10"/>
      <c r="D2736" s="12"/>
      <c r="E2736" s="10"/>
      <c r="F2736" s="10"/>
      <c r="G2736" s="10"/>
    </row>
    <row r="2737" spans="1:7" x14ac:dyDescent="0.25">
      <c r="A2737" s="10"/>
      <c r="B2737" s="10"/>
      <c r="C2737" s="10"/>
      <c r="D2737" s="12"/>
      <c r="E2737" s="10"/>
      <c r="F2737" s="10"/>
      <c r="G2737" s="10"/>
    </row>
    <row r="2738" spans="1:7" x14ac:dyDescent="0.25">
      <c r="A2738" s="10"/>
      <c r="B2738" s="10"/>
      <c r="C2738" s="10"/>
      <c r="D2738" s="12"/>
      <c r="E2738" s="10"/>
      <c r="F2738" s="10"/>
      <c r="G2738" s="10"/>
    </row>
    <row r="2739" spans="1:7" x14ac:dyDescent="0.25">
      <c r="A2739" s="10"/>
      <c r="B2739" s="10"/>
      <c r="C2739" s="10"/>
      <c r="D2739" s="12"/>
      <c r="E2739" s="10"/>
      <c r="F2739" s="10"/>
      <c r="G2739" s="10"/>
    </row>
    <row r="2740" spans="1:7" x14ac:dyDescent="0.25">
      <c r="A2740" s="10"/>
      <c r="B2740" s="10"/>
      <c r="C2740" s="10"/>
      <c r="D2740" s="12"/>
      <c r="E2740" s="10"/>
      <c r="F2740" s="10"/>
      <c r="G2740" s="10"/>
    </row>
    <row r="2741" spans="1:7" x14ac:dyDescent="0.25">
      <c r="A2741" s="10"/>
      <c r="B2741" s="10"/>
      <c r="C2741" s="10"/>
      <c r="D2741" s="12"/>
      <c r="E2741" s="10"/>
      <c r="F2741" s="10"/>
      <c r="G2741" s="10"/>
    </row>
    <row r="2742" spans="1:7" x14ac:dyDescent="0.25">
      <c r="A2742" s="10"/>
      <c r="B2742" s="10"/>
      <c r="C2742" s="10"/>
      <c r="D2742" s="12"/>
      <c r="E2742" s="10"/>
      <c r="F2742" s="10"/>
      <c r="G2742" s="10"/>
    </row>
    <row r="2743" spans="1:7" x14ac:dyDescent="0.25">
      <c r="A2743" s="10"/>
      <c r="B2743" s="10"/>
      <c r="C2743" s="10"/>
      <c r="D2743" s="12"/>
      <c r="E2743" s="10"/>
      <c r="F2743" s="10"/>
      <c r="G2743" s="10"/>
    </row>
    <row r="2744" spans="1:7" x14ac:dyDescent="0.25">
      <c r="A2744" s="10"/>
      <c r="B2744" s="10"/>
      <c r="C2744" s="10"/>
      <c r="D2744" s="12"/>
      <c r="E2744" s="10"/>
      <c r="F2744" s="10"/>
      <c r="G2744" s="10"/>
    </row>
    <row r="2745" spans="1:7" x14ac:dyDescent="0.25">
      <c r="A2745" s="10"/>
      <c r="B2745" s="10"/>
      <c r="C2745" s="10"/>
      <c r="D2745" s="12"/>
      <c r="E2745" s="10"/>
      <c r="F2745" s="10"/>
      <c r="G2745" s="10"/>
    </row>
    <row r="2746" spans="1:7" x14ac:dyDescent="0.25">
      <c r="A2746" s="10"/>
      <c r="B2746" s="10"/>
      <c r="C2746" s="10"/>
      <c r="D2746" s="12"/>
      <c r="E2746" s="10"/>
      <c r="F2746" s="10"/>
      <c r="G2746" s="10"/>
    </row>
    <row r="2747" spans="1:7" x14ac:dyDescent="0.25">
      <c r="A2747" s="10"/>
      <c r="B2747" s="10"/>
      <c r="C2747" s="10"/>
      <c r="D2747" s="12"/>
      <c r="E2747" s="10"/>
      <c r="F2747" s="10"/>
      <c r="G2747" s="10"/>
    </row>
    <row r="2748" spans="1:7" x14ac:dyDescent="0.25">
      <c r="A2748" s="10"/>
      <c r="B2748" s="10"/>
      <c r="C2748" s="10"/>
      <c r="D2748" s="12"/>
      <c r="E2748" s="10"/>
      <c r="F2748" s="10"/>
      <c r="G2748" s="10"/>
    </row>
    <row r="2749" spans="1:7" x14ac:dyDescent="0.25">
      <c r="A2749" s="10"/>
      <c r="B2749" s="10"/>
      <c r="C2749" s="10"/>
      <c r="D2749" s="12"/>
      <c r="E2749" s="10"/>
      <c r="F2749" s="10"/>
      <c r="G2749" s="10"/>
    </row>
    <row r="2750" spans="1:7" x14ac:dyDescent="0.25">
      <c r="A2750" s="10"/>
      <c r="B2750" s="10"/>
      <c r="C2750" s="10"/>
      <c r="D2750" s="12"/>
      <c r="E2750" s="10"/>
      <c r="F2750" s="10"/>
      <c r="G2750" s="10"/>
    </row>
    <row r="2751" spans="1:7" x14ac:dyDescent="0.25">
      <c r="A2751" s="10"/>
      <c r="B2751" s="10"/>
      <c r="C2751" s="10"/>
      <c r="D2751" s="12"/>
      <c r="E2751" s="10"/>
      <c r="F2751" s="10"/>
      <c r="G2751" s="10"/>
    </row>
    <row r="2752" spans="1:7" x14ac:dyDescent="0.25">
      <c r="A2752" s="10"/>
      <c r="B2752" s="10"/>
      <c r="C2752" s="10"/>
      <c r="D2752" s="12"/>
      <c r="E2752" s="10"/>
      <c r="F2752" s="10"/>
      <c r="G2752" s="10"/>
    </row>
    <row r="2753" spans="1:7" x14ac:dyDescent="0.25">
      <c r="A2753" s="10"/>
      <c r="B2753" s="10"/>
      <c r="C2753" s="10"/>
      <c r="D2753" s="12"/>
      <c r="E2753" s="10"/>
      <c r="F2753" s="10"/>
      <c r="G2753" s="10"/>
    </row>
    <row r="2754" spans="1:7" x14ac:dyDescent="0.25">
      <c r="A2754" s="10"/>
      <c r="B2754" s="10"/>
      <c r="C2754" s="10"/>
      <c r="D2754" s="12"/>
      <c r="E2754" s="10"/>
      <c r="F2754" s="10"/>
      <c r="G2754" s="10"/>
    </row>
    <row r="2755" spans="1:7" x14ac:dyDescent="0.25">
      <c r="A2755" s="10"/>
      <c r="B2755" s="10"/>
      <c r="C2755" s="10"/>
      <c r="D2755" s="12"/>
      <c r="E2755" s="10"/>
      <c r="F2755" s="10"/>
      <c r="G2755" s="10"/>
    </row>
    <row r="2756" spans="1:7" x14ac:dyDescent="0.25">
      <c r="A2756" s="10"/>
      <c r="B2756" s="10"/>
      <c r="C2756" s="10"/>
      <c r="D2756" s="12"/>
      <c r="E2756" s="10"/>
      <c r="F2756" s="10"/>
      <c r="G2756" s="10"/>
    </row>
    <row r="2757" spans="1:7" x14ac:dyDescent="0.25">
      <c r="A2757" s="10"/>
      <c r="B2757" s="10"/>
      <c r="C2757" s="10"/>
      <c r="D2757" s="12"/>
      <c r="E2757" s="10"/>
      <c r="F2757" s="10"/>
      <c r="G2757" s="10"/>
    </row>
    <row r="2758" spans="1:7" x14ac:dyDescent="0.25">
      <c r="A2758" s="10"/>
      <c r="B2758" s="10"/>
      <c r="C2758" s="10"/>
      <c r="D2758" s="12"/>
      <c r="E2758" s="10"/>
      <c r="F2758" s="10"/>
      <c r="G2758" s="10"/>
    </row>
    <row r="2759" spans="1:7" x14ac:dyDescent="0.25">
      <c r="A2759" s="10"/>
      <c r="B2759" s="10"/>
      <c r="C2759" s="10"/>
      <c r="D2759" s="12"/>
      <c r="E2759" s="10"/>
      <c r="F2759" s="10"/>
      <c r="G2759" s="10"/>
    </row>
    <row r="2760" spans="1:7" x14ac:dyDescent="0.25">
      <c r="A2760" s="10"/>
      <c r="B2760" s="10"/>
      <c r="C2760" s="10"/>
      <c r="D2760" s="12"/>
      <c r="E2760" s="10"/>
      <c r="F2760" s="10"/>
      <c r="G2760" s="10"/>
    </row>
    <row r="2761" spans="1:7" x14ac:dyDescent="0.25">
      <c r="A2761" s="10"/>
      <c r="B2761" s="10"/>
      <c r="C2761" s="10"/>
      <c r="D2761" s="12"/>
      <c r="E2761" s="10"/>
      <c r="F2761" s="10"/>
      <c r="G2761" s="10"/>
    </row>
    <row r="2762" spans="1:7" x14ac:dyDescent="0.25">
      <c r="A2762" s="10"/>
      <c r="B2762" s="10"/>
      <c r="C2762" s="10"/>
      <c r="D2762" s="12"/>
      <c r="E2762" s="10"/>
      <c r="F2762" s="10"/>
      <c r="G2762" s="10"/>
    </row>
    <row r="2763" spans="1:7" x14ac:dyDescent="0.25">
      <c r="A2763" s="10"/>
      <c r="B2763" s="10"/>
      <c r="C2763" s="10"/>
      <c r="D2763" s="12"/>
      <c r="E2763" s="10"/>
      <c r="F2763" s="10"/>
      <c r="G2763" s="10"/>
    </row>
    <row r="2764" spans="1:7" x14ac:dyDescent="0.25">
      <c r="A2764" s="10"/>
      <c r="B2764" s="10"/>
      <c r="C2764" s="10"/>
      <c r="D2764" s="12"/>
      <c r="E2764" s="10"/>
      <c r="F2764" s="10"/>
      <c r="G2764" s="10"/>
    </row>
    <row r="2765" spans="1:7" x14ac:dyDescent="0.25">
      <c r="A2765" s="10"/>
      <c r="B2765" s="10"/>
      <c r="C2765" s="10"/>
      <c r="D2765" s="12"/>
      <c r="E2765" s="10"/>
      <c r="F2765" s="10"/>
      <c r="G2765" s="10"/>
    </row>
    <row r="2766" spans="1:7" x14ac:dyDescent="0.25">
      <c r="A2766" s="10"/>
      <c r="B2766" s="10"/>
      <c r="C2766" s="10"/>
      <c r="D2766" s="12"/>
      <c r="E2766" s="10"/>
      <c r="F2766" s="10"/>
      <c r="G2766" s="10"/>
    </row>
    <row r="2767" spans="1:7" x14ac:dyDescent="0.25">
      <c r="A2767" s="10"/>
      <c r="B2767" s="10"/>
      <c r="C2767" s="10"/>
      <c r="D2767" s="12"/>
      <c r="E2767" s="10"/>
      <c r="F2767" s="10"/>
      <c r="G2767" s="10"/>
    </row>
    <row r="2768" spans="1:7" x14ac:dyDescent="0.25">
      <c r="A2768" s="10"/>
      <c r="B2768" s="10"/>
      <c r="C2768" s="10"/>
      <c r="D2768" s="12"/>
      <c r="E2768" s="10"/>
      <c r="F2768" s="10"/>
      <c r="G2768" s="10"/>
    </row>
    <row r="2769" spans="1:7" x14ac:dyDescent="0.25">
      <c r="A2769" s="10"/>
      <c r="B2769" s="10"/>
      <c r="C2769" s="10"/>
      <c r="D2769" s="12"/>
      <c r="E2769" s="10"/>
      <c r="F2769" s="10"/>
      <c r="G2769" s="10"/>
    </row>
    <row r="2770" spans="1:7" x14ac:dyDescent="0.25">
      <c r="A2770" s="10"/>
      <c r="B2770" s="10"/>
      <c r="C2770" s="10"/>
      <c r="D2770" s="12"/>
      <c r="E2770" s="10"/>
      <c r="F2770" s="10"/>
      <c r="G2770" s="10"/>
    </row>
    <row r="2771" spans="1:7" x14ac:dyDescent="0.25">
      <c r="A2771" s="10"/>
      <c r="B2771" s="10"/>
      <c r="C2771" s="10"/>
      <c r="D2771" s="12"/>
      <c r="E2771" s="10"/>
      <c r="F2771" s="10"/>
      <c r="G2771" s="10"/>
    </row>
    <row r="2772" spans="1:7" x14ac:dyDescent="0.25">
      <c r="A2772" s="10"/>
      <c r="B2772" s="10"/>
      <c r="C2772" s="10"/>
      <c r="D2772" s="12"/>
      <c r="E2772" s="10"/>
      <c r="F2772" s="10"/>
      <c r="G2772" s="10"/>
    </row>
    <row r="2773" spans="1:7" x14ac:dyDescent="0.25">
      <c r="A2773" s="10"/>
      <c r="B2773" s="10"/>
      <c r="C2773" s="10"/>
      <c r="D2773" s="12"/>
      <c r="E2773" s="10"/>
      <c r="F2773" s="10"/>
      <c r="G2773" s="10"/>
    </row>
    <row r="2774" spans="1:7" x14ac:dyDescent="0.25">
      <c r="A2774" s="10"/>
      <c r="B2774" s="10"/>
      <c r="C2774" s="10"/>
      <c r="D2774" s="12"/>
      <c r="E2774" s="10"/>
      <c r="F2774" s="10"/>
      <c r="G2774" s="10"/>
    </row>
    <row r="2775" spans="1:7" x14ac:dyDescent="0.25">
      <c r="A2775" s="10"/>
      <c r="B2775" s="10"/>
      <c r="C2775" s="10"/>
      <c r="D2775" s="12"/>
      <c r="E2775" s="10"/>
      <c r="F2775" s="10"/>
      <c r="G2775" s="10"/>
    </row>
    <row r="2776" spans="1:7" x14ac:dyDescent="0.25">
      <c r="A2776" s="10"/>
      <c r="B2776" s="10"/>
      <c r="C2776" s="10"/>
      <c r="D2776" s="12"/>
      <c r="E2776" s="10"/>
      <c r="F2776" s="10"/>
      <c r="G2776" s="10"/>
    </row>
    <row r="2777" spans="1:7" x14ac:dyDescent="0.25">
      <c r="A2777" s="10"/>
      <c r="B2777" s="10"/>
      <c r="C2777" s="10"/>
      <c r="D2777" s="12"/>
      <c r="E2777" s="10"/>
      <c r="F2777" s="10"/>
      <c r="G2777" s="10"/>
    </row>
    <row r="2778" spans="1:7" x14ac:dyDescent="0.25">
      <c r="A2778" s="10"/>
      <c r="B2778" s="10"/>
      <c r="C2778" s="10"/>
      <c r="D2778" s="12"/>
      <c r="E2778" s="10"/>
      <c r="F2778" s="10"/>
      <c r="G2778" s="10"/>
    </row>
    <row r="2779" spans="1:7" x14ac:dyDescent="0.25">
      <c r="A2779" s="10"/>
      <c r="B2779" s="10"/>
      <c r="C2779" s="10"/>
      <c r="D2779" s="12"/>
      <c r="E2779" s="10"/>
      <c r="F2779" s="10"/>
      <c r="G2779" s="10"/>
    </row>
    <row r="2780" spans="1:7" x14ac:dyDescent="0.25">
      <c r="A2780" s="10"/>
      <c r="B2780" s="10"/>
      <c r="C2780" s="10"/>
      <c r="D2780" s="12"/>
      <c r="E2780" s="10"/>
      <c r="F2780" s="10"/>
      <c r="G2780" s="10"/>
    </row>
    <row r="2781" spans="1:7" x14ac:dyDescent="0.25">
      <c r="A2781" s="10"/>
      <c r="B2781" s="10"/>
      <c r="C2781" s="10"/>
      <c r="D2781" s="12"/>
      <c r="E2781" s="10"/>
      <c r="F2781" s="10"/>
      <c r="G2781" s="10"/>
    </row>
    <row r="2782" spans="1:7" x14ac:dyDescent="0.25">
      <c r="A2782" s="10"/>
      <c r="B2782" s="10"/>
      <c r="C2782" s="10"/>
      <c r="D2782" s="12"/>
      <c r="E2782" s="10"/>
      <c r="F2782" s="10"/>
      <c r="G2782" s="10"/>
    </row>
    <row r="2783" spans="1:7" x14ac:dyDescent="0.25">
      <c r="A2783" s="10"/>
      <c r="B2783" s="10"/>
      <c r="C2783" s="10"/>
      <c r="D2783" s="12"/>
      <c r="E2783" s="10"/>
      <c r="F2783" s="10"/>
      <c r="G2783" s="10"/>
    </row>
    <row r="2784" spans="1:7" x14ac:dyDescent="0.25">
      <c r="A2784" s="10"/>
      <c r="B2784" s="10"/>
      <c r="C2784" s="10"/>
      <c r="D2784" s="12"/>
      <c r="E2784" s="10"/>
      <c r="F2784" s="10"/>
      <c r="G2784" s="10"/>
    </row>
    <row r="2785" spans="1:7" x14ac:dyDescent="0.25">
      <c r="A2785" s="10"/>
      <c r="B2785" s="10"/>
      <c r="C2785" s="10"/>
      <c r="D2785" s="12"/>
      <c r="E2785" s="10"/>
      <c r="F2785" s="10"/>
      <c r="G2785" s="10"/>
    </row>
    <row r="2786" spans="1:7" x14ac:dyDescent="0.25">
      <c r="A2786" s="10"/>
      <c r="B2786" s="10"/>
      <c r="C2786" s="10"/>
      <c r="D2786" s="12"/>
      <c r="E2786" s="10"/>
      <c r="F2786" s="10"/>
      <c r="G2786" s="10"/>
    </row>
    <row r="2787" spans="1:7" x14ac:dyDescent="0.25">
      <c r="A2787" s="10"/>
      <c r="B2787" s="10"/>
      <c r="C2787" s="10"/>
      <c r="D2787" s="12"/>
      <c r="E2787" s="10"/>
      <c r="F2787" s="10"/>
      <c r="G2787" s="10"/>
    </row>
    <row r="2788" spans="1:7" x14ac:dyDescent="0.25">
      <c r="A2788" s="10"/>
      <c r="B2788" s="10"/>
      <c r="C2788" s="10"/>
      <c r="D2788" s="12"/>
      <c r="E2788" s="10"/>
      <c r="F2788" s="10"/>
      <c r="G2788" s="10"/>
    </row>
    <row r="2789" spans="1:7" x14ac:dyDescent="0.25">
      <c r="A2789" s="10"/>
      <c r="B2789" s="10"/>
      <c r="C2789" s="10"/>
      <c r="D2789" s="12"/>
      <c r="E2789" s="10"/>
      <c r="F2789" s="10"/>
      <c r="G2789" s="10"/>
    </row>
    <row r="2790" spans="1:7" x14ac:dyDescent="0.25">
      <c r="A2790" s="10"/>
      <c r="B2790" s="10"/>
      <c r="C2790" s="10"/>
      <c r="D2790" s="12"/>
      <c r="E2790" s="10"/>
      <c r="F2790" s="10"/>
      <c r="G2790" s="10"/>
    </row>
    <row r="2791" spans="1:7" x14ac:dyDescent="0.25">
      <c r="A2791" s="10"/>
      <c r="B2791" s="10"/>
      <c r="C2791" s="10"/>
      <c r="D2791" s="12"/>
      <c r="E2791" s="10"/>
      <c r="F2791" s="10"/>
      <c r="G2791" s="10"/>
    </row>
    <row r="2792" spans="1:7" x14ac:dyDescent="0.25">
      <c r="A2792" s="10"/>
      <c r="B2792" s="10"/>
      <c r="C2792" s="10"/>
      <c r="D2792" s="12"/>
      <c r="E2792" s="10"/>
      <c r="F2792" s="10"/>
      <c r="G2792" s="10"/>
    </row>
    <row r="2793" spans="1:7" x14ac:dyDescent="0.25">
      <c r="A2793" s="10"/>
      <c r="B2793" s="10"/>
      <c r="C2793" s="10"/>
      <c r="D2793" s="12"/>
      <c r="E2793" s="10"/>
      <c r="F2793" s="10"/>
      <c r="G2793" s="10"/>
    </row>
    <row r="2794" spans="1:7" x14ac:dyDescent="0.25">
      <c r="A2794" s="10"/>
      <c r="B2794" s="10"/>
      <c r="C2794" s="10"/>
      <c r="D2794" s="12"/>
      <c r="E2794" s="10"/>
      <c r="F2794" s="10"/>
      <c r="G2794" s="10"/>
    </row>
    <row r="2795" spans="1:7" x14ac:dyDescent="0.25">
      <c r="A2795" s="10"/>
      <c r="B2795" s="10"/>
      <c r="C2795" s="10"/>
      <c r="D2795" s="12"/>
      <c r="E2795" s="10"/>
      <c r="F2795" s="10"/>
      <c r="G2795" s="10"/>
    </row>
    <row r="2796" spans="1:7" x14ac:dyDescent="0.25">
      <c r="A2796" s="10"/>
      <c r="B2796" s="10"/>
      <c r="C2796" s="10"/>
      <c r="D2796" s="12"/>
      <c r="E2796" s="10"/>
      <c r="F2796" s="10"/>
      <c r="G2796" s="10"/>
    </row>
    <row r="2797" spans="1:7" x14ac:dyDescent="0.25">
      <c r="A2797" s="10"/>
      <c r="B2797" s="10"/>
      <c r="C2797" s="10"/>
      <c r="D2797" s="12"/>
      <c r="E2797" s="10"/>
      <c r="F2797" s="10"/>
      <c r="G2797" s="10"/>
    </row>
    <row r="2798" spans="1:7" x14ac:dyDescent="0.25">
      <c r="A2798" s="10"/>
      <c r="B2798" s="10"/>
      <c r="C2798" s="10"/>
      <c r="D2798" s="12"/>
      <c r="E2798" s="10"/>
      <c r="F2798" s="10"/>
      <c r="G2798" s="10"/>
    </row>
    <row r="2799" spans="1:7" x14ac:dyDescent="0.25">
      <c r="A2799" s="10"/>
      <c r="B2799" s="10"/>
      <c r="C2799" s="10"/>
      <c r="D2799" s="12"/>
      <c r="E2799" s="10"/>
      <c r="F2799" s="10"/>
      <c r="G2799" s="10"/>
    </row>
    <row r="2800" spans="1:7" x14ac:dyDescent="0.25">
      <c r="A2800" s="10"/>
      <c r="B2800" s="10"/>
      <c r="C2800" s="10"/>
      <c r="D2800" s="12"/>
      <c r="E2800" s="10"/>
      <c r="F2800" s="10"/>
      <c r="G2800" s="10"/>
    </row>
    <row r="2801" spans="1:7" x14ac:dyDescent="0.25">
      <c r="A2801" s="10"/>
      <c r="B2801" s="10"/>
      <c r="C2801" s="10"/>
      <c r="D2801" s="12"/>
      <c r="E2801" s="10"/>
      <c r="F2801" s="10"/>
      <c r="G2801" s="10"/>
    </row>
    <row r="2802" spans="1:7" x14ac:dyDescent="0.25">
      <c r="A2802" s="10"/>
      <c r="B2802" s="10"/>
      <c r="C2802" s="10"/>
      <c r="D2802" s="12"/>
      <c r="E2802" s="10"/>
      <c r="F2802" s="10"/>
      <c r="G2802" s="10"/>
    </row>
    <row r="2803" spans="1:7" x14ac:dyDescent="0.25">
      <c r="A2803" s="10"/>
      <c r="B2803" s="10"/>
      <c r="C2803" s="10"/>
      <c r="D2803" s="12"/>
      <c r="E2803" s="10"/>
      <c r="F2803" s="10"/>
      <c r="G2803" s="10"/>
    </row>
    <row r="2804" spans="1:7" x14ac:dyDescent="0.25">
      <c r="A2804" s="10"/>
      <c r="B2804" s="10"/>
      <c r="C2804" s="10"/>
      <c r="D2804" s="12"/>
      <c r="E2804" s="10"/>
      <c r="F2804" s="10"/>
      <c r="G2804" s="10"/>
    </row>
    <row r="2805" spans="1:7" x14ac:dyDescent="0.25">
      <c r="A2805" s="10"/>
      <c r="B2805" s="10"/>
      <c r="C2805" s="10"/>
      <c r="D2805" s="12"/>
      <c r="E2805" s="10"/>
      <c r="F2805" s="10"/>
      <c r="G2805" s="10"/>
    </row>
    <row r="2806" spans="1:7" x14ac:dyDescent="0.25">
      <c r="A2806" s="10"/>
      <c r="B2806" s="10"/>
      <c r="C2806" s="10"/>
      <c r="D2806" s="12"/>
      <c r="E2806" s="10"/>
      <c r="F2806" s="10"/>
      <c r="G2806" s="10"/>
    </row>
    <row r="2807" spans="1:7" x14ac:dyDescent="0.25">
      <c r="A2807" s="10"/>
      <c r="B2807" s="10"/>
      <c r="C2807" s="10"/>
      <c r="D2807" s="12"/>
      <c r="E2807" s="10"/>
      <c r="F2807" s="10"/>
      <c r="G2807" s="10"/>
    </row>
    <row r="2808" spans="1:7" x14ac:dyDescent="0.25">
      <c r="A2808" s="10"/>
      <c r="B2808" s="10"/>
      <c r="C2808" s="10"/>
      <c r="D2808" s="12"/>
      <c r="E2808" s="10"/>
      <c r="F2808" s="10"/>
      <c r="G2808" s="10"/>
    </row>
    <row r="2809" spans="1:7" x14ac:dyDescent="0.25">
      <c r="A2809" s="10"/>
      <c r="B2809" s="10"/>
      <c r="C2809" s="10"/>
      <c r="D2809" s="12"/>
      <c r="E2809" s="10"/>
      <c r="F2809" s="10"/>
      <c r="G2809" s="10"/>
    </row>
    <row r="2810" spans="1:7" x14ac:dyDescent="0.25">
      <c r="A2810" s="10"/>
      <c r="B2810" s="10"/>
      <c r="C2810" s="10"/>
      <c r="D2810" s="12"/>
      <c r="E2810" s="10"/>
      <c r="F2810" s="10"/>
      <c r="G2810" s="10"/>
    </row>
    <row r="2811" spans="1:7" x14ac:dyDescent="0.25">
      <c r="A2811" s="10"/>
      <c r="B2811" s="10"/>
      <c r="C2811" s="10"/>
      <c r="D2811" s="12"/>
      <c r="E2811" s="10"/>
      <c r="F2811" s="10"/>
      <c r="G2811" s="10"/>
    </row>
    <row r="2812" spans="1:7" x14ac:dyDescent="0.25">
      <c r="A2812" s="10"/>
      <c r="B2812" s="10"/>
      <c r="C2812" s="10"/>
      <c r="D2812" s="12"/>
      <c r="E2812" s="10"/>
      <c r="F2812" s="10"/>
      <c r="G2812" s="10"/>
    </row>
    <row r="2813" spans="1:7" x14ac:dyDescent="0.25">
      <c r="A2813" s="10"/>
      <c r="B2813" s="10"/>
      <c r="C2813" s="10"/>
      <c r="D2813" s="12"/>
      <c r="E2813" s="10"/>
      <c r="F2813" s="10"/>
      <c r="G2813" s="10"/>
    </row>
    <row r="2814" spans="1:7" x14ac:dyDescent="0.25">
      <c r="A2814" s="10"/>
      <c r="B2814" s="10"/>
      <c r="C2814" s="10"/>
      <c r="D2814" s="12"/>
      <c r="E2814" s="10"/>
      <c r="F2814" s="10"/>
      <c r="G2814" s="10"/>
    </row>
    <row r="2815" spans="1:7" x14ac:dyDescent="0.25">
      <c r="A2815" s="10"/>
      <c r="B2815" s="10"/>
      <c r="C2815" s="10"/>
      <c r="D2815" s="12"/>
      <c r="E2815" s="10"/>
      <c r="F2815" s="10"/>
      <c r="G2815" s="10"/>
    </row>
    <row r="2816" spans="1:7" x14ac:dyDescent="0.25">
      <c r="A2816" s="10"/>
      <c r="B2816" s="10"/>
      <c r="C2816" s="10"/>
      <c r="D2816" s="12"/>
      <c r="E2816" s="10"/>
      <c r="F2816" s="10"/>
      <c r="G2816" s="10"/>
    </row>
    <row r="2817" spans="1:7" x14ac:dyDescent="0.25">
      <c r="A2817" s="10"/>
      <c r="B2817" s="10"/>
      <c r="C2817" s="10"/>
      <c r="D2817" s="12"/>
      <c r="E2817" s="10"/>
      <c r="F2817" s="10"/>
      <c r="G2817" s="10"/>
    </row>
    <row r="2818" spans="1:7" x14ac:dyDescent="0.25">
      <c r="A2818" s="10"/>
      <c r="B2818" s="10"/>
      <c r="C2818" s="10"/>
      <c r="D2818" s="12"/>
      <c r="E2818" s="10"/>
      <c r="F2818" s="10"/>
      <c r="G2818" s="10"/>
    </row>
    <row r="2819" spans="1:7" x14ac:dyDescent="0.25">
      <c r="A2819" s="10"/>
      <c r="B2819" s="10"/>
      <c r="C2819" s="10"/>
      <c r="D2819" s="12"/>
      <c r="E2819" s="10"/>
      <c r="F2819" s="10"/>
      <c r="G2819" s="10"/>
    </row>
    <row r="2820" spans="1:7" x14ac:dyDescent="0.25">
      <c r="A2820" s="10"/>
      <c r="B2820" s="10"/>
      <c r="C2820" s="10"/>
      <c r="D2820" s="12"/>
      <c r="E2820" s="10"/>
      <c r="F2820" s="10"/>
      <c r="G2820" s="10"/>
    </row>
    <row r="2821" spans="1:7" x14ac:dyDescent="0.25">
      <c r="A2821" s="10"/>
      <c r="B2821" s="10"/>
      <c r="C2821" s="10"/>
      <c r="D2821" s="12"/>
      <c r="E2821" s="10"/>
      <c r="F2821" s="10"/>
      <c r="G2821" s="10"/>
    </row>
    <row r="2822" spans="1:7" x14ac:dyDescent="0.25">
      <c r="A2822" s="10"/>
      <c r="B2822" s="10"/>
      <c r="C2822" s="10"/>
      <c r="D2822" s="12"/>
      <c r="E2822" s="10"/>
      <c r="F2822" s="10"/>
      <c r="G2822" s="10"/>
    </row>
    <row r="2823" spans="1:7" x14ac:dyDescent="0.25">
      <c r="A2823" s="10"/>
      <c r="B2823" s="10"/>
      <c r="C2823" s="10"/>
      <c r="D2823" s="12"/>
      <c r="E2823" s="10"/>
      <c r="F2823" s="10"/>
      <c r="G2823" s="10"/>
    </row>
    <row r="2824" spans="1:7" x14ac:dyDescent="0.25">
      <c r="A2824" s="10"/>
      <c r="B2824" s="10"/>
      <c r="C2824" s="10"/>
      <c r="D2824" s="12"/>
      <c r="E2824" s="10"/>
      <c r="F2824" s="10"/>
      <c r="G2824" s="10"/>
    </row>
    <row r="2825" spans="1:7" x14ac:dyDescent="0.25">
      <c r="A2825" s="10"/>
      <c r="B2825" s="10"/>
      <c r="C2825" s="10"/>
      <c r="D2825" s="12"/>
      <c r="E2825" s="10"/>
      <c r="F2825" s="10"/>
      <c r="G2825" s="10"/>
    </row>
    <row r="2826" spans="1:7" x14ac:dyDescent="0.25">
      <c r="A2826" s="10"/>
      <c r="B2826" s="10"/>
      <c r="C2826" s="10"/>
      <c r="D2826" s="12"/>
      <c r="E2826" s="10"/>
      <c r="F2826" s="10"/>
      <c r="G2826" s="10"/>
    </row>
    <row r="2827" spans="1:7" x14ac:dyDescent="0.25">
      <c r="A2827" s="10"/>
      <c r="B2827" s="10"/>
      <c r="C2827" s="10"/>
      <c r="D2827" s="12"/>
      <c r="E2827" s="10"/>
      <c r="F2827" s="10"/>
      <c r="G2827" s="10"/>
    </row>
    <row r="2828" spans="1:7" x14ac:dyDescent="0.25">
      <c r="A2828" s="10"/>
      <c r="B2828" s="10"/>
      <c r="C2828" s="10"/>
      <c r="D2828" s="12"/>
      <c r="E2828" s="10"/>
      <c r="F2828" s="10"/>
      <c r="G2828" s="10"/>
    </row>
    <row r="2829" spans="1:7" x14ac:dyDescent="0.25">
      <c r="A2829" s="10"/>
      <c r="B2829" s="10"/>
      <c r="C2829" s="10"/>
      <c r="D2829" s="12"/>
      <c r="E2829" s="10"/>
      <c r="F2829" s="10"/>
      <c r="G2829" s="10"/>
    </row>
    <row r="2830" spans="1:7" x14ac:dyDescent="0.25">
      <c r="A2830" s="10"/>
      <c r="B2830" s="10"/>
      <c r="C2830" s="10"/>
      <c r="D2830" s="12"/>
      <c r="E2830" s="10"/>
      <c r="F2830" s="10"/>
      <c r="G2830" s="10"/>
    </row>
    <row r="2831" spans="1:7" x14ac:dyDescent="0.25">
      <c r="A2831" s="10"/>
      <c r="B2831" s="10"/>
      <c r="C2831" s="10"/>
      <c r="D2831" s="12"/>
      <c r="E2831" s="10"/>
      <c r="F2831" s="10"/>
      <c r="G2831" s="10"/>
    </row>
    <row r="2832" spans="1:7" x14ac:dyDescent="0.25">
      <c r="A2832" s="10"/>
      <c r="B2832" s="10"/>
      <c r="C2832" s="10"/>
      <c r="D2832" s="12"/>
      <c r="E2832" s="10"/>
      <c r="F2832" s="10"/>
      <c r="G2832" s="10"/>
    </row>
    <row r="2833" spans="1:7" x14ac:dyDescent="0.25">
      <c r="A2833" s="10"/>
      <c r="B2833" s="10"/>
      <c r="C2833" s="10"/>
      <c r="D2833" s="12"/>
      <c r="E2833" s="10"/>
      <c r="F2833" s="10"/>
      <c r="G2833" s="10"/>
    </row>
    <row r="2834" spans="1:7" x14ac:dyDescent="0.25">
      <c r="A2834" s="10"/>
      <c r="B2834" s="10"/>
      <c r="C2834" s="10"/>
      <c r="D2834" s="12"/>
      <c r="E2834" s="10"/>
      <c r="F2834" s="10"/>
      <c r="G2834" s="10"/>
    </row>
    <row r="2835" spans="1:7" x14ac:dyDescent="0.25">
      <c r="A2835" s="10"/>
      <c r="B2835" s="10"/>
      <c r="C2835" s="10"/>
      <c r="D2835" s="12"/>
      <c r="E2835" s="10"/>
      <c r="F2835" s="10"/>
      <c r="G2835" s="10"/>
    </row>
    <row r="2836" spans="1:7" x14ac:dyDescent="0.25">
      <c r="A2836" s="10"/>
      <c r="B2836" s="10"/>
      <c r="C2836" s="10"/>
      <c r="D2836" s="12"/>
      <c r="E2836" s="10"/>
      <c r="F2836" s="10"/>
      <c r="G2836" s="10"/>
    </row>
    <row r="2837" spans="1:7" x14ac:dyDescent="0.25">
      <c r="A2837" s="10"/>
      <c r="B2837" s="10"/>
      <c r="C2837" s="10"/>
      <c r="D2837" s="12"/>
      <c r="E2837" s="10"/>
      <c r="F2837" s="10"/>
      <c r="G2837" s="10"/>
    </row>
    <row r="2838" spans="1:7" x14ac:dyDescent="0.25">
      <c r="A2838" s="10"/>
      <c r="B2838" s="10"/>
      <c r="C2838" s="10"/>
      <c r="D2838" s="12"/>
      <c r="E2838" s="10"/>
      <c r="F2838" s="10"/>
      <c r="G2838" s="10"/>
    </row>
    <row r="2839" spans="1:7" x14ac:dyDescent="0.25">
      <c r="A2839" s="10"/>
      <c r="B2839" s="10"/>
      <c r="C2839" s="10"/>
      <c r="D2839" s="12"/>
      <c r="E2839" s="10"/>
      <c r="F2839" s="10"/>
      <c r="G2839" s="10"/>
    </row>
    <row r="2840" spans="1:7" x14ac:dyDescent="0.25">
      <c r="A2840" s="10"/>
      <c r="B2840" s="10"/>
      <c r="C2840" s="10"/>
      <c r="D2840" s="12"/>
      <c r="E2840" s="10"/>
      <c r="F2840" s="10"/>
      <c r="G2840" s="10"/>
    </row>
    <row r="2841" spans="1:7" x14ac:dyDescent="0.25">
      <c r="A2841" s="10"/>
      <c r="B2841" s="10"/>
      <c r="C2841" s="10"/>
      <c r="D2841" s="12"/>
      <c r="E2841" s="10"/>
      <c r="F2841" s="10"/>
      <c r="G2841" s="10"/>
    </row>
    <row r="2842" spans="1:7" x14ac:dyDescent="0.25">
      <c r="A2842" s="10"/>
      <c r="B2842" s="10"/>
      <c r="C2842" s="10"/>
      <c r="D2842" s="12"/>
      <c r="E2842" s="10"/>
      <c r="F2842" s="10"/>
      <c r="G2842" s="10"/>
    </row>
    <row r="2843" spans="1:7" x14ac:dyDescent="0.25">
      <c r="A2843" s="10"/>
      <c r="B2843" s="10"/>
      <c r="C2843" s="10"/>
      <c r="D2843" s="12"/>
      <c r="E2843" s="10"/>
      <c r="F2843" s="10"/>
      <c r="G2843" s="10"/>
    </row>
    <row r="2844" spans="1:7" x14ac:dyDescent="0.25">
      <c r="A2844" s="10"/>
      <c r="B2844" s="10"/>
      <c r="C2844" s="10"/>
      <c r="D2844" s="12"/>
      <c r="E2844" s="10"/>
      <c r="F2844" s="10"/>
      <c r="G2844" s="10"/>
    </row>
    <row r="2845" spans="1:7" x14ac:dyDescent="0.25">
      <c r="A2845" s="10"/>
      <c r="B2845" s="10"/>
      <c r="C2845" s="10"/>
      <c r="D2845" s="12"/>
      <c r="E2845" s="10"/>
      <c r="F2845" s="10"/>
      <c r="G2845" s="10"/>
    </row>
    <row r="2846" spans="1:7" x14ac:dyDescent="0.25">
      <c r="A2846" s="10"/>
      <c r="B2846" s="10"/>
      <c r="C2846" s="10"/>
      <c r="D2846" s="12"/>
      <c r="E2846" s="10"/>
      <c r="F2846" s="10"/>
      <c r="G2846" s="10"/>
    </row>
    <row r="2847" spans="1:7" x14ac:dyDescent="0.25">
      <c r="A2847" s="10"/>
      <c r="B2847" s="10"/>
      <c r="C2847" s="10"/>
      <c r="D2847" s="12"/>
      <c r="E2847" s="10"/>
      <c r="F2847" s="10"/>
      <c r="G2847" s="10"/>
    </row>
    <row r="2848" spans="1:7" x14ac:dyDescent="0.25">
      <c r="A2848" s="10"/>
      <c r="B2848" s="10"/>
      <c r="C2848" s="10"/>
      <c r="D2848" s="12"/>
      <c r="E2848" s="10"/>
      <c r="F2848" s="10"/>
      <c r="G2848" s="10"/>
    </row>
    <row r="2849" spans="1:7" x14ac:dyDescent="0.25">
      <c r="A2849" s="10"/>
      <c r="B2849" s="10"/>
      <c r="C2849" s="10"/>
      <c r="D2849" s="12"/>
      <c r="E2849" s="10"/>
      <c r="F2849" s="10"/>
      <c r="G2849" s="10"/>
    </row>
    <row r="2850" spans="1:7" x14ac:dyDescent="0.25">
      <c r="A2850" s="10"/>
      <c r="B2850" s="10"/>
      <c r="C2850" s="10"/>
      <c r="D2850" s="12"/>
      <c r="E2850" s="10"/>
      <c r="F2850" s="10"/>
      <c r="G2850" s="10"/>
    </row>
    <row r="2851" spans="1:7" x14ac:dyDescent="0.25">
      <c r="A2851" s="10"/>
      <c r="B2851" s="10"/>
      <c r="C2851" s="10"/>
      <c r="D2851" s="12"/>
      <c r="E2851" s="10"/>
      <c r="F2851" s="10"/>
      <c r="G2851" s="10"/>
    </row>
    <row r="2852" spans="1:7" x14ac:dyDescent="0.25">
      <c r="A2852" s="10"/>
      <c r="B2852" s="10"/>
      <c r="C2852" s="10"/>
      <c r="D2852" s="12"/>
      <c r="E2852" s="10"/>
      <c r="F2852" s="10"/>
      <c r="G2852" s="10"/>
    </row>
    <row r="2853" spans="1:7" x14ac:dyDescent="0.25">
      <c r="A2853" s="10"/>
      <c r="B2853" s="10"/>
      <c r="C2853" s="10"/>
      <c r="D2853" s="12"/>
      <c r="E2853" s="10"/>
      <c r="F2853" s="10"/>
      <c r="G2853" s="10"/>
    </row>
    <row r="2854" spans="1:7" x14ac:dyDescent="0.25">
      <c r="A2854" s="10"/>
      <c r="B2854" s="10"/>
      <c r="C2854" s="10"/>
      <c r="D2854" s="12"/>
      <c r="E2854" s="10"/>
      <c r="F2854" s="10"/>
      <c r="G2854" s="10"/>
    </row>
    <row r="2855" spans="1:7" x14ac:dyDescent="0.25">
      <c r="A2855" s="10"/>
      <c r="B2855" s="10"/>
      <c r="C2855" s="10"/>
      <c r="D2855" s="12"/>
      <c r="E2855" s="10"/>
      <c r="F2855" s="10"/>
      <c r="G2855" s="10"/>
    </row>
    <row r="2856" spans="1:7" x14ac:dyDescent="0.25">
      <c r="A2856" s="10"/>
      <c r="B2856" s="10"/>
      <c r="C2856" s="10"/>
      <c r="D2856" s="12"/>
      <c r="E2856" s="10"/>
      <c r="F2856" s="10"/>
      <c r="G2856" s="10"/>
    </row>
    <row r="2857" spans="1:7" x14ac:dyDescent="0.25">
      <c r="A2857" s="10"/>
      <c r="B2857" s="10"/>
      <c r="C2857" s="10"/>
      <c r="D2857" s="12"/>
      <c r="E2857" s="10"/>
      <c r="F2857" s="10"/>
      <c r="G2857" s="10"/>
    </row>
    <row r="2858" spans="1:7" x14ac:dyDescent="0.25">
      <c r="A2858" s="10"/>
      <c r="B2858" s="10"/>
      <c r="C2858" s="10"/>
      <c r="D2858" s="12"/>
      <c r="E2858" s="10"/>
      <c r="F2858" s="10"/>
      <c r="G2858" s="10"/>
    </row>
    <row r="2859" spans="1:7" x14ac:dyDescent="0.25">
      <c r="A2859" s="10"/>
      <c r="B2859" s="10"/>
      <c r="C2859" s="10"/>
      <c r="D2859" s="12"/>
      <c r="E2859" s="10"/>
      <c r="F2859" s="10"/>
      <c r="G2859" s="10"/>
    </row>
    <row r="2860" spans="1:7" x14ac:dyDescent="0.25">
      <c r="A2860" s="10"/>
      <c r="B2860" s="10"/>
      <c r="C2860" s="10"/>
      <c r="D2860" s="12"/>
      <c r="E2860" s="10"/>
      <c r="F2860" s="10"/>
      <c r="G2860" s="10"/>
    </row>
    <row r="2861" spans="1:7" x14ac:dyDescent="0.25">
      <c r="A2861" s="10"/>
      <c r="B2861" s="10"/>
      <c r="C2861" s="10"/>
      <c r="D2861" s="12"/>
      <c r="E2861" s="10"/>
      <c r="F2861" s="10"/>
      <c r="G2861" s="10"/>
    </row>
    <row r="2862" spans="1:7" x14ac:dyDescent="0.25">
      <c r="A2862" s="10"/>
      <c r="B2862" s="10"/>
      <c r="C2862" s="10"/>
      <c r="D2862" s="12"/>
      <c r="E2862" s="10"/>
      <c r="F2862" s="10"/>
      <c r="G2862" s="10"/>
    </row>
    <row r="2863" spans="1:7" x14ac:dyDescent="0.25">
      <c r="A2863" s="10"/>
      <c r="B2863" s="10"/>
      <c r="C2863" s="10"/>
      <c r="D2863" s="12"/>
      <c r="E2863" s="10"/>
      <c r="F2863" s="10"/>
      <c r="G2863" s="10"/>
    </row>
    <row r="2864" spans="1:7" x14ac:dyDescent="0.25">
      <c r="A2864" s="10"/>
      <c r="B2864" s="10"/>
      <c r="C2864" s="10"/>
      <c r="D2864" s="12"/>
      <c r="E2864" s="10"/>
      <c r="F2864" s="10"/>
      <c r="G2864" s="10"/>
    </row>
    <row r="2865" spans="1:7" x14ac:dyDescent="0.25">
      <c r="A2865" s="10"/>
      <c r="B2865" s="10"/>
      <c r="C2865" s="10"/>
      <c r="D2865" s="12"/>
      <c r="E2865" s="10"/>
      <c r="F2865" s="10"/>
      <c r="G2865" s="10"/>
    </row>
    <row r="2866" spans="1:7" x14ac:dyDescent="0.25">
      <c r="A2866" s="10"/>
      <c r="B2866" s="10"/>
      <c r="C2866" s="10"/>
      <c r="D2866" s="12"/>
      <c r="E2866" s="10"/>
      <c r="F2866" s="10"/>
      <c r="G2866" s="10"/>
    </row>
    <row r="2867" spans="1:7" x14ac:dyDescent="0.25">
      <c r="A2867" s="10"/>
      <c r="B2867" s="10"/>
      <c r="C2867" s="10"/>
      <c r="D2867" s="12"/>
      <c r="E2867" s="10"/>
      <c r="F2867" s="10"/>
      <c r="G2867" s="10"/>
    </row>
    <row r="2868" spans="1:7" x14ac:dyDescent="0.25">
      <c r="A2868" s="10"/>
      <c r="B2868" s="10"/>
      <c r="C2868" s="10"/>
      <c r="D2868" s="12"/>
      <c r="E2868" s="10"/>
      <c r="F2868" s="10"/>
      <c r="G2868" s="10"/>
    </row>
    <row r="2869" spans="1:7" x14ac:dyDescent="0.25">
      <c r="A2869" s="10"/>
      <c r="B2869" s="10"/>
      <c r="C2869" s="10"/>
      <c r="D2869" s="12"/>
      <c r="E2869" s="10"/>
      <c r="F2869" s="10"/>
      <c r="G2869" s="10"/>
    </row>
    <row r="2870" spans="1:7" x14ac:dyDescent="0.25">
      <c r="A2870" s="10"/>
      <c r="B2870" s="10"/>
      <c r="C2870" s="10"/>
      <c r="D2870" s="12"/>
      <c r="E2870" s="10"/>
      <c r="F2870" s="10"/>
      <c r="G2870" s="10"/>
    </row>
    <row r="2871" spans="1:7" x14ac:dyDescent="0.25">
      <c r="A2871" s="10"/>
      <c r="B2871" s="10"/>
      <c r="C2871" s="10"/>
      <c r="D2871" s="12"/>
      <c r="E2871" s="10"/>
      <c r="F2871" s="10"/>
      <c r="G2871" s="10"/>
    </row>
    <row r="2872" spans="1:7" x14ac:dyDescent="0.25">
      <c r="A2872" s="10"/>
      <c r="B2872" s="10"/>
      <c r="C2872" s="10"/>
      <c r="D2872" s="12"/>
      <c r="E2872" s="10"/>
      <c r="F2872" s="10"/>
      <c r="G2872" s="10"/>
    </row>
    <row r="2873" spans="1:7" x14ac:dyDescent="0.25">
      <c r="A2873" s="10"/>
      <c r="B2873" s="10"/>
      <c r="C2873" s="10"/>
      <c r="D2873" s="12"/>
      <c r="E2873" s="10"/>
      <c r="F2873" s="10"/>
      <c r="G2873" s="10"/>
    </row>
    <row r="2874" spans="1:7" x14ac:dyDescent="0.25">
      <c r="A2874" s="10"/>
      <c r="B2874" s="10"/>
      <c r="C2874" s="10"/>
      <c r="D2874" s="12"/>
      <c r="E2874" s="10"/>
      <c r="F2874" s="10"/>
      <c r="G2874" s="10"/>
    </row>
    <row r="2875" spans="1:7" x14ac:dyDescent="0.25">
      <c r="A2875" s="10"/>
      <c r="B2875" s="10"/>
      <c r="C2875" s="10"/>
      <c r="D2875" s="12"/>
      <c r="E2875" s="10"/>
      <c r="F2875" s="10"/>
      <c r="G2875" s="10"/>
    </row>
    <row r="2876" spans="1:7" x14ac:dyDescent="0.25">
      <c r="A2876" s="10"/>
      <c r="B2876" s="10"/>
      <c r="C2876" s="10"/>
      <c r="D2876" s="12"/>
      <c r="E2876" s="10"/>
      <c r="F2876" s="10"/>
      <c r="G2876" s="10"/>
    </row>
    <row r="2877" spans="1:7" x14ac:dyDescent="0.25">
      <c r="A2877" s="10"/>
      <c r="B2877" s="10"/>
      <c r="C2877" s="10"/>
      <c r="D2877" s="12"/>
      <c r="E2877" s="10"/>
      <c r="F2877" s="10"/>
      <c r="G2877" s="10"/>
    </row>
    <row r="2878" spans="1:7" x14ac:dyDescent="0.25">
      <c r="A2878" s="10"/>
      <c r="B2878" s="10"/>
      <c r="C2878" s="10"/>
      <c r="D2878" s="12"/>
      <c r="E2878" s="10"/>
      <c r="F2878" s="10"/>
      <c r="G2878" s="10"/>
    </row>
    <row r="2879" spans="1:7" x14ac:dyDescent="0.25">
      <c r="A2879" s="10"/>
      <c r="B2879" s="10"/>
      <c r="C2879" s="10"/>
      <c r="D2879" s="12"/>
      <c r="E2879" s="10"/>
      <c r="F2879" s="10"/>
      <c r="G2879" s="10"/>
    </row>
    <row r="2880" spans="1:7" x14ac:dyDescent="0.25">
      <c r="A2880" s="10"/>
      <c r="B2880" s="10"/>
      <c r="C2880" s="10"/>
      <c r="D2880" s="12"/>
      <c r="E2880" s="10"/>
      <c r="F2880" s="10"/>
      <c r="G2880" s="10"/>
    </row>
    <row r="2881" spans="1:7" x14ac:dyDescent="0.25">
      <c r="A2881" s="10"/>
      <c r="B2881" s="10"/>
      <c r="C2881" s="10"/>
      <c r="D2881" s="12"/>
      <c r="E2881" s="10"/>
      <c r="F2881" s="10"/>
      <c r="G2881" s="10"/>
    </row>
    <row r="2882" spans="1:7" x14ac:dyDescent="0.25">
      <c r="A2882" s="10"/>
      <c r="B2882" s="10"/>
      <c r="C2882" s="10"/>
      <c r="D2882" s="12"/>
      <c r="E2882" s="10"/>
      <c r="F2882" s="10"/>
      <c r="G2882" s="10"/>
    </row>
    <row r="2883" spans="1:7" x14ac:dyDescent="0.25">
      <c r="A2883" s="10"/>
      <c r="B2883" s="10"/>
      <c r="C2883" s="10"/>
      <c r="D2883" s="12"/>
      <c r="E2883" s="10"/>
      <c r="F2883" s="10"/>
      <c r="G2883" s="10"/>
    </row>
    <row r="2884" spans="1:7" x14ac:dyDescent="0.25">
      <c r="A2884" s="10"/>
      <c r="B2884" s="10"/>
      <c r="C2884" s="10"/>
      <c r="D2884" s="12"/>
      <c r="E2884" s="10"/>
      <c r="F2884" s="10"/>
      <c r="G2884" s="10"/>
    </row>
    <row r="2885" spans="1:7" x14ac:dyDescent="0.25">
      <c r="A2885" s="10"/>
      <c r="B2885" s="10"/>
      <c r="C2885" s="10"/>
      <c r="D2885" s="12"/>
      <c r="E2885" s="10"/>
      <c r="F2885" s="10"/>
      <c r="G2885" s="10"/>
    </row>
    <row r="2886" spans="1:7" x14ac:dyDescent="0.25">
      <c r="A2886" s="10"/>
      <c r="B2886" s="10"/>
      <c r="C2886" s="10"/>
      <c r="D2886" s="12"/>
      <c r="E2886" s="10"/>
      <c r="F2886" s="10"/>
      <c r="G2886" s="10"/>
    </row>
    <row r="2887" spans="1:7" x14ac:dyDescent="0.25">
      <c r="A2887" s="10"/>
      <c r="B2887" s="10"/>
      <c r="C2887" s="10"/>
      <c r="D2887" s="12"/>
      <c r="E2887" s="10"/>
      <c r="F2887" s="10"/>
      <c r="G2887" s="10"/>
    </row>
    <row r="2888" spans="1:7" x14ac:dyDescent="0.25">
      <c r="A2888" s="10"/>
      <c r="B2888" s="10"/>
      <c r="C2888" s="10"/>
      <c r="D2888" s="12"/>
      <c r="E2888" s="10"/>
      <c r="F2888" s="10"/>
      <c r="G2888" s="10"/>
    </row>
    <row r="2889" spans="1:7" x14ac:dyDescent="0.25">
      <c r="A2889" s="10"/>
      <c r="B2889" s="10"/>
      <c r="C2889" s="10"/>
      <c r="D2889" s="12"/>
      <c r="E2889" s="10"/>
      <c r="F2889" s="10"/>
      <c r="G2889" s="10"/>
    </row>
    <row r="2890" spans="1:7" x14ac:dyDescent="0.25">
      <c r="A2890" s="10"/>
      <c r="B2890" s="10"/>
      <c r="C2890" s="10"/>
      <c r="D2890" s="12"/>
      <c r="E2890" s="10"/>
      <c r="F2890" s="10"/>
      <c r="G2890" s="10"/>
    </row>
    <row r="2891" spans="1:7" x14ac:dyDescent="0.25">
      <c r="A2891" s="10"/>
      <c r="B2891" s="10"/>
      <c r="C2891" s="10"/>
      <c r="D2891" s="12"/>
      <c r="E2891" s="10"/>
      <c r="F2891" s="10"/>
      <c r="G2891" s="10"/>
    </row>
    <row r="2892" spans="1:7" x14ac:dyDescent="0.25">
      <c r="A2892" s="10"/>
      <c r="B2892" s="10"/>
      <c r="C2892" s="10"/>
      <c r="D2892" s="12"/>
      <c r="E2892" s="10"/>
      <c r="F2892" s="10"/>
      <c r="G2892" s="10"/>
    </row>
    <row r="2893" spans="1:7" x14ac:dyDescent="0.25">
      <c r="A2893" s="10"/>
      <c r="B2893" s="10"/>
      <c r="C2893" s="10"/>
      <c r="D2893" s="12"/>
      <c r="E2893" s="10"/>
      <c r="F2893" s="10"/>
      <c r="G2893" s="10"/>
    </row>
    <row r="2894" spans="1:7" x14ac:dyDescent="0.25">
      <c r="A2894" s="10"/>
      <c r="B2894" s="10"/>
      <c r="C2894" s="10"/>
      <c r="D2894" s="12"/>
      <c r="E2894" s="10"/>
      <c r="F2894" s="10"/>
      <c r="G2894" s="10"/>
    </row>
    <row r="2895" spans="1:7" x14ac:dyDescent="0.25">
      <c r="A2895" s="10"/>
      <c r="B2895" s="10"/>
      <c r="C2895" s="10"/>
      <c r="D2895" s="12"/>
      <c r="E2895" s="10"/>
      <c r="F2895" s="10"/>
      <c r="G2895" s="10"/>
    </row>
    <row r="2896" spans="1:7" x14ac:dyDescent="0.25">
      <c r="A2896" s="10"/>
      <c r="B2896" s="10"/>
      <c r="C2896" s="10"/>
      <c r="D2896" s="12"/>
      <c r="E2896" s="10"/>
      <c r="F2896" s="10"/>
      <c r="G2896" s="10"/>
    </row>
    <row r="2897" spans="1:7" x14ac:dyDescent="0.25">
      <c r="A2897" s="10"/>
      <c r="B2897" s="10"/>
      <c r="C2897" s="10"/>
      <c r="D2897" s="12"/>
      <c r="E2897" s="10"/>
      <c r="F2897" s="10"/>
      <c r="G2897" s="10"/>
    </row>
    <row r="2898" spans="1:7" x14ac:dyDescent="0.25">
      <c r="A2898" s="10"/>
      <c r="B2898" s="10"/>
      <c r="C2898" s="10"/>
      <c r="D2898" s="12"/>
      <c r="E2898" s="10"/>
      <c r="F2898" s="10"/>
      <c r="G2898" s="10"/>
    </row>
    <row r="2899" spans="1:7" x14ac:dyDescent="0.25">
      <c r="A2899" s="10"/>
      <c r="B2899" s="10"/>
      <c r="C2899" s="10"/>
      <c r="D2899" s="12"/>
      <c r="E2899" s="10"/>
      <c r="F2899" s="10"/>
      <c r="G2899" s="10"/>
    </row>
    <row r="2900" spans="1:7" x14ac:dyDescent="0.25">
      <c r="A2900" s="10"/>
      <c r="B2900" s="10"/>
      <c r="C2900" s="10"/>
      <c r="D2900" s="12"/>
      <c r="E2900" s="10"/>
      <c r="F2900" s="10"/>
      <c r="G2900" s="10"/>
    </row>
    <row r="2901" spans="1:7" x14ac:dyDescent="0.25">
      <c r="A2901" s="10"/>
      <c r="B2901" s="10"/>
      <c r="C2901" s="10"/>
      <c r="D2901" s="12"/>
      <c r="E2901" s="10"/>
      <c r="F2901" s="10"/>
      <c r="G2901" s="10"/>
    </row>
    <row r="2902" spans="1:7" x14ac:dyDescent="0.25">
      <c r="A2902" s="10"/>
      <c r="B2902" s="10"/>
      <c r="C2902" s="10"/>
      <c r="D2902" s="12"/>
      <c r="E2902" s="10"/>
      <c r="F2902" s="10"/>
      <c r="G2902" s="10"/>
    </row>
    <row r="2903" spans="1:7" x14ac:dyDescent="0.25">
      <c r="A2903" s="10"/>
      <c r="B2903" s="10"/>
      <c r="C2903" s="10"/>
      <c r="D2903" s="12"/>
      <c r="E2903" s="10"/>
      <c r="F2903" s="10"/>
      <c r="G2903" s="10"/>
    </row>
    <row r="2904" spans="1:7" x14ac:dyDescent="0.25">
      <c r="A2904" s="10"/>
      <c r="B2904" s="10"/>
      <c r="C2904" s="10"/>
      <c r="D2904" s="12"/>
      <c r="E2904" s="10"/>
      <c r="F2904" s="10"/>
      <c r="G2904" s="10"/>
    </row>
    <row r="2905" spans="1:7" x14ac:dyDescent="0.25">
      <c r="A2905" s="10"/>
      <c r="B2905" s="10"/>
      <c r="C2905" s="10"/>
      <c r="D2905" s="12"/>
      <c r="E2905" s="10"/>
      <c r="F2905" s="10"/>
      <c r="G2905" s="10"/>
    </row>
    <row r="2906" spans="1:7" x14ac:dyDescent="0.25">
      <c r="A2906" s="10"/>
      <c r="B2906" s="10"/>
      <c r="C2906" s="10"/>
      <c r="D2906" s="12"/>
      <c r="E2906" s="10"/>
      <c r="F2906" s="10"/>
      <c r="G2906" s="10"/>
    </row>
    <row r="2907" spans="1:7" x14ac:dyDescent="0.25">
      <c r="A2907" s="10"/>
      <c r="B2907" s="10"/>
      <c r="C2907" s="10"/>
      <c r="D2907" s="12"/>
      <c r="E2907" s="10"/>
      <c r="F2907" s="10"/>
      <c r="G2907" s="10"/>
    </row>
    <row r="2908" spans="1:7" x14ac:dyDescent="0.25">
      <c r="A2908" s="10"/>
      <c r="B2908" s="10"/>
      <c r="C2908" s="10"/>
      <c r="D2908" s="12"/>
      <c r="E2908" s="10"/>
      <c r="F2908" s="10"/>
      <c r="G2908" s="10"/>
    </row>
    <row r="2909" spans="1:7" x14ac:dyDescent="0.25">
      <c r="A2909" s="10"/>
      <c r="B2909" s="10"/>
      <c r="C2909" s="10"/>
      <c r="D2909" s="12"/>
      <c r="E2909" s="10"/>
      <c r="F2909" s="10"/>
      <c r="G2909" s="10"/>
    </row>
    <row r="2910" spans="1:7" x14ac:dyDescent="0.25">
      <c r="A2910" s="10"/>
      <c r="B2910" s="10"/>
      <c r="C2910" s="10"/>
      <c r="D2910" s="12"/>
      <c r="E2910" s="10"/>
      <c r="F2910" s="10"/>
      <c r="G2910" s="10"/>
    </row>
    <row r="2911" spans="1:7" x14ac:dyDescent="0.25">
      <c r="A2911" s="10"/>
      <c r="B2911" s="10"/>
      <c r="C2911" s="10"/>
      <c r="D2911" s="12"/>
      <c r="E2911" s="10"/>
      <c r="F2911" s="10"/>
      <c r="G2911" s="10"/>
    </row>
    <row r="2912" spans="1:7" x14ac:dyDescent="0.25">
      <c r="A2912" s="10"/>
      <c r="B2912" s="10"/>
      <c r="C2912" s="10"/>
      <c r="D2912" s="12"/>
      <c r="E2912" s="10"/>
      <c r="F2912" s="10"/>
      <c r="G2912" s="10"/>
    </row>
    <row r="2913" spans="1:7" x14ac:dyDescent="0.25">
      <c r="A2913" s="10"/>
      <c r="B2913" s="10"/>
      <c r="C2913" s="10"/>
      <c r="D2913" s="12"/>
      <c r="E2913" s="10"/>
      <c r="F2913" s="10"/>
      <c r="G2913" s="10"/>
    </row>
    <row r="2914" spans="1:7" x14ac:dyDescent="0.25">
      <c r="A2914" s="10"/>
      <c r="B2914" s="10"/>
      <c r="C2914" s="10"/>
      <c r="D2914" s="12"/>
      <c r="E2914" s="10"/>
      <c r="F2914" s="10"/>
      <c r="G2914" s="10"/>
    </row>
    <row r="2915" spans="1:7" x14ac:dyDescent="0.25">
      <c r="A2915" s="10"/>
      <c r="B2915" s="10"/>
      <c r="C2915" s="10"/>
      <c r="D2915" s="12"/>
      <c r="E2915" s="10"/>
      <c r="F2915" s="10"/>
      <c r="G2915" s="10"/>
    </row>
    <row r="2916" spans="1:7" x14ac:dyDescent="0.25">
      <c r="A2916" s="10"/>
      <c r="B2916" s="10"/>
      <c r="C2916" s="10"/>
      <c r="D2916" s="12"/>
      <c r="E2916" s="10"/>
      <c r="F2916" s="10"/>
      <c r="G2916" s="10"/>
    </row>
    <row r="2917" spans="1:7" x14ac:dyDescent="0.25">
      <c r="A2917" s="10"/>
      <c r="B2917" s="10"/>
      <c r="C2917" s="10"/>
      <c r="D2917" s="12"/>
      <c r="E2917" s="10"/>
      <c r="F2917" s="10"/>
      <c r="G2917" s="10"/>
    </row>
    <row r="2918" spans="1:7" x14ac:dyDescent="0.25">
      <c r="A2918" s="10"/>
      <c r="B2918" s="10"/>
      <c r="C2918" s="10"/>
      <c r="D2918" s="12"/>
      <c r="E2918" s="10"/>
      <c r="F2918" s="10"/>
      <c r="G2918" s="10"/>
    </row>
    <row r="2919" spans="1:7" x14ac:dyDescent="0.25">
      <c r="A2919" s="10"/>
      <c r="B2919" s="10"/>
      <c r="C2919" s="10"/>
      <c r="D2919" s="12"/>
      <c r="E2919" s="10"/>
      <c r="F2919" s="10"/>
      <c r="G2919" s="10"/>
    </row>
    <row r="2920" spans="1:7" x14ac:dyDescent="0.25">
      <c r="A2920" s="10"/>
      <c r="B2920" s="10"/>
      <c r="C2920" s="10"/>
      <c r="D2920" s="12"/>
      <c r="E2920" s="10"/>
      <c r="F2920" s="10"/>
      <c r="G2920" s="10"/>
    </row>
    <row r="2921" spans="1:7" x14ac:dyDescent="0.25">
      <c r="A2921" s="10"/>
      <c r="B2921" s="10"/>
      <c r="C2921" s="10"/>
      <c r="D2921" s="12"/>
      <c r="E2921" s="10"/>
      <c r="F2921" s="10"/>
      <c r="G2921" s="10"/>
    </row>
    <row r="2922" spans="1:7" x14ac:dyDescent="0.25">
      <c r="A2922" s="10"/>
      <c r="B2922" s="10"/>
      <c r="C2922" s="10"/>
      <c r="D2922" s="12"/>
      <c r="E2922" s="10"/>
      <c r="F2922" s="10"/>
      <c r="G2922" s="10"/>
    </row>
    <row r="2923" spans="1:7" x14ac:dyDescent="0.25">
      <c r="A2923" s="10"/>
      <c r="B2923" s="10"/>
      <c r="C2923" s="10"/>
      <c r="D2923" s="12"/>
      <c r="E2923" s="10"/>
      <c r="F2923" s="10"/>
      <c r="G2923" s="10"/>
    </row>
    <row r="2924" spans="1:7" x14ac:dyDescent="0.25">
      <c r="A2924" s="10"/>
      <c r="B2924" s="10"/>
      <c r="C2924" s="10"/>
      <c r="D2924" s="12"/>
      <c r="E2924" s="10"/>
      <c r="F2924" s="10"/>
      <c r="G2924" s="10"/>
    </row>
    <row r="2925" spans="1:7" x14ac:dyDescent="0.25">
      <c r="A2925" s="10"/>
      <c r="B2925" s="10"/>
      <c r="C2925" s="10"/>
      <c r="D2925" s="12"/>
      <c r="E2925" s="10"/>
      <c r="F2925" s="10"/>
      <c r="G2925" s="10"/>
    </row>
    <row r="2926" spans="1:7" x14ac:dyDescent="0.25">
      <c r="A2926" s="10"/>
      <c r="B2926" s="10"/>
      <c r="C2926" s="10"/>
      <c r="D2926" s="12"/>
      <c r="E2926" s="10"/>
      <c r="F2926" s="10"/>
      <c r="G2926" s="10"/>
    </row>
    <row r="2927" spans="1:7" x14ac:dyDescent="0.25">
      <c r="A2927" s="10"/>
      <c r="B2927" s="10"/>
      <c r="C2927" s="10"/>
      <c r="D2927" s="12"/>
      <c r="E2927" s="10"/>
      <c r="F2927" s="10"/>
      <c r="G2927" s="10"/>
    </row>
    <row r="2928" spans="1:7" x14ac:dyDescent="0.25">
      <c r="A2928" s="10"/>
      <c r="B2928" s="10"/>
      <c r="C2928" s="10"/>
      <c r="D2928" s="12"/>
      <c r="E2928" s="10"/>
      <c r="F2928" s="10"/>
      <c r="G2928" s="10"/>
    </row>
    <row r="2929" spans="1:7" x14ac:dyDescent="0.25">
      <c r="A2929" s="10"/>
      <c r="B2929" s="10"/>
      <c r="C2929" s="10"/>
      <c r="D2929" s="12"/>
      <c r="E2929" s="10"/>
      <c r="F2929" s="10"/>
      <c r="G2929" s="10"/>
    </row>
    <row r="2930" spans="1:7" x14ac:dyDescent="0.25">
      <c r="A2930" s="10"/>
      <c r="B2930" s="10"/>
      <c r="C2930" s="10"/>
      <c r="D2930" s="12"/>
      <c r="E2930" s="10"/>
      <c r="F2930" s="10"/>
      <c r="G2930" s="10"/>
    </row>
    <row r="2931" spans="1:7" x14ac:dyDescent="0.25">
      <c r="A2931" s="10"/>
      <c r="B2931" s="10"/>
      <c r="C2931" s="10"/>
      <c r="D2931" s="12"/>
      <c r="E2931" s="10"/>
      <c r="F2931" s="10"/>
      <c r="G2931" s="10"/>
    </row>
    <row r="2932" spans="1:7" x14ac:dyDescent="0.25">
      <c r="A2932" s="10"/>
      <c r="B2932" s="10"/>
      <c r="C2932" s="10"/>
      <c r="D2932" s="12"/>
      <c r="E2932" s="10"/>
      <c r="F2932" s="10"/>
      <c r="G2932" s="10"/>
    </row>
    <row r="2933" spans="1:7" x14ac:dyDescent="0.25">
      <c r="A2933" s="10"/>
      <c r="B2933" s="10"/>
      <c r="C2933" s="10"/>
      <c r="D2933" s="12"/>
      <c r="E2933" s="10"/>
      <c r="F2933" s="10"/>
      <c r="G2933" s="10"/>
    </row>
    <row r="2934" spans="1:7" x14ac:dyDescent="0.25">
      <c r="A2934" s="10"/>
      <c r="B2934" s="10"/>
      <c r="C2934" s="10"/>
      <c r="D2934" s="12"/>
      <c r="E2934" s="10"/>
      <c r="F2934" s="10"/>
      <c r="G2934" s="10"/>
    </row>
    <row r="2935" spans="1:7" x14ac:dyDescent="0.25">
      <c r="A2935" s="10"/>
      <c r="B2935" s="10"/>
      <c r="C2935" s="10"/>
      <c r="D2935" s="12"/>
      <c r="E2935" s="10"/>
      <c r="F2935" s="10"/>
      <c r="G2935" s="10"/>
    </row>
    <row r="2936" spans="1:7" x14ac:dyDescent="0.25">
      <c r="A2936" s="10"/>
      <c r="B2936" s="10"/>
      <c r="C2936" s="10"/>
      <c r="D2936" s="12"/>
      <c r="E2936" s="10"/>
      <c r="F2936" s="10"/>
      <c r="G2936" s="10"/>
    </row>
    <row r="2937" spans="1:7" x14ac:dyDescent="0.25">
      <c r="A2937" s="10"/>
      <c r="B2937" s="10"/>
      <c r="C2937" s="10"/>
      <c r="D2937" s="12"/>
      <c r="E2937" s="10"/>
      <c r="F2937" s="10"/>
      <c r="G2937" s="10"/>
    </row>
    <row r="2938" spans="1:7" x14ac:dyDescent="0.25">
      <c r="A2938" s="10"/>
      <c r="B2938" s="10"/>
      <c r="C2938" s="10"/>
      <c r="D2938" s="12"/>
      <c r="E2938" s="10"/>
      <c r="F2938" s="10"/>
      <c r="G2938" s="10"/>
    </row>
    <row r="2939" spans="1:7" x14ac:dyDescent="0.25">
      <c r="A2939" s="10"/>
      <c r="B2939" s="10"/>
      <c r="C2939" s="10"/>
      <c r="D2939" s="12"/>
      <c r="E2939" s="10"/>
      <c r="F2939" s="10"/>
      <c r="G2939" s="10"/>
    </row>
    <row r="2940" spans="1:7" x14ac:dyDescent="0.25">
      <c r="A2940" s="10"/>
      <c r="B2940" s="10"/>
      <c r="C2940" s="10"/>
      <c r="D2940" s="12"/>
      <c r="E2940" s="10"/>
      <c r="F2940" s="10"/>
      <c r="G2940" s="10"/>
    </row>
    <row r="2941" spans="1:7" x14ac:dyDescent="0.25">
      <c r="A2941" s="10"/>
      <c r="B2941" s="10"/>
      <c r="C2941" s="10"/>
      <c r="D2941" s="12"/>
      <c r="E2941" s="10"/>
      <c r="F2941" s="10"/>
      <c r="G2941" s="10"/>
    </row>
    <row r="2942" spans="1:7" x14ac:dyDescent="0.25">
      <c r="A2942" s="10"/>
      <c r="B2942" s="10"/>
      <c r="C2942" s="10"/>
      <c r="D2942" s="12"/>
      <c r="E2942" s="10"/>
      <c r="F2942" s="10"/>
      <c r="G2942" s="10"/>
    </row>
    <row r="2943" spans="1:7" x14ac:dyDescent="0.25">
      <c r="A2943" s="10"/>
      <c r="B2943" s="10"/>
      <c r="C2943" s="10"/>
      <c r="D2943" s="12"/>
      <c r="E2943" s="10"/>
      <c r="F2943" s="10"/>
      <c r="G2943" s="10"/>
    </row>
    <row r="2944" spans="1:7" x14ac:dyDescent="0.25">
      <c r="A2944" s="10"/>
      <c r="B2944" s="10"/>
      <c r="C2944" s="10"/>
      <c r="D2944" s="12"/>
      <c r="E2944" s="10"/>
      <c r="F2944" s="10"/>
      <c r="G2944" s="10"/>
    </row>
    <row r="2945" spans="1:7" x14ac:dyDescent="0.25">
      <c r="A2945" s="10"/>
      <c r="B2945" s="10"/>
      <c r="C2945" s="10"/>
      <c r="D2945" s="12"/>
      <c r="E2945" s="10"/>
      <c r="F2945" s="10"/>
      <c r="G2945" s="10"/>
    </row>
    <row r="2946" spans="1:7" x14ac:dyDescent="0.25">
      <c r="A2946" s="10"/>
      <c r="B2946" s="10"/>
      <c r="C2946" s="10"/>
      <c r="D2946" s="12"/>
      <c r="E2946" s="10"/>
      <c r="F2946" s="10"/>
      <c r="G2946" s="10"/>
    </row>
    <row r="2947" spans="1:7" x14ac:dyDescent="0.25">
      <c r="A2947" s="10"/>
      <c r="B2947" s="10"/>
      <c r="C2947" s="10"/>
      <c r="D2947" s="12"/>
      <c r="E2947" s="10"/>
      <c r="F2947" s="10"/>
      <c r="G2947" s="10"/>
    </row>
    <row r="2948" spans="1:7" x14ac:dyDescent="0.25">
      <c r="A2948" s="10"/>
      <c r="B2948" s="10"/>
      <c r="C2948" s="10"/>
      <c r="D2948" s="12"/>
      <c r="E2948" s="10"/>
      <c r="F2948" s="10"/>
      <c r="G2948" s="10"/>
    </row>
    <row r="2949" spans="1:7" x14ac:dyDescent="0.25">
      <c r="A2949" s="10"/>
      <c r="B2949" s="10"/>
      <c r="C2949" s="10"/>
      <c r="D2949" s="12"/>
      <c r="E2949" s="10"/>
      <c r="F2949" s="10"/>
      <c r="G2949" s="10"/>
    </row>
    <row r="2950" spans="1:7" x14ac:dyDescent="0.25">
      <c r="A2950" s="10"/>
      <c r="B2950" s="10"/>
      <c r="C2950" s="10"/>
      <c r="D2950" s="12"/>
      <c r="E2950" s="10"/>
      <c r="F2950" s="10"/>
      <c r="G2950" s="10"/>
    </row>
    <row r="2951" spans="1:7" x14ac:dyDescent="0.25">
      <c r="A2951" s="10"/>
      <c r="B2951" s="10"/>
      <c r="C2951" s="10"/>
      <c r="D2951" s="12"/>
      <c r="E2951" s="10"/>
      <c r="F2951" s="10"/>
      <c r="G2951" s="10"/>
    </row>
    <row r="2952" spans="1:7" x14ac:dyDescent="0.25">
      <c r="A2952" s="10"/>
      <c r="B2952" s="10"/>
      <c r="C2952" s="10"/>
      <c r="D2952" s="12"/>
      <c r="E2952" s="10"/>
      <c r="F2952" s="10"/>
      <c r="G2952" s="10"/>
    </row>
    <row r="2953" spans="1:7" x14ac:dyDescent="0.25">
      <c r="A2953" s="10"/>
      <c r="B2953" s="10"/>
      <c r="C2953" s="10"/>
      <c r="D2953" s="12"/>
      <c r="E2953" s="10"/>
      <c r="F2953" s="10"/>
      <c r="G2953" s="10"/>
    </row>
    <row r="2954" spans="1:7" x14ac:dyDescent="0.25">
      <c r="A2954" s="10"/>
      <c r="B2954" s="10"/>
      <c r="C2954" s="10"/>
      <c r="D2954" s="12"/>
      <c r="E2954" s="10"/>
      <c r="F2954" s="10"/>
      <c r="G2954" s="10"/>
    </row>
    <row r="2955" spans="1:7" x14ac:dyDescent="0.25">
      <c r="A2955" s="10"/>
      <c r="B2955" s="10"/>
      <c r="C2955" s="10"/>
      <c r="D2955" s="12"/>
      <c r="E2955" s="10"/>
      <c r="F2955" s="10"/>
      <c r="G2955" s="10"/>
    </row>
    <row r="2956" spans="1:7" x14ac:dyDescent="0.25">
      <c r="A2956" s="10"/>
      <c r="B2956" s="10"/>
      <c r="C2956" s="10"/>
      <c r="D2956" s="12"/>
      <c r="E2956" s="10"/>
      <c r="F2956" s="10"/>
      <c r="G2956" s="10"/>
    </row>
    <row r="2957" spans="1:7" x14ac:dyDescent="0.25">
      <c r="A2957" s="10"/>
      <c r="B2957" s="10"/>
      <c r="C2957" s="10"/>
      <c r="D2957" s="12"/>
      <c r="E2957" s="10"/>
      <c r="F2957" s="10"/>
      <c r="G2957" s="10"/>
    </row>
    <row r="2958" spans="1:7" x14ac:dyDescent="0.25">
      <c r="A2958" s="10"/>
      <c r="B2958" s="10"/>
      <c r="C2958" s="10"/>
      <c r="D2958" s="12"/>
      <c r="E2958" s="10"/>
      <c r="F2958" s="10"/>
      <c r="G2958" s="10"/>
    </row>
    <row r="2959" spans="1:7" x14ac:dyDescent="0.25">
      <c r="A2959" s="10"/>
      <c r="B2959" s="10"/>
      <c r="C2959" s="10"/>
      <c r="D2959" s="12"/>
      <c r="E2959" s="10"/>
      <c r="F2959" s="10"/>
      <c r="G2959" s="10"/>
    </row>
    <row r="2960" spans="1:7" x14ac:dyDescent="0.25">
      <c r="A2960" s="10"/>
      <c r="B2960" s="10"/>
      <c r="C2960" s="10"/>
      <c r="D2960" s="12"/>
      <c r="E2960" s="10"/>
      <c r="F2960" s="10"/>
      <c r="G2960" s="10"/>
    </row>
    <row r="2961" spans="1:7" x14ac:dyDescent="0.25">
      <c r="A2961" s="10"/>
      <c r="B2961" s="10"/>
      <c r="C2961" s="10"/>
      <c r="D2961" s="12"/>
      <c r="E2961" s="10"/>
      <c r="F2961" s="10"/>
      <c r="G2961" s="10"/>
    </row>
    <row r="2962" spans="1:7" x14ac:dyDescent="0.25">
      <c r="A2962" s="10"/>
      <c r="B2962" s="10"/>
      <c r="C2962" s="10"/>
      <c r="D2962" s="12"/>
      <c r="E2962" s="10"/>
      <c r="F2962" s="10"/>
      <c r="G2962" s="10"/>
    </row>
    <row r="2963" spans="1:7" x14ac:dyDescent="0.25">
      <c r="A2963" s="10"/>
      <c r="B2963" s="10"/>
      <c r="C2963" s="10"/>
      <c r="D2963" s="12"/>
      <c r="E2963" s="10"/>
      <c r="F2963" s="10"/>
      <c r="G2963" s="10"/>
    </row>
    <row r="2964" spans="1:7" x14ac:dyDescent="0.25">
      <c r="A2964" s="10"/>
      <c r="B2964" s="10"/>
      <c r="C2964" s="10"/>
      <c r="D2964" s="12"/>
      <c r="E2964" s="10"/>
      <c r="F2964" s="10"/>
      <c r="G2964" s="10"/>
    </row>
    <row r="2965" spans="1:7" x14ac:dyDescent="0.25">
      <c r="A2965" s="10"/>
      <c r="B2965" s="10"/>
      <c r="C2965" s="10"/>
      <c r="D2965" s="12"/>
      <c r="E2965" s="10"/>
      <c r="F2965" s="10"/>
      <c r="G2965" s="10"/>
    </row>
    <row r="2966" spans="1:7" x14ac:dyDescent="0.25">
      <c r="A2966" s="10"/>
      <c r="B2966" s="10"/>
      <c r="C2966" s="10"/>
      <c r="D2966" s="12"/>
      <c r="E2966" s="10"/>
      <c r="F2966" s="10"/>
      <c r="G2966" s="10"/>
    </row>
    <row r="2967" spans="1:7" x14ac:dyDescent="0.25">
      <c r="A2967" s="10"/>
      <c r="B2967" s="10"/>
      <c r="C2967" s="10"/>
      <c r="D2967" s="12"/>
      <c r="E2967" s="10"/>
      <c r="F2967" s="10"/>
      <c r="G2967" s="10"/>
    </row>
    <row r="2968" spans="1:7" x14ac:dyDescent="0.25">
      <c r="A2968" s="10"/>
      <c r="B2968" s="10"/>
      <c r="C2968" s="10"/>
      <c r="D2968" s="12"/>
      <c r="E2968" s="10"/>
      <c r="F2968" s="10"/>
      <c r="G2968" s="10"/>
    </row>
    <row r="2969" spans="1:7" x14ac:dyDescent="0.25">
      <c r="A2969" s="10"/>
      <c r="B2969" s="10"/>
      <c r="C2969" s="10"/>
      <c r="D2969" s="12"/>
      <c r="E2969" s="10"/>
      <c r="F2969" s="10"/>
      <c r="G2969" s="10"/>
    </row>
    <row r="2970" spans="1:7" x14ac:dyDescent="0.25">
      <c r="A2970" s="10"/>
      <c r="B2970" s="10"/>
      <c r="C2970" s="10"/>
      <c r="D2970" s="12"/>
      <c r="E2970" s="10"/>
      <c r="F2970" s="10"/>
      <c r="G2970" s="10"/>
    </row>
    <row r="2971" spans="1:7" x14ac:dyDescent="0.25">
      <c r="A2971" s="10"/>
      <c r="B2971" s="10"/>
      <c r="C2971" s="10"/>
      <c r="D2971" s="12"/>
      <c r="E2971" s="10"/>
      <c r="F2971" s="10"/>
      <c r="G2971" s="10"/>
    </row>
    <row r="2972" spans="1:7" x14ac:dyDescent="0.25">
      <c r="A2972" s="10"/>
      <c r="B2972" s="10"/>
      <c r="C2972" s="10"/>
      <c r="D2972" s="12"/>
      <c r="E2972" s="10"/>
      <c r="F2972" s="10"/>
      <c r="G2972" s="10"/>
    </row>
    <row r="2973" spans="1:7" x14ac:dyDescent="0.25">
      <c r="A2973" s="10"/>
      <c r="B2973" s="10"/>
      <c r="C2973" s="10"/>
      <c r="D2973" s="12"/>
      <c r="E2973" s="10"/>
      <c r="F2973" s="10"/>
      <c r="G2973" s="10"/>
    </row>
    <row r="2974" spans="1:7" x14ac:dyDescent="0.25">
      <c r="A2974" s="10"/>
      <c r="B2974" s="10"/>
      <c r="C2974" s="10"/>
      <c r="D2974" s="12"/>
      <c r="E2974" s="10"/>
      <c r="F2974" s="10"/>
      <c r="G2974" s="10"/>
    </row>
    <row r="2975" spans="1:7" x14ac:dyDescent="0.25">
      <c r="A2975" s="10"/>
      <c r="B2975" s="10"/>
      <c r="C2975" s="10"/>
      <c r="D2975" s="12"/>
      <c r="E2975" s="10"/>
      <c r="F2975" s="10"/>
      <c r="G2975" s="10"/>
    </row>
    <row r="2976" spans="1:7" x14ac:dyDescent="0.25">
      <c r="A2976" s="10"/>
      <c r="B2976" s="10"/>
      <c r="C2976" s="10"/>
      <c r="D2976" s="12"/>
      <c r="E2976" s="10"/>
      <c r="F2976" s="10"/>
      <c r="G2976" s="10"/>
    </row>
    <row r="2977" spans="1:7" x14ac:dyDescent="0.25">
      <c r="A2977" s="10"/>
      <c r="B2977" s="10"/>
      <c r="C2977" s="10"/>
      <c r="D2977" s="12"/>
      <c r="E2977" s="10"/>
      <c r="F2977" s="10"/>
      <c r="G2977" s="10"/>
    </row>
    <row r="2978" spans="1:7" x14ac:dyDescent="0.25">
      <c r="A2978" s="10"/>
      <c r="B2978" s="10"/>
      <c r="C2978" s="10"/>
      <c r="D2978" s="12"/>
      <c r="E2978" s="10"/>
      <c r="F2978" s="10"/>
      <c r="G2978" s="10"/>
    </row>
    <row r="2979" spans="1:7" x14ac:dyDescent="0.25">
      <c r="A2979" s="10"/>
      <c r="B2979" s="10"/>
      <c r="C2979" s="10"/>
      <c r="D2979" s="12"/>
      <c r="E2979" s="10"/>
      <c r="F2979" s="10"/>
      <c r="G2979" s="10"/>
    </row>
    <row r="2980" spans="1:7" x14ac:dyDescent="0.25">
      <c r="A2980" s="10"/>
      <c r="B2980" s="10"/>
      <c r="C2980" s="10"/>
      <c r="D2980" s="12"/>
      <c r="E2980" s="10"/>
      <c r="F2980" s="10"/>
      <c r="G2980" s="10"/>
    </row>
    <row r="2981" spans="1:7" x14ac:dyDescent="0.25">
      <c r="A2981" s="10"/>
      <c r="B2981" s="10"/>
      <c r="C2981" s="10"/>
      <c r="D2981" s="12"/>
      <c r="E2981" s="10"/>
      <c r="F2981" s="10"/>
      <c r="G2981" s="10"/>
    </row>
    <row r="2982" spans="1:7" x14ac:dyDescent="0.25">
      <c r="A2982" s="10"/>
      <c r="B2982" s="10"/>
      <c r="C2982" s="10"/>
      <c r="D2982" s="12"/>
      <c r="E2982" s="10"/>
      <c r="F2982" s="10"/>
      <c r="G2982" s="10"/>
    </row>
    <row r="2983" spans="1:7" x14ac:dyDescent="0.25">
      <c r="A2983" s="10"/>
      <c r="B2983" s="10"/>
      <c r="C2983" s="10"/>
      <c r="D2983" s="12"/>
      <c r="E2983" s="10"/>
      <c r="F2983" s="10"/>
      <c r="G2983" s="10"/>
    </row>
    <row r="2984" spans="1:7" x14ac:dyDescent="0.25">
      <c r="A2984" s="10"/>
      <c r="B2984" s="10"/>
      <c r="C2984" s="10"/>
      <c r="D2984" s="12"/>
      <c r="E2984" s="10"/>
      <c r="F2984" s="10"/>
      <c r="G2984" s="10"/>
    </row>
    <row r="2985" spans="1:7" x14ac:dyDescent="0.25">
      <c r="A2985" s="10"/>
      <c r="B2985" s="10"/>
      <c r="C2985" s="10"/>
      <c r="D2985" s="12"/>
      <c r="E2985" s="10"/>
      <c r="F2985" s="10"/>
      <c r="G2985" s="10"/>
    </row>
    <row r="2986" spans="1:7" x14ac:dyDescent="0.25">
      <c r="A2986" s="10"/>
      <c r="B2986" s="10"/>
      <c r="C2986" s="10"/>
      <c r="D2986" s="12"/>
      <c r="E2986" s="10"/>
      <c r="F2986" s="10"/>
      <c r="G2986" s="10"/>
    </row>
    <row r="2987" spans="1:7" x14ac:dyDescent="0.25">
      <c r="A2987" s="10"/>
      <c r="B2987" s="10"/>
      <c r="C2987" s="10"/>
      <c r="D2987" s="12"/>
      <c r="E2987" s="10"/>
      <c r="F2987" s="10"/>
      <c r="G2987" s="10"/>
    </row>
    <row r="2988" spans="1:7" x14ac:dyDescent="0.25">
      <c r="A2988" s="10"/>
      <c r="B2988" s="10"/>
      <c r="C2988" s="10"/>
      <c r="D2988" s="12"/>
      <c r="E2988" s="10"/>
      <c r="F2988" s="10"/>
      <c r="G2988" s="10"/>
    </row>
    <row r="2989" spans="1:7" x14ac:dyDescent="0.25">
      <c r="A2989" s="10"/>
      <c r="B2989" s="10"/>
      <c r="C2989" s="10"/>
      <c r="D2989" s="12"/>
      <c r="E2989" s="10"/>
      <c r="F2989" s="10"/>
      <c r="G2989" s="10"/>
    </row>
    <row r="2990" spans="1:7" x14ac:dyDescent="0.25">
      <c r="A2990" s="10"/>
      <c r="B2990" s="10"/>
      <c r="C2990" s="10"/>
      <c r="D2990" s="12"/>
      <c r="E2990" s="10"/>
      <c r="F2990" s="10"/>
      <c r="G2990" s="10"/>
    </row>
    <row r="2991" spans="1:7" x14ac:dyDescent="0.25">
      <c r="A2991" s="10"/>
      <c r="B2991" s="10"/>
      <c r="C2991" s="10"/>
      <c r="D2991" s="12"/>
      <c r="E2991" s="10"/>
      <c r="F2991" s="10"/>
      <c r="G2991" s="10"/>
    </row>
    <row r="2992" spans="1:7" x14ac:dyDescent="0.25">
      <c r="A2992" s="10"/>
      <c r="B2992" s="10"/>
      <c r="C2992" s="10"/>
      <c r="D2992" s="12"/>
      <c r="E2992" s="10"/>
      <c r="F2992" s="10"/>
      <c r="G2992" s="10"/>
    </row>
    <row r="2993" spans="1:7" x14ac:dyDescent="0.25">
      <c r="A2993" s="10"/>
      <c r="B2993" s="10"/>
      <c r="C2993" s="10"/>
      <c r="D2993" s="12"/>
      <c r="E2993" s="10"/>
      <c r="F2993" s="10"/>
      <c r="G2993" s="10"/>
    </row>
    <row r="2994" spans="1:7" x14ac:dyDescent="0.25">
      <c r="A2994" s="10"/>
      <c r="B2994" s="10"/>
      <c r="C2994" s="10"/>
      <c r="D2994" s="12"/>
      <c r="E2994" s="10"/>
      <c r="F2994" s="10"/>
      <c r="G2994" s="10"/>
    </row>
    <row r="2995" spans="1:7" x14ac:dyDescent="0.25">
      <c r="A2995" s="10"/>
      <c r="B2995" s="10"/>
      <c r="C2995" s="10"/>
      <c r="D2995" s="12"/>
      <c r="E2995" s="10"/>
      <c r="F2995" s="10"/>
      <c r="G2995" s="10"/>
    </row>
    <row r="2996" spans="1:7" x14ac:dyDescent="0.25">
      <c r="A2996" s="10"/>
      <c r="B2996" s="10"/>
      <c r="C2996" s="10"/>
      <c r="D2996" s="12"/>
      <c r="E2996" s="10"/>
      <c r="F2996" s="10"/>
      <c r="G2996" s="10"/>
    </row>
    <row r="2997" spans="1:7" x14ac:dyDescent="0.25">
      <c r="A2997" s="10"/>
      <c r="B2997" s="10"/>
      <c r="C2997" s="10"/>
      <c r="D2997" s="12"/>
      <c r="E2997" s="10"/>
      <c r="F2997" s="10"/>
      <c r="G2997" s="10"/>
    </row>
    <row r="2998" spans="1:7" x14ac:dyDescent="0.25">
      <c r="A2998" s="10"/>
      <c r="B2998" s="10"/>
      <c r="C2998" s="10"/>
      <c r="D2998" s="12"/>
      <c r="E2998" s="10"/>
      <c r="F2998" s="10"/>
      <c r="G2998" s="10"/>
    </row>
    <row r="2999" spans="1:7" x14ac:dyDescent="0.25">
      <c r="A2999" s="10"/>
      <c r="B2999" s="10"/>
      <c r="C2999" s="10"/>
      <c r="D2999" s="12"/>
      <c r="E2999" s="10"/>
      <c r="F2999" s="10"/>
      <c r="G2999" s="10"/>
    </row>
    <row r="3000" spans="1:7" x14ac:dyDescent="0.25">
      <c r="A3000" s="10"/>
      <c r="B3000" s="10"/>
      <c r="C3000" s="10"/>
      <c r="D3000" s="12"/>
      <c r="E3000" s="10"/>
      <c r="F3000" s="10"/>
      <c r="G3000" s="10"/>
    </row>
    <row r="3001" spans="1:7" x14ac:dyDescent="0.25">
      <c r="A3001" s="10"/>
      <c r="B3001" s="10"/>
      <c r="C3001" s="10"/>
      <c r="D3001" s="12"/>
      <c r="E3001" s="10"/>
      <c r="F3001" s="10"/>
      <c r="G3001" s="10"/>
    </row>
    <row r="3002" spans="1:7" x14ac:dyDescent="0.25">
      <c r="A3002" s="10"/>
      <c r="B3002" s="10"/>
      <c r="C3002" s="10"/>
      <c r="D3002" s="12"/>
      <c r="E3002" s="10"/>
      <c r="F3002" s="10"/>
      <c r="G3002" s="10"/>
    </row>
    <row r="3003" spans="1:7" x14ac:dyDescent="0.25">
      <c r="A3003" s="10"/>
      <c r="B3003" s="10"/>
      <c r="C3003" s="10"/>
      <c r="D3003" s="12"/>
      <c r="E3003" s="10"/>
      <c r="F3003" s="10"/>
      <c r="G3003" s="10"/>
    </row>
    <row r="3004" spans="1:7" x14ac:dyDescent="0.25">
      <c r="A3004" s="10"/>
      <c r="B3004" s="10"/>
      <c r="C3004" s="10"/>
      <c r="D3004" s="12"/>
      <c r="E3004" s="10"/>
      <c r="F3004" s="10"/>
      <c r="G3004" s="10"/>
    </row>
    <row r="3005" spans="1:7" x14ac:dyDescent="0.25">
      <c r="A3005" s="10"/>
      <c r="B3005" s="10"/>
      <c r="C3005" s="10"/>
      <c r="D3005" s="12"/>
      <c r="E3005" s="10"/>
      <c r="F3005" s="10"/>
      <c r="G3005" s="10"/>
    </row>
    <row r="3006" spans="1:7" x14ac:dyDescent="0.25">
      <c r="A3006" s="10"/>
      <c r="B3006" s="10"/>
      <c r="C3006" s="10"/>
      <c r="D3006" s="12"/>
      <c r="E3006" s="10"/>
      <c r="F3006" s="10"/>
      <c r="G3006" s="10"/>
    </row>
    <row r="3007" spans="1:7" x14ac:dyDescent="0.25">
      <c r="A3007" s="10"/>
      <c r="B3007" s="10"/>
      <c r="C3007" s="10"/>
      <c r="D3007" s="12"/>
      <c r="E3007" s="10"/>
      <c r="F3007" s="10"/>
      <c r="G3007" s="10"/>
    </row>
    <row r="3008" spans="1:7" x14ac:dyDescent="0.25">
      <c r="A3008" s="10"/>
      <c r="B3008" s="10"/>
      <c r="C3008" s="10"/>
      <c r="D3008" s="12"/>
      <c r="E3008" s="10"/>
      <c r="F3008" s="10"/>
      <c r="G3008" s="10"/>
    </row>
    <row r="3009" spans="1:7" x14ac:dyDescent="0.25">
      <c r="A3009" s="10"/>
      <c r="B3009" s="10"/>
      <c r="C3009" s="10"/>
      <c r="D3009" s="12"/>
      <c r="E3009" s="10"/>
      <c r="F3009" s="10"/>
      <c r="G3009" s="10"/>
    </row>
    <row r="3010" spans="1:7" x14ac:dyDescent="0.25">
      <c r="A3010" s="10"/>
      <c r="B3010" s="10"/>
      <c r="C3010" s="10"/>
      <c r="D3010" s="12"/>
      <c r="E3010" s="10"/>
      <c r="F3010" s="10"/>
      <c r="G3010" s="10"/>
    </row>
    <row r="3011" spans="1:7" x14ac:dyDescent="0.25">
      <c r="A3011" s="10"/>
      <c r="B3011" s="10"/>
      <c r="C3011" s="10"/>
      <c r="D3011" s="12"/>
      <c r="E3011" s="10"/>
      <c r="F3011" s="10"/>
      <c r="G3011" s="10"/>
    </row>
    <row r="3012" spans="1:7" x14ac:dyDescent="0.25">
      <c r="A3012" s="10"/>
      <c r="B3012" s="10"/>
      <c r="C3012" s="10"/>
      <c r="D3012" s="12"/>
      <c r="E3012" s="10"/>
      <c r="F3012" s="10"/>
      <c r="G3012" s="10"/>
    </row>
    <row r="3013" spans="1:7" x14ac:dyDescent="0.25">
      <c r="A3013" s="10"/>
      <c r="B3013" s="10"/>
      <c r="C3013" s="10"/>
      <c r="D3013" s="12"/>
      <c r="E3013" s="10"/>
      <c r="F3013" s="10"/>
      <c r="G3013" s="10"/>
    </row>
    <row r="3014" spans="1:7" x14ac:dyDescent="0.25">
      <c r="A3014" s="10"/>
      <c r="B3014" s="10"/>
      <c r="C3014" s="10"/>
      <c r="D3014" s="12"/>
      <c r="E3014" s="10"/>
      <c r="F3014" s="10"/>
      <c r="G3014" s="10"/>
    </row>
    <row r="3015" spans="1:7" x14ac:dyDescent="0.25">
      <c r="A3015" s="10"/>
      <c r="B3015" s="10"/>
      <c r="C3015" s="10"/>
      <c r="D3015" s="12"/>
      <c r="E3015" s="10"/>
      <c r="F3015" s="10"/>
      <c r="G3015" s="10"/>
    </row>
    <row r="3016" spans="1:7" x14ac:dyDescent="0.25">
      <c r="A3016" s="10"/>
      <c r="B3016" s="10"/>
      <c r="C3016" s="10"/>
      <c r="D3016" s="12"/>
      <c r="E3016" s="10"/>
      <c r="F3016" s="10"/>
      <c r="G3016" s="10"/>
    </row>
    <row r="3017" spans="1:7" x14ac:dyDescent="0.25">
      <c r="A3017" s="10"/>
      <c r="B3017" s="10"/>
      <c r="C3017" s="10"/>
      <c r="D3017" s="12"/>
      <c r="E3017" s="10"/>
      <c r="F3017" s="10"/>
      <c r="G3017" s="10"/>
    </row>
    <row r="3018" spans="1:7" x14ac:dyDescent="0.25">
      <c r="A3018" s="10"/>
      <c r="B3018" s="10"/>
      <c r="C3018" s="10"/>
      <c r="D3018" s="12"/>
      <c r="E3018" s="10"/>
      <c r="F3018" s="10"/>
      <c r="G3018" s="10"/>
    </row>
    <row r="3019" spans="1:7" x14ac:dyDescent="0.25">
      <c r="A3019" s="10"/>
      <c r="B3019" s="10"/>
      <c r="C3019" s="10"/>
      <c r="D3019" s="12"/>
      <c r="E3019" s="10"/>
      <c r="F3019" s="10"/>
      <c r="G3019" s="10"/>
    </row>
    <row r="3020" spans="1:7" x14ac:dyDescent="0.25">
      <c r="A3020" s="10"/>
      <c r="B3020" s="10"/>
      <c r="C3020" s="10"/>
      <c r="D3020" s="12"/>
      <c r="E3020" s="10"/>
      <c r="F3020" s="10"/>
      <c r="G3020" s="10"/>
    </row>
    <row r="3021" spans="1:7" x14ac:dyDescent="0.25">
      <c r="A3021" s="10"/>
      <c r="B3021" s="10"/>
      <c r="C3021" s="10"/>
      <c r="D3021" s="12"/>
      <c r="E3021" s="10"/>
      <c r="F3021" s="10"/>
      <c r="G3021" s="10"/>
    </row>
    <row r="3022" spans="1:7" x14ac:dyDescent="0.25">
      <c r="A3022" s="10"/>
      <c r="B3022" s="10"/>
      <c r="C3022" s="10"/>
      <c r="D3022" s="12"/>
      <c r="E3022" s="10"/>
      <c r="F3022" s="10"/>
      <c r="G3022" s="10"/>
    </row>
    <row r="3023" spans="1:7" x14ac:dyDescent="0.25">
      <c r="A3023" s="10"/>
      <c r="B3023" s="10"/>
      <c r="C3023" s="10"/>
      <c r="D3023" s="12"/>
      <c r="E3023" s="10"/>
      <c r="F3023" s="10"/>
      <c r="G3023" s="10"/>
    </row>
    <row r="3024" spans="1:7" x14ac:dyDescent="0.25">
      <c r="A3024" s="10"/>
      <c r="B3024" s="10"/>
      <c r="C3024" s="10"/>
      <c r="D3024" s="12"/>
      <c r="E3024" s="10"/>
      <c r="F3024" s="10"/>
      <c r="G3024" s="10"/>
    </row>
    <row r="3025" spans="1:7" x14ac:dyDescent="0.25">
      <c r="A3025" s="10"/>
      <c r="B3025" s="10"/>
      <c r="C3025" s="10"/>
      <c r="D3025" s="12"/>
      <c r="E3025" s="10"/>
      <c r="F3025" s="10"/>
      <c r="G3025" s="10"/>
    </row>
    <row r="3026" spans="1:7" x14ac:dyDescent="0.25">
      <c r="A3026" s="10"/>
      <c r="B3026" s="10"/>
      <c r="C3026" s="10"/>
      <c r="D3026" s="12"/>
      <c r="E3026" s="10"/>
      <c r="F3026" s="10"/>
      <c r="G3026" s="10"/>
    </row>
    <row r="3027" spans="1:7" x14ac:dyDescent="0.25">
      <c r="A3027" s="10"/>
      <c r="B3027" s="10"/>
      <c r="C3027" s="10"/>
      <c r="D3027" s="12"/>
      <c r="E3027" s="10"/>
      <c r="F3027" s="10"/>
      <c r="G3027" s="10"/>
    </row>
    <row r="3028" spans="1:7" x14ac:dyDescent="0.25">
      <c r="A3028" s="10"/>
      <c r="B3028" s="10"/>
      <c r="C3028" s="10"/>
      <c r="D3028" s="12"/>
      <c r="E3028" s="10"/>
      <c r="F3028" s="10"/>
      <c r="G3028" s="10"/>
    </row>
    <row r="3029" spans="1:7" x14ac:dyDescent="0.25">
      <c r="A3029" s="10"/>
      <c r="B3029" s="10"/>
      <c r="C3029" s="10"/>
      <c r="D3029" s="12"/>
      <c r="E3029" s="10"/>
      <c r="F3029" s="10"/>
      <c r="G3029" s="10"/>
    </row>
    <row r="3030" spans="1:7" x14ac:dyDescent="0.25">
      <c r="A3030" s="10"/>
      <c r="B3030" s="10"/>
      <c r="C3030" s="10"/>
      <c r="D3030" s="12"/>
      <c r="E3030" s="10"/>
      <c r="F3030" s="10"/>
      <c r="G3030" s="10"/>
    </row>
    <row r="3031" spans="1:7" x14ac:dyDescent="0.25">
      <c r="A3031" s="10"/>
      <c r="B3031" s="10"/>
      <c r="C3031" s="10"/>
      <c r="D3031" s="12"/>
      <c r="E3031" s="10"/>
      <c r="F3031" s="10"/>
      <c r="G3031" s="10"/>
    </row>
    <row r="3032" spans="1:7" x14ac:dyDescent="0.25">
      <c r="A3032" s="10"/>
      <c r="B3032" s="10"/>
      <c r="C3032" s="10"/>
      <c r="D3032" s="12"/>
      <c r="E3032" s="10"/>
      <c r="F3032" s="10"/>
      <c r="G3032" s="10"/>
    </row>
    <row r="3033" spans="1:7" x14ac:dyDescent="0.25">
      <c r="A3033" s="10"/>
      <c r="B3033" s="10"/>
      <c r="C3033" s="10"/>
      <c r="D3033" s="12"/>
      <c r="E3033" s="10"/>
      <c r="F3033" s="10"/>
      <c r="G3033" s="10"/>
    </row>
    <row r="3034" spans="1:7" x14ac:dyDescent="0.25">
      <c r="A3034" s="10"/>
      <c r="B3034" s="10"/>
      <c r="C3034" s="10"/>
      <c r="D3034" s="12"/>
      <c r="E3034" s="10"/>
      <c r="F3034" s="10"/>
      <c r="G3034" s="10"/>
    </row>
    <row r="3035" spans="1:7" x14ac:dyDescent="0.25">
      <c r="A3035" s="10"/>
      <c r="B3035" s="10"/>
      <c r="C3035" s="10"/>
      <c r="D3035" s="12"/>
      <c r="E3035" s="10"/>
      <c r="F3035" s="10"/>
      <c r="G3035" s="10"/>
    </row>
    <row r="3036" spans="1:7" x14ac:dyDescent="0.25">
      <c r="A3036" s="10"/>
      <c r="B3036" s="10"/>
      <c r="C3036" s="10"/>
      <c r="D3036" s="12"/>
      <c r="E3036" s="10"/>
      <c r="F3036" s="10"/>
      <c r="G3036" s="10"/>
    </row>
    <row r="3037" spans="1:7" x14ac:dyDescent="0.25">
      <c r="A3037" s="10"/>
      <c r="B3037" s="10"/>
      <c r="C3037" s="10"/>
      <c r="D3037" s="12"/>
      <c r="E3037" s="10"/>
      <c r="F3037" s="10"/>
      <c r="G3037" s="10"/>
    </row>
    <row r="3038" spans="1:7" x14ac:dyDescent="0.25">
      <c r="A3038" s="10"/>
      <c r="B3038" s="10"/>
      <c r="C3038" s="10"/>
      <c r="D3038" s="12"/>
      <c r="E3038" s="10"/>
      <c r="F3038" s="10"/>
      <c r="G3038" s="10"/>
    </row>
    <row r="3039" spans="1:7" x14ac:dyDescent="0.25">
      <c r="A3039" s="10"/>
      <c r="B3039" s="10"/>
      <c r="C3039" s="10"/>
      <c r="D3039" s="12"/>
      <c r="E3039" s="10"/>
      <c r="F3039" s="10"/>
      <c r="G3039" s="10"/>
    </row>
    <row r="3040" spans="1:7" x14ac:dyDescent="0.25">
      <c r="A3040" s="10"/>
      <c r="B3040" s="10"/>
      <c r="C3040" s="10"/>
      <c r="D3040" s="12"/>
      <c r="E3040" s="10"/>
      <c r="F3040" s="10"/>
      <c r="G3040" s="10"/>
    </row>
    <row r="3041" spans="1:7" x14ac:dyDescent="0.25">
      <c r="A3041" s="10"/>
      <c r="B3041" s="10"/>
      <c r="C3041" s="10"/>
      <c r="D3041" s="12"/>
      <c r="E3041" s="10"/>
      <c r="F3041" s="10"/>
      <c r="G3041" s="10"/>
    </row>
    <row r="3042" spans="1:7" x14ac:dyDescent="0.25">
      <c r="A3042" s="10"/>
      <c r="B3042" s="10"/>
      <c r="C3042" s="10"/>
      <c r="D3042" s="12"/>
      <c r="E3042" s="10"/>
      <c r="F3042" s="10"/>
      <c r="G3042" s="10"/>
    </row>
    <row r="3043" spans="1:7" x14ac:dyDescent="0.25">
      <c r="A3043" s="10"/>
      <c r="B3043" s="10"/>
      <c r="C3043" s="10"/>
      <c r="D3043" s="12"/>
      <c r="E3043" s="10"/>
      <c r="F3043" s="10"/>
      <c r="G3043" s="10"/>
    </row>
    <row r="3044" spans="1:7" x14ac:dyDescent="0.25">
      <c r="A3044" s="10"/>
      <c r="B3044" s="10"/>
      <c r="C3044" s="10"/>
      <c r="D3044" s="12"/>
      <c r="E3044" s="10"/>
      <c r="F3044" s="10"/>
      <c r="G3044" s="10"/>
    </row>
    <row r="3045" spans="1:7" x14ac:dyDescent="0.25">
      <c r="A3045" s="10"/>
      <c r="B3045" s="10"/>
      <c r="C3045" s="10"/>
      <c r="D3045" s="12"/>
      <c r="E3045" s="10"/>
      <c r="F3045" s="10"/>
      <c r="G3045" s="10"/>
    </row>
    <row r="3046" spans="1:7" x14ac:dyDescent="0.25">
      <c r="A3046" s="10"/>
      <c r="B3046" s="10"/>
      <c r="C3046" s="10"/>
      <c r="D3046" s="12"/>
      <c r="E3046" s="10"/>
      <c r="F3046" s="10"/>
      <c r="G3046" s="10"/>
    </row>
    <row r="3047" spans="1:7" x14ac:dyDescent="0.25">
      <c r="A3047" s="10"/>
      <c r="B3047" s="10"/>
      <c r="C3047" s="10"/>
      <c r="D3047" s="12"/>
      <c r="E3047" s="10"/>
      <c r="F3047" s="10"/>
      <c r="G3047" s="10"/>
    </row>
    <row r="3048" spans="1:7" x14ac:dyDescent="0.25">
      <c r="A3048" s="10"/>
      <c r="B3048" s="10"/>
      <c r="C3048" s="10"/>
      <c r="D3048" s="12"/>
      <c r="E3048" s="10"/>
      <c r="F3048" s="10"/>
      <c r="G3048" s="10"/>
    </row>
    <row r="3049" spans="1:7" x14ac:dyDescent="0.25">
      <c r="A3049" s="10"/>
      <c r="B3049" s="10"/>
      <c r="C3049" s="10"/>
      <c r="D3049" s="12"/>
      <c r="E3049" s="10"/>
      <c r="F3049" s="10"/>
      <c r="G3049" s="10"/>
    </row>
    <row r="3050" spans="1:7" x14ac:dyDescent="0.25">
      <c r="A3050" s="10"/>
      <c r="B3050" s="10"/>
      <c r="C3050" s="10"/>
      <c r="D3050" s="12"/>
      <c r="E3050" s="10"/>
      <c r="F3050" s="10"/>
      <c r="G3050" s="10"/>
    </row>
    <row r="3051" spans="1:7" x14ac:dyDescent="0.25">
      <c r="A3051" s="10"/>
      <c r="B3051" s="10"/>
      <c r="C3051" s="10"/>
      <c r="D3051" s="12"/>
      <c r="E3051" s="10"/>
      <c r="F3051" s="10"/>
      <c r="G3051" s="10"/>
    </row>
    <row r="3052" spans="1:7" x14ac:dyDescent="0.25">
      <c r="A3052" s="10"/>
      <c r="B3052" s="10"/>
      <c r="C3052" s="10"/>
      <c r="D3052" s="12"/>
      <c r="E3052" s="10"/>
      <c r="F3052" s="10"/>
      <c r="G3052" s="10"/>
    </row>
    <row r="3053" spans="1:7" x14ac:dyDescent="0.25">
      <c r="A3053" s="10"/>
      <c r="B3053" s="10"/>
      <c r="C3053" s="10"/>
      <c r="D3053" s="12"/>
      <c r="E3053" s="10"/>
      <c r="F3053" s="10"/>
      <c r="G3053" s="10"/>
    </row>
    <row r="3054" spans="1:7" x14ac:dyDescent="0.25">
      <c r="A3054" s="10"/>
      <c r="B3054" s="10"/>
      <c r="C3054" s="10"/>
      <c r="D3054" s="12"/>
      <c r="E3054" s="10"/>
      <c r="F3054" s="10"/>
      <c r="G3054" s="10"/>
    </row>
    <row r="3055" spans="1:7" x14ac:dyDescent="0.25">
      <c r="A3055" s="10"/>
      <c r="B3055" s="10"/>
      <c r="C3055" s="10"/>
      <c r="D3055" s="12"/>
      <c r="E3055" s="10"/>
      <c r="F3055" s="10"/>
      <c r="G3055" s="10"/>
    </row>
    <row r="3056" spans="1:7" x14ac:dyDescent="0.25">
      <c r="A3056" s="10"/>
      <c r="B3056" s="10"/>
      <c r="C3056" s="10"/>
      <c r="D3056" s="12"/>
      <c r="E3056" s="10"/>
      <c r="F3056" s="10"/>
      <c r="G3056" s="10"/>
    </row>
    <row r="3057" spans="1:7" x14ac:dyDescent="0.25">
      <c r="A3057" s="10"/>
      <c r="B3057" s="10"/>
      <c r="C3057" s="10"/>
      <c r="D3057" s="12"/>
      <c r="E3057" s="10"/>
      <c r="F3057" s="10"/>
      <c r="G3057" s="10"/>
    </row>
    <row r="3058" spans="1:7" x14ac:dyDescent="0.25">
      <c r="A3058" s="10"/>
      <c r="B3058" s="10"/>
      <c r="C3058" s="10"/>
      <c r="D3058" s="12"/>
      <c r="E3058" s="10"/>
      <c r="F3058" s="10"/>
      <c r="G3058" s="10"/>
    </row>
    <row r="3059" spans="1:7" x14ac:dyDescent="0.25">
      <c r="A3059" s="10"/>
      <c r="B3059" s="10"/>
      <c r="C3059" s="10"/>
      <c r="D3059" s="12"/>
      <c r="E3059" s="10"/>
      <c r="F3059" s="10"/>
      <c r="G3059" s="10"/>
    </row>
    <row r="3060" spans="1:7" x14ac:dyDescent="0.25">
      <c r="A3060" s="10"/>
      <c r="B3060" s="10"/>
      <c r="C3060" s="10"/>
      <c r="D3060" s="12"/>
      <c r="E3060" s="10"/>
      <c r="F3060" s="10"/>
      <c r="G3060" s="10"/>
    </row>
    <row r="3061" spans="1:7" x14ac:dyDescent="0.25">
      <c r="A3061" s="10"/>
      <c r="B3061" s="10"/>
      <c r="C3061" s="10"/>
      <c r="D3061" s="12"/>
      <c r="E3061" s="10"/>
      <c r="F3061" s="10"/>
      <c r="G3061" s="10"/>
    </row>
    <row r="3062" spans="1:7" x14ac:dyDescent="0.25">
      <c r="A3062" s="10"/>
      <c r="B3062" s="10"/>
      <c r="C3062" s="10"/>
      <c r="D3062" s="12"/>
      <c r="E3062" s="10"/>
      <c r="F3062" s="10"/>
      <c r="G3062" s="10"/>
    </row>
    <row r="3063" spans="1:7" x14ac:dyDescent="0.25">
      <c r="A3063" s="10"/>
      <c r="B3063" s="10"/>
      <c r="C3063" s="10"/>
      <c r="D3063" s="12"/>
      <c r="E3063" s="10"/>
      <c r="F3063" s="10"/>
      <c r="G3063" s="10"/>
    </row>
    <row r="3064" spans="1:7" x14ac:dyDescent="0.25">
      <c r="A3064" s="10"/>
      <c r="B3064" s="10"/>
      <c r="C3064" s="10"/>
      <c r="D3064" s="12"/>
      <c r="E3064" s="10"/>
      <c r="F3064" s="10"/>
      <c r="G3064" s="10"/>
    </row>
    <row r="3065" spans="1:7" x14ac:dyDescent="0.25">
      <c r="A3065" s="10"/>
      <c r="B3065" s="10"/>
      <c r="C3065" s="10"/>
      <c r="D3065" s="12"/>
      <c r="E3065" s="10"/>
      <c r="F3065" s="10"/>
      <c r="G3065" s="10"/>
    </row>
    <row r="3066" spans="1:7" x14ac:dyDescent="0.25">
      <c r="A3066" s="10"/>
      <c r="B3066" s="10"/>
      <c r="C3066" s="10"/>
      <c r="D3066" s="12"/>
      <c r="E3066" s="10"/>
      <c r="F3066" s="10"/>
      <c r="G3066" s="10"/>
    </row>
    <row r="3067" spans="1:7" x14ac:dyDescent="0.25">
      <c r="A3067" s="10"/>
      <c r="B3067" s="10"/>
      <c r="C3067" s="10"/>
      <c r="D3067" s="12"/>
      <c r="E3067" s="10"/>
      <c r="F3067" s="10"/>
      <c r="G3067" s="10"/>
    </row>
    <row r="3068" spans="1:7" x14ac:dyDescent="0.25">
      <c r="A3068" s="10"/>
      <c r="B3068" s="10"/>
      <c r="C3068" s="10"/>
      <c r="D3068" s="12"/>
      <c r="E3068" s="10"/>
      <c r="F3068" s="10"/>
      <c r="G3068" s="10"/>
    </row>
    <row r="3069" spans="1:7" x14ac:dyDescent="0.25">
      <c r="A3069" s="10"/>
      <c r="B3069" s="10"/>
      <c r="C3069" s="10"/>
      <c r="D3069" s="12"/>
      <c r="E3069" s="10"/>
      <c r="F3069" s="10"/>
      <c r="G3069" s="10"/>
    </row>
    <row r="3070" spans="1:7" x14ac:dyDescent="0.25">
      <c r="A3070" s="10"/>
      <c r="B3070" s="10"/>
      <c r="C3070" s="10"/>
      <c r="D3070" s="12"/>
      <c r="E3070" s="10"/>
      <c r="F3070" s="10"/>
      <c r="G3070" s="10"/>
    </row>
    <row r="3071" spans="1:7" x14ac:dyDescent="0.25">
      <c r="A3071" s="10"/>
      <c r="B3071" s="10"/>
      <c r="C3071" s="10"/>
      <c r="D3071" s="12"/>
      <c r="E3071" s="10"/>
      <c r="F3071" s="10"/>
      <c r="G3071" s="10"/>
    </row>
    <row r="3072" spans="1:7" x14ac:dyDescent="0.25">
      <c r="A3072" s="10"/>
      <c r="B3072" s="10"/>
      <c r="C3072" s="10"/>
      <c r="D3072" s="12"/>
      <c r="E3072" s="10"/>
      <c r="F3072" s="10"/>
      <c r="G3072" s="10"/>
    </row>
    <row r="3073" spans="1:7" x14ac:dyDescent="0.25">
      <c r="A3073" s="10"/>
      <c r="B3073" s="10"/>
      <c r="C3073" s="10"/>
      <c r="D3073" s="12"/>
      <c r="E3073" s="10"/>
      <c r="F3073" s="10"/>
      <c r="G3073" s="10"/>
    </row>
    <row r="3074" spans="1:7" x14ac:dyDescent="0.25">
      <c r="A3074" s="10"/>
      <c r="B3074" s="10"/>
      <c r="C3074" s="10"/>
      <c r="D3074" s="12"/>
      <c r="E3074" s="10"/>
      <c r="F3074" s="10"/>
      <c r="G3074" s="10"/>
    </row>
    <row r="3075" spans="1:7" x14ac:dyDescent="0.25">
      <c r="A3075" s="10"/>
      <c r="B3075" s="10"/>
      <c r="C3075" s="10"/>
      <c r="D3075" s="12"/>
      <c r="E3075" s="10"/>
      <c r="F3075" s="10"/>
      <c r="G3075" s="10"/>
    </row>
    <row r="3076" spans="1:7" x14ac:dyDescent="0.25">
      <c r="A3076" s="10"/>
      <c r="B3076" s="10"/>
      <c r="C3076" s="10"/>
      <c r="D3076" s="12"/>
      <c r="E3076" s="10"/>
      <c r="F3076" s="10"/>
      <c r="G3076" s="10"/>
    </row>
    <row r="3077" spans="1:7" x14ac:dyDescent="0.25">
      <c r="A3077" s="10"/>
      <c r="B3077" s="10"/>
      <c r="C3077" s="10"/>
      <c r="D3077" s="12"/>
      <c r="E3077" s="10"/>
      <c r="F3077" s="10"/>
      <c r="G3077" s="10"/>
    </row>
    <row r="3078" spans="1:7" x14ac:dyDescent="0.25">
      <c r="A3078" s="10"/>
      <c r="B3078" s="10"/>
      <c r="C3078" s="10"/>
      <c r="D3078" s="12"/>
      <c r="E3078" s="10"/>
      <c r="F3078" s="10"/>
      <c r="G3078" s="10"/>
    </row>
    <row r="3079" spans="1:7" x14ac:dyDescent="0.25">
      <c r="A3079" s="10"/>
      <c r="B3079" s="10"/>
      <c r="C3079" s="10"/>
      <c r="D3079" s="12"/>
      <c r="E3079" s="10"/>
      <c r="F3079" s="10"/>
      <c r="G3079" s="10"/>
    </row>
    <row r="3080" spans="1:7" x14ac:dyDescent="0.25">
      <c r="A3080" s="10"/>
      <c r="B3080" s="10"/>
      <c r="C3080" s="10"/>
      <c r="D3080" s="12"/>
      <c r="E3080" s="10"/>
      <c r="F3080" s="10"/>
      <c r="G3080" s="10"/>
    </row>
    <row r="3081" spans="1:7" x14ac:dyDescent="0.25">
      <c r="A3081" s="10"/>
      <c r="B3081" s="10"/>
      <c r="C3081" s="10"/>
      <c r="D3081" s="12"/>
      <c r="E3081" s="10"/>
      <c r="F3081" s="10"/>
      <c r="G3081" s="10"/>
    </row>
    <row r="3082" spans="1:7" x14ac:dyDescent="0.25">
      <c r="A3082" s="10"/>
      <c r="B3082" s="10"/>
      <c r="C3082" s="10"/>
      <c r="D3082" s="12"/>
      <c r="E3082" s="10"/>
      <c r="F3082" s="10"/>
      <c r="G3082" s="10"/>
    </row>
    <row r="3083" spans="1:7" x14ac:dyDescent="0.25">
      <c r="A3083" s="10"/>
      <c r="B3083" s="10"/>
      <c r="C3083" s="10"/>
      <c r="D3083" s="12"/>
      <c r="E3083" s="10"/>
      <c r="F3083" s="10"/>
      <c r="G3083" s="10"/>
    </row>
    <row r="3084" spans="1:7" x14ac:dyDescent="0.25">
      <c r="A3084" s="10"/>
      <c r="B3084" s="10"/>
      <c r="C3084" s="10"/>
      <c r="D3084" s="12"/>
      <c r="E3084" s="10"/>
      <c r="F3084" s="10"/>
      <c r="G3084" s="10"/>
    </row>
    <row r="3085" spans="1:7" x14ac:dyDescent="0.25">
      <c r="A3085" s="10"/>
      <c r="B3085" s="10"/>
      <c r="C3085" s="10"/>
      <c r="D3085" s="12"/>
      <c r="E3085" s="10"/>
      <c r="F3085" s="10"/>
      <c r="G3085" s="10"/>
    </row>
    <row r="3086" spans="1:7" x14ac:dyDescent="0.25">
      <c r="A3086" s="10"/>
      <c r="B3086" s="10"/>
      <c r="C3086" s="10"/>
      <c r="D3086" s="12"/>
      <c r="E3086" s="10"/>
      <c r="F3086" s="10"/>
      <c r="G3086" s="10"/>
    </row>
    <row r="3087" spans="1:7" x14ac:dyDescent="0.25">
      <c r="A3087" s="10"/>
      <c r="B3087" s="10"/>
      <c r="C3087" s="10"/>
      <c r="D3087" s="12"/>
      <c r="E3087" s="10"/>
      <c r="F3087" s="10"/>
      <c r="G3087" s="10"/>
    </row>
    <row r="3088" spans="1:7" x14ac:dyDescent="0.25">
      <c r="A3088" s="10"/>
      <c r="B3088" s="10"/>
      <c r="C3088" s="10"/>
      <c r="D3088" s="12"/>
      <c r="E3088" s="10"/>
      <c r="F3088" s="10"/>
      <c r="G3088" s="10"/>
    </row>
    <row r="3089" spans="1:7" x14ac:dyDescent="0.25">
      <c r="A3089" s="10"/>
      <c r="B3089" s="10"/>
      <c r="C3089" s="10"/>
      <c r="D3089" s="12"/>
      <c r="E3089" s="10"/>
      <c r="F3089" s="10"/>
      <c r="G3089" s="10"/>
    </row>
    <row r="3090" spans="1:7" x14ac:dyDescent="0.25">
      <c r="A3090" s="10"/>
      <c r="B3090" s="10"/>
      <c r="C3090" s="10"/>
      <c r="D3090" s="12"/>
      <c r="E3090" s="10"/>
      <c r="F3090" s="10"/>
      <c r="G3090" s="10"/>
    </row>
    <row r="3091" spans="1:7" x14ac:dyDescent="0.25">
      <c r="A3091" s="10"/>
      <c r="B3091" s="10"/>
      <c r="C3091" s="10"/>
      <c r="D3091" s="12"/>
      <c r="E3091" s="10"/>
      <c r="F3091" s="10"/>
      <c r="G3091" s="10"/>
    </row>
    <row r="3092" spans="1:7" x14ac:dyDescent="0.25">
      <c r="A3092" s="10"/>
      <c r="B3092" s="10"/>
      <c r="C3092" s="10"/>
      <c r="D3092" s="12"/>
      <c r="E3092" s="10"/>
      <c r="F3092" s="10"/>
      <c r="G3092" s="10"/>
    </row>
    <row r="3093" spans="1:7" x14ac:dyDescent="0.25">
      <c r="A3093" s="10"/>
      <c r="B3093" s="10"/>
      <c r="C3093" s="10"/>
      <c r="D3093" s="12"/>
      <c r="E3093" s="10"/>
      <c r="F3093" s="10"/>
      <c r="G3093" s="10"/>
    </row>
    <row r="3094" spans="1:7" x14ac:dyDescent="0.25">
      <c r="A3094" s="10"/>
      <c r="B3094" s="10"/>
      <c r="C3094" s="10"/>
      <c r="D3094" s="12"/>
      <c r="E3094" s="10"/>
      <c r="F3094" s="10"/>
      <c r="G3094" s="10"/>
    </row>
    <row r="3095" spans="1:7" x14ac:dyDescent="0.25">
      <c r="A3095" s="10"/>
      <c r="B3095" s="10"/>
      <c r="C3095" s="10"/>
      <c r="D3095" s="12"/>
      <c r="E3095" s="10"/>
      <c r="F3095" s="10"/>
      <c r="G3095" s="10"/>
    </row>
    <row r="3096" spans="1:7" x14ac:dyDescent="0.25">
      <c r="A3096" s="10"/>
      <c r="B3096" s="10"/>
      <c r="C3096" s="10"/>
      <c r="D3096" s="12"/>
      <c r="E3096" s="10"/>
      <c r="F3096" s="10"/>
      <c r="G3096" s="10"/>
    </row>
    <row r="3097" spans="1:7" x14ac:dyDescent="0.25">
      <c r="A3097" s="10"/>
      <c r="B3097" s="10"/>
      <c r="C3097" s="10"/>
      <c r="D3097" s="12"/>
      <c r="E3097" s="10"/>
      <c r="F3097" s="10"/>
      <c r="G3097" s="10"/>
    </row>
    <row r="3098" spans="1:7" x14ac:dyDescent="0.25">
      <c r="A3098" s="10"/>
      <c r="B3098" s="10"/>
      <c r="C3098" s="10"/>
      <c r="D3098" s="12"/>
      <c r="E3098" s="10"/>
      <c r="F3098" s="10"/>
      <c r="G3098" s="10"/>
    </row>
    <row r="3099" spans="1:7" x14ac:dyDescent="0.25">
      <c r="A3099" s="10"/>
      <c r="B3099" s="10"/>
      <c r="C3099" s="10"/>
      <c r="D3099" s="12"/>
      <c r="E3099" s="10"/>
      <c r="F3099" s="10"/>
      <c r="G3099" s="10"/>
    </row>
    <row r="3100" spans="1:7" x14ac:dyDescent="0.25">
      <c r="A3100" s="10"/>
      <c r="B3100" s="10"/>
      <c r="C3100" s="10"/>
      <c r="D3100" s="12"/>
      <c r="E3100" s="10"/>
      <c r="F3100" s="10"/>
      <c r="G3100" s="10"/>
    </row>
    <row r="3101" spans="1:7" x14ac:dyDescent="0.25">
      <c r="A3101" s="10"/>
      <c r="B3101" s="10"/>
      <c r="C3101" s="10"/>
      <c r="D3101" s="12"/>
      <c r="E3101" s="10"/>
      <c r="F3101" s="10"/>
      <c r="G3101" s="10"/>
    </row>
    <row r="3102" spans="1:7" x14ac:dyDescent="0.25">
      <c r="A3102" s="10"/>
      <c r="B3102" s="10"/>
      <c r="C3102" s="10"/>
      <c r="D3102" s="12"/>
      <c r="E3102" s="10"/>
      <c r="F3102" s="10"/>
      <c r="G3102" s="10"/>
    </row>
    <row r="3103" spans="1:7" x14ac:dyDescent="0.25">
      <c r="A3103" s="10"/>
      <c r="B3103" s="10"/>
      <c r="C3103" s="10"/>
      <c r="D3103" s="12"/>
      <c r="E3103" s="10"/>
      <c r="F3103" s="10"/>
      <c r="G3103" s="10"/>
    </row>
    <row r="3104" spans="1:7" x14ac:dyDescent="0.25">
      <c r="A3104" s="10"/>
      <c r="B3104" s="10"/>
      <c r="C3104" s="10"/>
      <c r="D3104" s="12"/>
      <c r="E3104" s="10"/>
      <c r="F3104" s="10"/>
      <c r="G3104" s="10"/>
    </row>
    <row r="3105" spans="1:7" x14ac:dyDescent="0.25">
      <c r="A3105" s="10"/>
      <c r="B3105" s="10"/>
      <c r="C3105" s="10"/>
      <c r="D3105" s="12"/>
      <c r="E3105" s="10"/>
      <c r="F3105" s="10"/>
      <c r="G3105" s="10"/>
    </row>
    <row r="3106" spans="1:7" x14ac:dyDescent="0.25">
      <c r="A3106" s="10"/>
      <c r="B3106" s="10"/>
      <c r="C3106" s="10"/>
      <c r="D3106" s="12"/>
      <c r="E3106" s="10"/>
      <c r="F3106" s="10"/>
      <c r="G3106" s="10"/>
    </row>
    <row r="3107" spans="1:7" x14ac:dyDescent="0.25">
      <c r="A3107" s="10"/>
      <c r="B3107" s="10"/>
      <c r="C3107" s="10"/>
      <c r="D3107" s="12"/>
      <c r="E3107" s="10"/>
      <c r="F3107" s="10"/>
      <c r="G3107" s="10"/>
    </row>
    <row r="3108" spans="1:7" x14ac:dyDescent="0.25">
      <c r="A3108" s="10"/>
      <c r="B3108" s="10"/>
      <c r="C3108" s="10"/>
      <c r="D3108" s="12"/>
      <c r="E3108" s="10"/>
      <c r="F3108" s="10"/>
      <c r="G3108" s="10"/>
    </row>
    <row r="3109" spans="1:7" x14ac:dyDescent="0.25">
      <c r="A3109" s="10"/>
      <c r="B3109" s="10"/>
      <c r="C3109" s="10"/>
      <c r="D3109" s="12"/>
      <c r="E3109" s="10"/>
      <c r="F3109" s="10"/>
      <c r="G3109" s="10"/>
    </row>
    <row r="3110" spans="1:7" x14ac:dyDescent="0.25">
      <c r="A3110" s="10"/>
      <c r="B3110" s="10"/>
      <c r="C3110" s="10"/>
      <c r="D3110" s="12"/>
      <c r="E3110" s="10"/>
      <c r="F3110" s="10"/>
      <c r="G3110" s="10"/>
    </row>
    <row r="3111" spans="1:7" x14ac:dyDescent="0.25">
      <c r="A3111" s="10"/>
      <c r="B3111" s="10"/>
      <c r="C3111" s="10"/>
      <c r="D3111" s="12"/>
      <c r="E3111" s="10"/>
      <c r="F3111" s="10"/>
      <c r="G3111" s="10"/>
    </row>
    <row r="3112" spans="1:7" x14ac:dyDescent="0.25">
      <c r="A3112" s="10"/>
      <c r="B3112" s="10"/>
      <c r="C3112" s="10"/>
      <c r="D3112" s="12"/>
      <c r="E3112" s="10"/>
      <c r="F3112" s="10"/>
      <c r="G3112" s="10"/>
    </row>
    <row r="3113" spans="1:7" x14ac:dyDescent="0.25">
      <c r="A3113" s="10"/>
      <c r="B3113" s="10"/>
      <c r="C3113" s="10"/>
      <c r="D3113" s="12"/>
      <c r="E3113" s="10"/>
      <c r="F3113" s="10"/>
      <c r="G3113" s="10"/>
    </row>
    <row r="3114" spans="1:7" x14ac:dyDescent="0.25">
      <c r="A3114" s="10"/>
      <c r="B3114" s="10"/>
      <c r="C3114" s="10"/>
      <c r="D3114" s="12"/>
      <c r="E3114" s="10"/>
      <c r="F3114" s="10"/>
      <c r="G3114" s="10"/>
    </row>
    <row r="3115" spans="1:7" x14ac:dyDescent="0.25">
      <c r="A3115" s="10"/>
      <c r="B3115" s="10"/>
      <c r="C3115" s="10"/>
      <c r="D3115" s="12"/>
      <c r="E3115" s="10"/>
      <c r="F3115" s="10"/>
      <c r="G3115" s="10"/>
    </row>
    <row r="3116" spans="1:7" x14ac:dyDescent="0.25">
      <c r="A3116" s="10"/>
      <c r="B3116" s="10"/>
      <c r="C3116" s="10"/>
      <c r="D3116" s="12"/>
      <c r="E3116" s="10"/>
      <c r="F3116" s="10"/>
      <c r="G3116" s="10"/>
    </row>
    <row r="3117" spans="1:7" x14ac:dyDescent="0.25">
      <c r="A3117" s="10"/>
      <c r="B3117" s="10"/>
      <c r="C3117" s="10"/>
      <c r="D3117" s="12"/>
      <c r="E3117" s="10"/>
      <c r="F3117" s="10"/>
      <c r="G3117" s="10"/>
    </row>
    <row r="3118" spans="1:7" x14ac:dyDescent="0.25">
      <c r="A3118" s="10"/>
      <c r="B3118" s="10"/>
      <c r="C3118" s="10"/>
      <c r="D3118" s="12"/>
      <c r="E3118" s="10"/>
      <c r="F3118" s="10"/>
      <c r="G3118" s="10"/>
    </row>
    <row r="3119" spans="1:7" x14ac:dyDescent="0.25">
      <c r="A3119" s="10"/>
      <c r="B3119" s="10"/>
      <c r="C3119" s="10"/>
      <c r="D3119" s="12"/>
      <c r="E3119" s="10"/>
      <c r="F3119" s="10"/>
      <c r="G3119" s="10"/>
    </row>
    <row r="3120" spans="1:7" x14ac:dyDescent="0.25">
      <c r="A3120" s="10"/>
      <c r="B3120" s="10"/>
      <c r="C3120" s="10"/>
      <c r="D3120" s="12"/>
      <c r="E3120" s="10"/>
      <c r="F3120" s="10"/>
      <c r="G3120" s="10"/>
    </row>
    <row r="3121" spans="1:7" x14ac:dyDescent="0.25">
      <c r="A3121" s="10"/>
      <c r="B3121" s="10"/>
      <c r="C3121" s="10"/>
      <c r="D3121" s="12"/>
      <c r="E3121" s="10"/>
      <c r="F3121" s="10"/>
      <c r="G3121" s="10"/>
    </row>
    <row r="3122" spans="1:7" x14ac:dyDescent="0.25">
      <c r="A3122" s="10"/>
      <c r="B3122" s="10"/>
      <c r="C3122" s="10"/>
      <c r="D3122" s="12"/>
      <c r="E3122" s="10"/>
      <c r="F3122" s="10"/>
      <c r="G3122" s="10"/>
    </row>
    <row r="3123" spans="1:7" x14ac:dyDescent="0.25">
      <c r="A3123" s="10"/>
      <c r="B3123" s="10"/>
      <c r="C3123" s="10"/>
      <c r="D3123" s="12"/>
      <c r="E3123" s="10"/>
      <c r="F3123" s="10"/>
      <c r="G3123" s="10"/>
    </row>
    <row r="3124" spans="1:7" x14ac:dyDescent="0.25">
      <c r="A3124" s="10"/>
      <c r="B3124" s="10"/>
      <c r="C3124" s="10"/>
      <c r="D3124" s="12"/>
      <c r="E3124" s="10"/>
      <c r="F3124" s="10"/>
      <c r="G3124" s="10"/>
    </row>
    <row r="3125" spans="1:7" x14ac:dyDescent="0.25">
      <c r="A3125" s="10"/>
      <c r="B3125" s="10"/>
      <c r="C3125" s="10"/>
      <c r="D3125" s="12"/>
      <c r="E3125" s="10"/>
      <c r="F3125" s="10"/>
      <c r="G3125" s="10"/>
    </row>
    <row r="3126" spans="1:7" x14ac:dyDescent="0.25">
      <c r="A3126" s="10"/>
      <c r="B3126" s="10"/>
      <c r="C3126" s="10"/>
      <c r="D3126" s="12"/>
      <c r="E3126" s="10"/>
      <c r="F3126" s="10"/>
      <c r="G3126" s="10"/>
    </row>
    <row r="3127" spans="1:7" x14ac:dyDescent="0.25">
      <c r="A3127" s="10"/>
      <c r="B3127" s="10"/>
      <c r="C3127" s="10"/>
      <c r="D3127" s="12"/>
      <c r="E3127" s="10"/>
      <c r="F3127" s="10"/>
      <c r="G3127" s="10"/>
    </row>
    <row r="3128" spans="1:7" x14ac:dyDescent="0.25">
      <c r="A3128" s="10"/>
      <c r="B3128" s="10"/>
      <c r="C3128" s="10"/>
      <c r="D3128" s="12"/>
      <c r="E3128" s="10"/>
      <c r="F3128" s="10"/>
      <c r="G3128" s="10"/>
    </row>
    <row r="3129" spans="1:7" x14ac:dyDescent="0.25">
      <c r="A3129" s="10"/>
      <c r="B3129" s="10"/>
      <c r="C3129" s="10"/>
      <c r="D3129" s="12"/>
      <c r="E3129" s="10"/>
      <c r="F3129" s="10"/>
      <c r="G3129" s="10"/>
    </row>
    <row r="3130" spans="1:7" x14ac:dyDescent="0.25">
      <c r="A3130" s="10"/>
      <c r="B3130" s="10"/>
      <c r="C3130" s="10"/>
      <c r="D3130" s="12"/>
      <c r="E3130" s="10"/>
      <c r="F3130" s="10"/>
      <c r="G3130" s="10"/>
    </row>
    <row r="3131" spans="1:7" x14ac:dyDescent="0.25">
      <c r="A3131" s="10"/>
      <c r="B3131" s="10"/>
      <c r="C3131" s="10"/>
      <c r="D3131" s="12"/>
      <c r="E3131" s="10"/>
      <c r="F3131" s="10"/>
      <c r="G3131" s="10"/>
    </row>
    <row r="3132" spans="1:7" x14ac:dyDescent="0.25">
      <c r="A3132" s="10"/>
      <c r="B3132" s="10"/>
      <c r="C3132" s="10"/>
      <c r="D3132" s="12"/>
      <c r="E3132" s="10"/>
      <c r="F3132" s="10"/>
      <c r="G3132" s="10"/>
    </row>
    <row r="3133" spans="1:7" x14ac:dyDescent="0.25">
      <c r="A3133" s="10"/>
      <c r="B3133" s="10"/>
      <c r="C3133" s="10"/>
      <c r="D3133" s="12"/>
      <c r="E3133" s="10"/>
      <c r="F3133" s="10"/>
      <c r="G3133" s="10"/>
    </row>
    <row r="3134" spans="1:7" x14ac:dyDescent="0.25">
      <c r="A3134" s="10"/>
      <c r="B3134" s="10"/>
      <c r="C3134" s="10"/>
      <c r="D3134" s="12"/>
      <c r="E3134" s="10"/>
      <c r="F3134" s="10"/>
      <c r="G3134" s="10"/>
    </row>
    <row r="3135" spans="1:7" x14ac:dyDescent="0.25">
      <c r="A3135" s="10"/>
      <c r="B3135" s="10"/>
      <c r="C3135" s="10"/>
      <c r="D3135" s="12"/>
      <c r="E3135" s="10"/>
      <c r="F3135" s="10"/>
      <c r="G3135" s="10"/>
    </row>
    <row r="3136" spans="1:7" x14ac:dyDescent="0.25">
      <c r="A3136" s="10"/>
      <c r="B3136" s="10"/>
      <c r="C3136" s="10"/>
      <c r="D3136" s="12"/>
      <c r="E3136" s="10"/>
      <c r="F3136" s="10"/>
      <c r="G3136" s="10"/>
    </row>
    <row r="3137" spans="1:7" x14ac:dyDescent="0.25">
      <c r="A3137" s="10"/>
      <c r="B3137" s="10"/>
      <c r="C3137" s="10"/>
      <c r="D3137" s="12"/>
      <c r="E3137" s="10"/>
      <c r="F3137" s="10"/>
      <c r="G3137" s="10"/>
    </row>
    <row r="3138" spans="1:7" x14ac:dyDescent="0.25">
      <c r="A3138" s="10"/>
      <c r="B3138" s="10"/>
      <c r="C3138" s="10"/>
      <c r="D3138" s="12"/>
      <c r="E3138" s="10"/>
      <c r="F3138" s="10"/>
      <c r="G3138" s="10"/>
    </row>
    <row r="3139" spans="1:7" x14ac:dyDescent="0.25">
      <c r="A3139" s="10"/>
      <c r="B3139" s="10"/>
      <c r="C3139" s="10"/>
      <c r="D3139" s="12"/>
      <c r="E3139" s="10"/>
      <c r="F3139" s="10"/>
      <c r="G3139" s="10"/>
    </row>
    <row r="3140" spans="1:7" x14ac:dyDescent="0.25">
      <c r="A3140" s="10"/>
      <c r="B3140" s="10"/>
      <c r="C3140" s="10"/>
      <c r="D3140" s="12"/>
      <c r="E3140" s="10"/>
      <c r="F3140" s="10"/>
      <c r="G3140" s="10"/>
    </row>
    <row r="3141" spans="1:7" x14ac:dyDescent="0.25">
      <c r="A3141" s="10"/>
      <c r="B3141" s="10"/>
      <c r="C3141" s="10"/>
      <c r="D3141" s="12"/>
      <c r="E3141" s="10"/>
      <c r="F3141" s="10"/>
      <c r="G3141" s="10"/>
    </row>
    <row r="3142" spans="1:7" x14ac:dyDescent="0.25">
      <c r="A3142" s="10"/>
      <c r="B3142" s="10"/>
      <c r="C3142" s="10"/>
      <c r="D3142" s="12"/>
      <c r="E3142" s="10"/>
      <c r="F3142" s="10"/>
      <c r="G3142" s="10"/>
    </row>
    <row r="3143" spans="1:7" x14ac:dyDescent="0.25">
      <c r="A3143" s="10"/>
      <c r="B3143" s="10"/>
      <c r="C3143" s="10"/>
      <c r="D3143" s="12"/>
      <c r="E3143" s="10"/>
      <c r="F3143" s="10"/>
      <c r="G3143" s="10"/>
    </row>
    <row r="3144" spans="1:7" x14ac:dyDescent="0.25">
      <c r="A3144" s="10"/>
      <c r="B3144" s="10"/>
      <c r="C3144" s="10"/>
      <c r="D3144" s="12"/>
      <c r="E3144" s="10"/>
      <c r="F3144" s="10"/>
      <c r="G3144" s="10"/>
    </row>
    <row r="3145" spans="1:7" x14ac:dyDescent="0.25">
      <c r="A3145" s="10"/>
      <c r="B3145" s="10"/>
      <c r="C3145" s="10"/>
      <c r="D3145" s="12"/>
      <c r="E3145" s="10"/>
      <c r="F3145" s="10"/>
      <c r="G3145" s="10"/>
    </row>
    <row r="3146" spans="1:7" x14ac:dyDescent="0.25">
      <c r="A3146" s="10"/>
      <c r="B3146" s="10"/>
      <c r="C3146" s="10"/>
      <c r="D3146" s="12"/>
      <c r="E3146" s="10"/>
      <c r="F3146" s="10"/>
      <c r="G3146" s="10"/>
    </row>
    <row r="3147" spans="1:7" x14ac:dyDescent="0.25">
      <c r="A3147" s="10"/>
      <c r="B3147" s="10"/>
      <c r="C3147" s="10"/>
      <c r="D3147" s="12"/>
      <c r="E3147" s="10"/>
      <c r="F3147" s="10"/>
      <c r="G3147" s="10"/>
    </row>
    <row r="3148" spans="1:7" x14ac:dyDescent="0.25">
      <c r="A3148" s="10"/>
      <c r="B3148" s="10"/>
      <c r="C3148" s="10"/>
      <c r="D3148" s="12"/>
      <c r="E3148" s="10"/>
      <c r="F3148" s="10"/>
      <c r="G3148" s="10"/>
    </row>
    <row r="3149" spans="1:7" x14ac:dyDescent="0.25">
      <c r="A3149" s="10"/>
      <c r="B3149" s="10"/>
      <c r="C3149" s="10"/>
      <c r="D3149" s="12"/>
      <c r="E3149" s="10"/>
      <c r="F3149" s="10"/>
      <c r="G3149" s="10"/>
    </row>
    <row r="3150" spans="1:7" x14ac:dyDescent="0.25">
      <c r="A3150" s="10"/>
      <c r="B3150" s="10"/>
      <c r="C3150" s="10"/>
      <c r="D3150" s="12"/>
      <c r="E3150" s="10"/>
      <c r="F3150" s="10"/>
      <c r="G3150" s="10"/>
    </row>
    <row r="3151" spans="1:7" x14ac:dyDescent="0.25">
      <c r="A3151" s="10"/>
      <c r="B3151" s="10"/>
      <c r="C3151" s="10"/>
      <c r="D3151" s="12"/>
      <c r="E3151" s="10"/>
      <c r="F3151" s="10"/>
      <c r="G3151" s="10"/>
    </row>
    <row r="3152" spans="1:7" x14ac:dyDescent="0.25">
      <c r="A3152" s="10"/>
      <c r="B3152" s="10"/>
      <c r="C3152" s="10"/>
      <c r="D3152" s="12"/>
      <c r="E3152" s="10"/>
      <c r="F3152" s="10"/>
      <c r="G3152" s="10"/>
    </row>
    <row r="3153" spans="1:7" x14ac:dyDescent="0.25">
      <c r="A3153" s="10"/>
      <c r="B3153" s="10"/>
      <c r="C3153" s="10"/>
      <c r="D3153" s="12"/>
      <c r="E3153" s="10"/>
      <c r="F3153" s="10"/>
      <c r="G3153" s="10"/>
    </row>
    <row r="3154" spans="1:7" x14ac:dyDescent="0.25">
      <c r="A3154" s="10"/>
      <c r="B3154" s="10"/>
      <c r="C3154" s="10"/>
      <c r="D3154" s="12"/>
      <c r="E3154" s="10"/>
      <c r="F3154" s="10"/>
      <c r="G3154" s="10"/>
    </row>
    <row r="3155" spans="1:7" x14ac:dyDescent="0.25">
      <c r="A3155" s="10"/>
      <c r="B3155" s="10"/>
      <c r="C3155" s="10"/>
      <c r="D3155" s="12"/>
      <c r="E3155" s="10"/>
      <c r="F3155" s="10"/>
      <c r="G3155" s="10"/>
    </row>
    <row r="3156" spans="1:7" x14ac:dyDescent="0.25">
      <c r="A3156" s="10"/>
      <c r="B3156" s="10"/>
      <c r="C3156" s="10"/>
      <c r="D3156" s="12"/>
      <c r="E3156" s="10"/>
      <c r="F3156" s="10"/>
      <c r="G3156" s="10"/>
    </row>
    <row r="3157" spans="1:7" x14ac:dyDescent="0.25">
      <c r="A3157" s="10"/>
      <c r="B3157" s="10"/>
      <c r="C3157" s="10"/>
      <c r="D3157" s="12"/>
      <c r="E3157" s="10"/>
      <c r="F3157" s="10"/>
      <c r="G3157" s="10"/>
    </row>
    <row r="3158" spans="1:7" x14ac:dyDescent="0.25">
      <c r="A3158" s="10"/>
      <c r="B3158" s="10"/>
      <c r="C3158" s="10"/>
      <c r="D3158" s="12"/>
      <c r="E3158" s="10"/>
      <c r="F3158" s="10"/>
      <c r="G3158" s="10"/>
    </row>
    <row r="3159" spans="1:7" x14ac:dyDescent="0.25">
      <c r="A3159" s="10"/>
      <c r="B3159" s="10"/>
      <c r="C3159" s="10"/>
      <c r="D3159" s="12"/>
      <c r="E3159" s="10"/>
      <c r="F3159" s="10"/>
      <c r="G3159" s="10"/>
    </row>
    <row r="3160" spans="1:7" x14ac:dyDescent="0.25">
      <c r="A3160" s="10"/>
      <c r="B3160" s="10"/>
      <c r="C3160" s="10"/>
      <c r="D3160" s="12"/>
      <c r="E3160" s="10"/>
      <c r="F3160" s="10"/>
      <c r="G3160" s="10"/>
    </row>
    <row r="3161" spans="1:7" x14ac:dyDescent="0.25">
      <c r="A3161" s="10"/>
      <c r="B3161" s="10"/>
      <c r="C3161" s="10"/>
      <c r="D3161" s="12"/>
      <c r="E3161" s="10"/>
      <c r="F3161" s="10"/>
      <c r="G3161" s="10"/>
    </row>
    <row r="3162" spans="1:7" x14ac:dyDescent="0.25">
      <c r="A3162" s="10"/>
      <c r="B3162" s="10"/>
      <c r="C3162" s="10"/>
      <c r="D3162" s="12"/>
      <c r="E3162" s="10"/>
      <c r="F3162" s="10"/>
      <c r="G3162" s="10"/>
    </row>
    <row r="3163" spans="1:7" x14ac:dyDescent="0.25">
      <c r="A3163" s="10"/>
      <c r="B3163" s="10"/>
      <c r="C3163" s="10"/>
      <c r="D3163" s="12"/>
      <c r="E3163" s="10"/>
      <c r="F3163" s="10"/>
      <c r="G3163" s="10"/>
    </row>
    <row r="3164" spans="1:7" x14ac:dyDescent="0.25">
      <c r="A3164" s="10"/>
      <c r="B3164" s="10"/>
      <c r="C3164" s="10"/>
      <c r="D3164" s="12"/>
      <c r="E3164" s="10"/>
      <c r="F3164" s="10"/>
      <c r="G3164" s="10"/>
    </row>
    <row r="3165" spans="1:7" x14ac:dyDescent="0.25">
      <c r="A3165" s="10"/>
      <c r="B3165" s="10"/>
      <c r="C3165" s="10"/>
      <c r="D3165" s="12"/>
      <c r="E3165" s="10"/>
      <c r="F3165" s="10"/>
      <c r="G3165" s="10"/>
    </row>
    <row r="3166" spans="1:7" x14ac:dyDescent="0.25">
      <c r="A3166" s="10"/>
      <c r="B3166" s="10"/>
      <c r="C3166" s="10"/>
      <c r="D3166" s="12"/>
      <c r="E3166" s="10"/>
      <c r="F3166" s="10"/>
      <c r="G3166" s="10"/>
    </row>
    <row r="3167" spans="1:7" x14ac:dyDescent="0.25">
      <c r="A3167" s="10"/>
      <c r="B3167" s="10"/>
      <c r="C3167" s="10"/>
      <c r="D3167" s="12"/>
      <c r="E3167" s="10"/>
      <c r="F3167" s="10"/>
      <c r="G3167" s="10"/>
    </row>
    <row r="3168" spans="1:7" x14ac:dyDescent="0.25">
      <c r="A3168" s="10"/>
      <c r="B3168" s="10"/>
      <c r="C3168" s="10"/>
      <c r="D3168" s="12"/>
      <c r="E3168" s="10"/>
      <c r="F3168" s="10"/>
      <c r="G3168" s="10"/>
    </row>
    <row r="3169" spans="1:7" x14ac:dyDescent="0.25">
      <c r="A3169" s="10"/>
      <c r="B3169" s="10"/>
      <c r="C3169" s="10"/>
      <c r="D3169" s="12"/>
      <c r="E3169" s="10"/>
      <c r="F3169" s="10"/>
      <c r="G3169" s="10"/>
    </row>
    <row r="3170" spans="1:7" x14ac:dyDescent="0.25">
      <c r="A3170" s="10"/>
      <c r="B3170" s="10"/>
      <c r="C3170" s="10"/>
      <c r="D3170" s="12"/>
      <c r="E3170" s="10"/>
      <c r="F3170" s="10"/>
      <c r="G3170" s="10"/>
    </row>
    <row r="3171" spans="1:7" x14ac:dyDescent="0.25">
      <c r="A3171" s="10"/>
      <c r="B3171" s="10"/>
      <c r="C3171" s="10"/>
      <c r="D3171" s="12"/>
      <c r="E3171" s="10"/>
      <c r="F3171" s="10"/>
      <c r="G3171" s="10"/>
    </row>
    <row r="3172" spans="1:7" x14ac:dyDescent="0.25">
      <c r="A3172" s="10"/>
      <c r="B3172" s="10"/>
      <c r="C3172" s="10"/>
      <c r="D3172" s="12"/>
      <c r="E3172" s="10"/>
      <c r="F3172" s="10"/>
      <c r="G3172" s="10"/>
    </row>
    <row r="3173" spans="1:7" x14ac:dyDescent="0.25">
      <c r="A3173" s="10"/>
      <c r="B3173" s="10"/>
      <c r="C3173" s="10"/>
      <c r="D3173" s="12"/>
      <c r="E3173" s="10"/>
      <c r="F3173" s="10"/>
      <c r="G3173" s="10"/>
    </row>
    <row r="3174" spans="1:7" x14ac:dyDescent="0.25">
      <c r="A3174" s="10"/>
      <c r="B3174" s="10"/>
      <c r="C3174" s="10"/>
      <c r="D3174" s="12"/>
      <c r="E3174" s="10"/>
      <c r="F3174" s="10"/>
      <c r="G3174" s="10"/>
    </row>
    <row r="3175" spans="1:7" x14ac:dyDescent="0.25">
      <c r="A3175" s="10"/>
      <c r="B3175" s="10"/>
      <c r="C3175" s="10"/>
      <c r="D3175" s="12"/>
      <c r="E3175" s="10"/>
      <c r="F3175" s="10"/>
      <c r="G3175" s="10"/>
    </row>
    <row r="3176" spans="1:7" x14ac:dyDescent="0.25">
      <c r="A3176" s="10"/>
      <c r="B3176" s="10"/>
      <c r="C3176" s="10"/>
      <c r="D3176" s="12"/>
      <c r="E3176" s="10"/>
      <c r="F3176" s="10"/>
      <c r="G3176" s="10"/>
    </row>
    <row r="3177" spans="1:7" x14ac:dyDescent="0.25">
      <c r="A3177" s="10"/>
      <c r="B3177" s="10"/>
      <c r="C3177" s="10"/>
      <c r="D3177" s="12"/>
      <c r="E3177" s="10"/>
      <c r="F3177" s="10"/>
      <c r="G3177" s="10"/>
    </row>
    <row r="3178" spans="1:7" x14ac:dyDescent="0.25">
      <c r="A3178" s="10"/>
      <c r="B3178" s="10"/>
      <c r="C3178" s="10"/>
      <c r="D3178" s="12"/>
      <c r="E3178" s="10"/>
      <c r="F3178" s="10"/>
      <c r="G3178" s="10"/>
    </row>
    <row r="3179" spans="1:7" x14ac:dyDescent="0.25">
      <c r="A3179" s="10"/>
      <c r="B3179" s="10"/>
      <c r="C3179" s="10"/>
      <c r="D3179" s="12"/>
      <c r="E3179" s="10"/>
      <c r="F3179" s="10"/>
      <c r="G3179" s="10"/>
    </row>
    <row r="3180" spans="1:7" x14ac:dyDescent="0.25">
      <c r="A3180" s="10"/>
      <c r="B3180" s="10"/>
      <c r="C3180" s="10"/>
      <c r="D3180" s="12"/>
      <c r="E3180" s="10"/>
      <c r="F3180" s="10"/>
      <c r="G3180" s="10"/>
    </row>
    <row r="3181" spans="1:7" x14ac:dyDescent="0.25">
      <c r="A3181" s="10"/>
      <c r="B3181" s="10"/>
      <c r="C3181" s="10"/>
      <c r="D3181" s="12"/>
      <c r="E3181" s="10"/>
      <c r="F3181" s="10"/>
      <c r="G3181" s="10"/>
    </row>
    <row r="3182" spans="1:7" x14ac:dyDescent="0.25">
      <c r="A3182" s="10"/>
      <c r="B3182" s="10"/>
      <c r="C3182" s="10"/>
      <c r="D3182" s="12"/>
      <c r="E3182" s="10"/>
      <c r="F3182" s="10"/>
      <c r="G3182" s="10"/>
    </row>
    <row r="3183" spans="1:7" x14ac:dyDescent="0.25">
      <c r="A3183" s="10"/>
      <c r="B3183" s="10"/>
      <c r="C3183" s="10"/>
      <c r="D3183" s="12"/>
      <c r="E3183" s="10"/>
      <c r="F3183" s="10"/>
      <c r="G3183" s="10"/>
    </row>
    <row r="3184" spans="1:7" x14ac:dyDescent="0.25">
      <c r="A3184" s="10"/>
      <c r="B3184" s="10"/>
      <c r="C3184" s="10"/>
      <c r="D3184" s="12"/>
      <c r="E3184" s="10"/>
      <c r="F3184" s="10"/>
      <c r="G3184" s="10"/>
    </row>
    <row r="3185" spans="1:7" x14ac:dyDescent="0.25">
      <c r="A3185" s="10"/>
      <c r="B3185" s="10"/>
      <c r="C3185" s="10"/>
      <c r="D3185" s="12"/>
      <c r="E3185" s="10"/>
      <c r="F3185" s="10"/>
      <c r="G3185" s="10"/>
    </row>
    <row r="3186" spans="1:7" x14ac:dyDescent="0.25">
      <c r="A3186" s="10"/>
      <c r="B3186" s="10"/>
      <c r="C3186" s="10"/>
      <c r="D3186" s="12"/>
      <c r="E3186" s="10"/>
      <c r="F3186" s="10"/>
      <c r="G3186" s="10"/>
    </row>
    <row r="3187" spans="1:7" x14ac:dyDescent="0.25">
      <c r="A3187" s="10"/>
      <c r="B3187" s="10"/>
      <c r="C3187" s="10"/>
      <c r="D3187" s="12"/>
      <c r="E3187" s="10"/>
      <c r="F3187" s="10"/>
      <c r="G3187" s="10"/>
    </row>
    <row r="3188" spans="1:7" x14ac:dyDescent="0.25">
      <c r="A3188" s="10"/>
      <c r="B3188" s="10"/>
      <c r="C3188" s="10"/>
      <c r="D3188" s="12"/>
      <c r="E3188" s="10"/>
      <c r="F3188" s="10"/>
      <c r="G3188" s="10"/>
    </row>
    <row r="3189" spans="1:7" x14ac:dyDescent="0.25">
      <c r="A3189" s="10"/>
      <c r="B3189" s="10"/>
      <c r="C3189" s="10"/>
      <c r="D3189" s="12"/>
      <c r="E3189" s="10"/>
      <c r="F3189" s="10"/>
      <c r="G3189" s="10"/>
    </row>
    <row r="3190" spans="1:7" x14ac:dyDescent="0.25">
      <c r="A3190" s="10"/>
      <c r="B3190" s="10"/>
      <c r="C3190" s="10"/>
      <c r="D3190" s="12"/>
      <c r="E3190" s="10"/>
      <c r="F3190" s="10"/>
      <c r="G3190" s="10"/>
    </row>
    <row r="3191" spans="1:7" x14ac:dyDescent="0.25">
      <c r="A3191" s="10"/>
      <c r="B3191" s="10"/>
      <c r="C3191" s="10"/>
      <c r="D3191" s="12"/>
      <c r="E3191" s="10"/>
      <c r="F3191" s="10"/>
      <c r="G3191" s="10"/>
    </row>
    <row r="3192" spans="1:7" x14ac:dyDescent="0.25">
      <c r="A3192" s="10"/>
      <c r="B3192" s="10"/>
      <c r="C3192" s="10"/>
      <c r="D3192" s="12"/>
      <c r="E3192" s="10"/>
      <c r="F3192" s="10"/>
      <c r="G3192" s="10"/>
    </row>
    <row r="3193" spans="1:7" x14ac:dyDescent="0.25">
      <c r="A3193" s="10"/>
      <c r="B3193" s="10"/>
      <c r="C3193" s="10"/>
      <c r="D3193" s="12"/>
      <c r="E3193" s="10"/>
      <c r="F3193" s="10"/>
      <c r="G3193" s="10"/>
    </row>
    <row r="3194" spans="1:7" x14ac:dyDescent="0.25">
      <c r="A3194" s="10"/>
      <c r="B3194" s="10"/>
      <c r="C3194" s="10"/>
      <c r="D3194" s="12"/>
      <c r="E3194" s="10"/>
      <c r="F3194" s="10"/>
      <c r="G3194" s="10"/>
    </row>
    <row r="3195" spans="1:7" x14ac:dyDescent="0.25">
      <c r="A3195" s="10"/>
      <c r="B3195" s="10"/>
      <c r="C3195" s="10"/>
      <c r="D3195" s="12"/>
      <c r="E3195" s="10"/>
      <c r="F3195" s="10"/>
      <c r="G3195" s="10"/>
    </row>
    <row r="3196" spans="1:7" x14ac:dyDescent="0.25">
      <c r="A3196" s="10"/>
      <c r="B3196" s="10"/>
      <c r="C3196" s="10"/>
      <c r="D3196" s="12"/>
      <c r="E3196" s="10"/>
      <c r="F3196" s="10"/>
      <c r="G3196" s="10"/>
    </row>
    <row r="3197" spans="1:7" x14ac:dyDescent="0.25">
      <c r="A3197" s="10"/>
      <c r="B3197" s="10"/>
      <c r="C3197" s="10"/>
      <c r="D3197" s="12"/>
      <c r="E3197" s="10"/>
      <c r="F3197" s="10"/>
      <c r="G3197" s="10"/>
    </row>
    <row r="3198" spans="1:7" x14ac:dyDescent="0.25">
      <c r="A3198" s="10"/>
      <c r="B3198" s="10"/>
      <c r="C3198" s="10"/>
      <c r="D3198" s="12"/>
      <c r="E3198" s="10"/>
      <c r="F3198" s="10"/>
      <c r="G3198" s="10"/>
    </row>
    <row r="3199" spans="1:7" x14ac:dyDescent="0.25">
      <c r="A3199" s="10"/>
      <c r="B3199" s="10"/>
      <c r="C3199" s="10"/>
      <c r="D3199" s="12"/>
      <c r="E3199" s="10"/>
      <c r="F3199" s="10"/>
      <c r="G3199" s="10"/>
    </row>
    <row r="3200" spans="1:7" x14ac:dyDescent="0.25">
      <c r="A3200" s="10"/>
      <c r="B3200" s="10"/>
      <c r="C3200" s="10"/>
      <c r="D3200" s="12"/>
      <c r="E3200" s="10"/>
      <c r="F3200" s="10"/>
      <c r="G3200" s="10"/>
    </row>
    <row r="3201" spans="1:7" x14ac:dyDescent="0.25">
      <c r="A3201" s="10"/>
      <c r="B3201" s="10"/>
      <c r="C3201" s="10"/>
      <c r="D3201" s="12"/>
      <c r="E3201" s="10"/>
      <c r="F3201" s="10"/>
      <c r="G3201" s="10"/>
    </row>
    <row r="3202" spans="1:7" x14ac:dyDescent="0.25">
      <c r="A3202" s="10"/>
      <c r="B3202" s="10"/>
      <c r="C3202" s="10"/>
      <c r="D3202" s="12"/>
      <c r="E3202" s="10"/>
      <c r="F3202" s="10"/>
      <c r="G3202" s="10"/>
    </row>
    <row r="3203" spans="1:7" x14ac:dyDescent="0.25">
      <c r="A3203" s="10"/>
      <c r="B3203" s="10"/>
      <c r="C3203" s="10"/>
      <c r="D3203" s="12"/>
      <c r="E3203" s="10"/>
      <c r="F3203" s="10"/>
      <c r="G3203" s="10"/>
    </row>
    <row r="3204" spans="1:7" x14ac:dyDescent="0.25">
      <c r="A3204" s="10"/>
      <c r="B3204" s="10"/>
      <c r="C3204" s="10"/>
      <c r="D3204" s="12"/>
      <c r="E3204" s="10"/>
      <c r="F3204" s="10"/>
      <c r="G3204" s="10"/>
    </row>
    <row r="3205" spans="1:7" x14ac:dyDescent="0.25">
      <c r="A3205" s="10"/>
      <c r="B3205" s="10"/>
      <c r="C3205" s="10"/>
      <c r="D3205" s="12"/>
      <c r="E3205" s="10"/>
      <c r="F3205" s="10"/>
      <c r="G3205" s="10"/>
    </row>
    <row r="3206" spans="1:7" x14ac:dyDescent="0.25">
      <c r="A3206" s="10"/>
      <c r="B3206" s="10"/>
      <c r="C3206" s="10"/>
      <c r="D3206" s="12"/>
      <c r="E3206" s="10"/>
      <c r="F3206" s="10"/>
      <c r="G3206" s="10"/>
    </row>
    <row r="3207" spans="1:7" x14ac:dyDescent="0.25">
      <c r="A3207" s="10"/>
      <c r="B3207" s="10"/>
      <c r="C3207" s="10"/>
      <c r="D3207" s="12"/>
      <c r="E3207" s="10"/>
      <c r="F3207" s="10"/>
      <c r="G3207" s="10"/>
    </row>
    <row r="3208" spans="1:7" x14ac:dyDescent="0.25">
      <c r="A3208" s="10"/>
      <c r="B3208" s="10"/>
      <c r="C3208" s="10"/>
      <c r="D3208" s="12"/>
      <c r="E3208" s="10"/>
      <c r="F3208" s="10"/>
      <c r="G3208" s="10"/>
    </row>
    <row r="3209" spans="1:7" x14ac:dyDescent="0.25">
      <c r="A3209" s="10"/>
      <c r="B3209" s="10"/>
      <c r="C3209" s="10"/>
      <c r="D3209" s="12"/>
      <c r="E3209" s="10"/>
      <c r="F3209" s="10"/>
      <c r="G3209" s="10"/>
    </row>
    <row r="3210" spans="1:7" x14ac:dyDescent="0.25">
      <c r="A3210" s="10"/>
      <c r="B3210" s="10"/>
      <c r="C3210" s="10"/>
      <c r="D3210" s="12"/>
      <c r="E3210" s="10"/>
      <c r="F3210" s="10"/>
      <c r="G3210" s="10"/>
    </row>
    <row r="3211" spans="1:7" x14ac:dyDescent="0.25">
      <c r="A3211" s="10"/>
      <c r="B3211" s="10"/>
      <c r="C3211" s="10"/>
      <c r="D3211" s="12"/>
      <c r="E3211" s="10"/>
      <c r="F3211" s="10"/>
      <c r="G3211" s="10"/>
    </row>
    <row r="3212" spans="1:7" x14ac:dyDescent="0.25">
      <c r="A3212" s="10"/>
      <c r="B3212" s="10"/>
      <c r="C3212" s="10"/>
      <c r="D3212" s="12"/>
      <c r="E3212" s="10"/>
      <c r="F3212" s="10"/>
      <c r="G3212" s="10"/>
    </row>
    <row r="3213" spans="1:7" x14ac:dyDescent="0.25">
      <c r="A3213" s="10"/>
      <c r="B3213" s="10"/>
      <c r="C3213" s="10"/>
      <c r="D3213" s="12"/>
      <c r="E3213" s="10"/>
      <c r="F3213" s="10"/>
      <c r="G3213" s="10"/>
    </row>
    <row r="3214" spans="1:7" x14ac:dyDescent="0.25">
      <c r="A3214" s="10"/>
      <c r="B3214" s="10"/>
      <c r="C3214" s="10"/>
      <c r="D3214" s="12"/>
      <c r="E3214" s="10"/>
      <c r="F3214" s="10"/>
      <c r="G3214" s="10"/>
    </row>
    <row r="3215" spans="1:7" x14ac:dyDescent="0.25">
      <c r="A3215" s="10"/>
      <c r="B3215" s="10"/>
      <c r="C3215" s="10"/>
      <c r="D3215" s="12"/>
      <c r="E3215" s="10"/>
      <c r="F3215" s="10"/>
      <c r="G3215" s="10"/>
    </row>
    <row r="3216" spans="1:7" x14ac:dyDescent="0.25">
      <c r="A3216" s="10"/>
      <c r="B3216" s="10"/>
      <c r="C3216" s="10"/>
      <c r="D3216" s="12"/>
      <c r="E3216" s="10"/>
      <c r="F3216" s="10"/>
      <c r="G3216" s="10"/>
    </row>
    <row r="3217" spans="1:7" x14ac:dyDescent="0.25">
      <c r="A3217" s="10"/>
      <c r="B3217" s="10"/>
      <c r="C3217" s="10"/>
      <c r="D3217" s="12"/>
      <c r="E3217" s="10"/>
      <c r="F3217" s="10"/>
      <c r="G3217" s="10"/>
    </row>
    <row r="3218" spans="1:7" x14ac:dyDescent="0.25">
      <c r="A3218" s="10"/>
      <c r="B3218" s="10"/>
      <c r="C3218" s="10"/>
      <c r="D3218" s="12"/>
      <c r="E3218" s="10"/>
      <c r="F3218" s="10"/>
      <c r="G3218" s="10"/>
    </row>
    <row r="3219" spans="1:7" x14ac:dyDescent="0.25">
      <c r="A3219" s="10"/>
      <c r="B3219" s="10"/>
      <c r="C3219" s="10"/>
      <c r="D3219" s="12"/>
      <c r="E3219" s="10"/>
      <c r="F3219" s="10"/>
      <c r="G3219" s="10"/>
    </row>
    <row r="3220" spans="1:7" x14ac:dyDescent="0.25">
      <c r="A3220" s="10"/>
      <c r="B3220" s="10"/>
      <c r="C3220" s="10"/>
      <c r="D3220" s="12"/>
      <c r="E3220" s="10"/>
      <c r="F3220" s="10"/>
      <c r="G3220" s="10"/>
    </row>
    <row r="3221" spans="1:7" x14ac:dyDescent="0.25">
      <c r="A3221" s="10"/>
      <c r="B3221" s="10"/>
      <c r="C3221" s="10"/>
      <c r="D3221" s="12"/>
      <c r="E3221" s="10"/>
      <c r="F3221" s="10"/>
      <c r="G3221" s="10"/>
    </row>
    <row r="3222" spans="1:7" x14ac:dyDescent="0.25">
      <c r="A3222" s="10"/>
      <c r="B3222" s="10"/>
      <c r="C3222" s="10"/>
      <c r="D3222" s="12"/>
      <c r="E3222" s="10"/>
      <c r="F3222" s="10"/>
      <c r="G3222" s="10"/>
    </row>
    <row r="3223" spans="1:7" x14ac:dyDescent="0.25">
      <c r="A3223" s="10"/>
      <c r="B3223" s="10"/>
      <c r="C3223" s="10"/>
      <c r="D3223" s="12"/>
      <c r="E3223" s="10"/>
      <c r="F3223" s="10"/>
      <c r="G3223" s="10"/>
    </row>
    <row r="3224" spans="1:7" x14ac:dyDescent="0.25">
      <c r="A3224" s="10"/>
      <c r="B3224" s="10"/>
      <c r="C3224" s="10"/>
      <c r="D3224" s="12"/>
      <c r="E3224" s="10"/>
      <c r="F3224" s="10"/>
      <c r="G3224" s="10"/>
    </row>
    <row r="3225" spans="1:7" x14ac:dyDescent="0.25">
      <c r="A3225" s="10"/>
      <c r="B3225" s="10"/>
      <c r="C3225" s="10"/>
      <c r="D3225" s="12"/>
      <c r="E3225" s="10"/>
      <c r="F3225" s="10"/>
      <c r="G3225" s="10"/>
    </row>
    <row r="3226" spans="1:7" x14ac:dyDescent="0.25">
      <c r="A3226" s="10"/>
      <c r="B3226" s="10"/>
      <c r="C3226" s="10"/>
      <c r="D3226" s="12"/>
      <c r="E3226" s="10"/>
      <c r="F3226" s="10"/>
      <c r="G3226" s="10"/>
    </row>
    <row r="3227" spans="1:7" x14ac:dyDescent="0.25">
      <c r="A3227" s="10"/>
      <c r="B3227" s="10"/>
      <c r="C3227" s="10"/>
      <c r="D3227" s="12"/>
      <c r="E3227" s="10"/>
      <c r="F3227" s="10"/>
      <c r="G3227" s="10"/>
    </row>
    <row r="3228" spans="1:7" x14ac:dyDescent="0.25">
      <c r="A3228" s="10"/>
      <c r="B3228" s="10"/>
      <c r="C3228" s="10"/>
      <c r="D3228" s="12"/>
      <c r="E3228" s="10"/>
      <c r="F3228" s="10"/>
      <c r="G3228" s="10"/>
    </row>
    <row r="3229" spans="1:7" x14ac:dyDescent="0.25">
      <c r="A3229" s="10"/>
      <c r="B3229" s="10"/>
      <c r="C3229" s="10"/>
      <c r="D3229" s="12"/>
      <c r="E3229" s="10"/>
      <c r="F3229" s="10"/>
      <c r="G3229" s="10"/>
    </row>
    <row r="3230" spans="1:7" x14ac:dyDescent="0.25">
      <c r="A3230" s="10"/>
      <c r="B3230" s="10"/>
      <c r="C3230" s="10"/>
      <c r="D3230" s="12"/>
      <c r="E3230" s="10"/>
      <c r="F3230" s="10"/>
      <c r="G3230" s="10"/>
    </row>
    <row r="3231" spans="1:7" x14ac:dyDescent="0.25">
      <c r="A3231" s="10"/>
      <c r="B3231" s="10"/>
      <c r="C3231" s="10"/>
      <c r="D3231" s="12"/>
      <c r="E3231" s="10"/>
      <c r="F3231" s="10"/>
      <c r="G3231" s="10"/>
    </row>
    <row r="3232" spans="1:7" x14ac:dyDescent="0.25">
      <c r="A3232" s="10"/>
      <c r="B3232" s="10"/>
      <c r="C3232" s="10"/>
      <c r="D3232" s="12"/>
      <c r="E3232" s="10"/>
      <c r="F3232" s="10"/>
      <c r="G3232" s="10"/>
    </row>
    <row r="3233" spans="1:7" x14ac:dyDescent="0.25">
      <c r="A3233" s="10"/>
      <c r="B3233" s="10"/>
      <c r="C3233" s="10"/>
      <c r="D3233" s="12"/>
      <c r="E3233" s="10"/>
      <c r="F3233" s="10"/>
      <c r="G3233" s="10"/>
    </row>
    <row r="3234" spans="1:7" x14ac:dyDescent="0.25">
      <c r="A3234" s="10"/>
      <c r="B3234" s="10"/>
      <c r="C3234" s="10"/>
      <c r="D3234" s="12"/>
      <c r="E3234" s="10"/>
      <c r="F3234" s="10"/>
      <c r="G3234" s="10"/>
    </row>
    <row r="3235" spans="1:7" x14ac:dyDescent="0.25">
      <c r="A3235" s="10"/>
      <c r="B3235" s="10"/>
      <c r="C3235" s="10"/>
      <c r="D3235" s="12"/>
      <c r="E3235" s="10"/>
      <c r="F3235" s="10"/>
      <c r="G3235" s="10"/>
    </row>
    <row r="3236" spans="1:7" x14ac:dyDescent="0.25">
      <c r="A3236" s="10"/>
      <c r="B3236" s="10"/>
      <c r="C3236" s="10"/>
      <c r="D3236" s="12"/>
      <c r="E3236" s="10"/>
      <c r="F3236" s="10"/>
      <c r="G3236" s="10"/>
    </row>
    <row r="3237" spans="1:7" x14ac:dyDescent="0.25">
      <c r="A3237" s="10"/>
      <c r="B3237" s="10"/>
      <c r="C3237" s="10"/>
      <c r="D3237" s="12"/>
      <c r="E3237" s="10"/>
      <c r="F3237" s="10"/>
      <c r="G3237" s="10"/>
    </row>
    <row r="3238" spans="1:7" x14ac:dyDescent="0.25">
      <c r="A3238" s="10"/>
      <c r="B3238" s="10"/>
      <c r="C3238" s="10"/>
      <c r="D3238" s="12"/>
      <c r="E3238" s="10"/>
      <c r="F3238" s="10"/>
      <c r="G3238" s="10"/>
    </row>
    <row r="3239" spans="1:7" x14ac:dyDescent="0.25">
      <c r="A3239" s="10"/>
      <c r="B3239" s="10"/>
      <c r="C3239" s="10"/>
      <c r="D3239" s="12"/>
      <c r="E3239" s="10"/>
      <c r="F3239" s="10"/>
      <c r="G3239" s="10"/>
    </row>
    <row r="3240" spans="1:7" x14ac:dyDescent="0.25">
      <c r="A3240" s="10"/>
      <c r="B3240" s="10"/>
      <c r="C3240" s="10"/>
      <c r="D3240" s="12"/>
      <c r="E3240" s="10"/>
      <c r="F3240" s="10"/>
      <c r="G3240" s="10"/>
    </row>
    <row r="3241" spans="1:7" x14ac:dyDescent="0.25">
      <c r="A3241" s="10"/>
      <c r="B3241" s="10"/>
      <c r="C3241" s="10"/>
      <c r="D3241" s="12"/>
      <c r="E3241" s="10"/>
      <c r="F3241" s="10"/>
      <c r="G3241" s="10"/>
    </row>
    <row r="3242" spans="1:7" x14ac:dyDescent="0.25">
      <c r="A3242" s="10"/>
      <c r="B3242" s="10"/>
      <c r="C3242" s="10"/>
      <c r="D3242" s="12"/>
      <c r="E3242" s="10"/>
      <c r="F3242" s="10"/>
      <c r="G3242" s="10"/>
    </row>
    <row r="3243" spans="1:7" x14ac:dyDescent="0.25">
      <c r="A3243" s="10"/>
      <c r="B3243" s="10"/>
      <c r="C3243" s="10"/>
      <c r="D3243" s="12"/>
      <c r="E3243" s="10"/>
      <c r="F3243" s="10"/>
      <c r="G3243" s="10"/>
    </row>
    <row r="3244" spans="1:7" x14ac:dyDescent="0.25">
      <c r="A3244" s="10"/>
      <c r="B3244" s="10"/>
      <c r="C3244" s="10"/>
      <c r="D3244" s="12"/>
      <c r="E3244" s="10"/>
      <c r="F3244" s="10"/>
      <c r="G3244" s="10"/>
    </row>
    <row r="3245" spans="1:7" x14ac:dyDescent="0.25">
      <c r="A3245" s="10"/>
      <c r="B3245" s="10"/>
      <c r="C3245" s="10"/>
      <c r="D3245" s="12"/>
      <c r="E3245" s="10"/>
      <c r="F3245" s="10"/>
      <c r="G3245" s="10"/>
    </row>
    <row r="3246" spans="1:7" x14ac:dyDescent="0.25">
      <c r="A3246" s="10"/>
      <c r="B3246" s="10"/>
      <c r="C3246" s="10"/>
      <c r="D3246" s="12"/>
      <c r="E3246" s="10"/>
      <c r="F3246" s="10"/>
      <c r="G3246" s="10"/>
    </row>
    <row r="3247" spans="1:7" x14ac:dyDescent="0.25">
      <c r="A3247" s="10"/>
      <c r="B3247" s="10"/>
      <c r="C3247" s="10"/>
      <c r="D3247" s="12"/>
      <c r="E3247" s="10"/>
      <c r="F3247" s="10"/>
      <c r="G3247" s="10"/>
    </row>
    <row r="3248" spans="1:7" x14ac:dyDescent="0.25">
      <c r="A3248" s="10"/>
      <c r="B3248" s="10"/>
      <c r="C3248" s="10"/>
      <c r="D3248" s="12"/>
      <c r="E3248" s="10"/>
      <c r="F3248" s="10"/>
      <c r="G3248" s="10"/>
    </row>
    <row r="3249" spans="1:7" x14ac:dyDescent="0.25">
      <c r="A3249" s="10"/>
      <c r="B3249" s="10"/>
      <c r="C3249" s="10"/>
      <c r="D3249" s="12"/>
      <c r="E3249" s="10"/>
      <c r="F3249" s="10"/>
      <c r="G3249" s="10"/>
    </row>
    <row r="3250" spans="1:7" x14ac:dyDescent="0.25">
      <c r="A3250" s="10"/>
      <c r="B3250" s="10"/>
      <c r="C3250" s="10"/>
      <c r="D3250" s="12"/>
      <c r="E3250" s="10"/>
      <c r="F3250" s="10"/>
      <c r="G3250" s="10"/>
    </row>
    <row r="3251" spans="1:7" x14ac:dyDescent="0.25">
      <c r="A3251" s="10"/>
      <c r="B3251" s="10"/>
      <c r="C3251" s="10"/>
      <c r="D3251" s="12"/>
      <c r="E3251" s="10"/>
      <c r="F3251" s="10"/>
      <c r="G3251" s="10"/>
    </row>
    <row r="3252" spans="1:7" x14ac:dyDescent="0.25">
      <c r="A3252" s="10"/>
      <c r="B3252" s="10"/>
      <c r="C3252" s="10"/>
      <c r="D3252" s="12"/>
      <c r="E3252" s="10"/>
      <c r="F3252" s="10"/>
      <c r="G3252" s="10"/>
    </row>
    <row r="3253" spans="1:7" x14ac:dyDescent="0.25">
      <c r="A3253" s="10"/>
      <c r="B3253" s="10"/>
      <c r="C3253" s="10"/>
      <c r="D3253" s="12"/>
      <c r="E3253" s="10"/>
      <c r="F3253" s="10"/>
      <c r="G3253" s="10"/>
    </row>
    <row r="3254" spans="1:7" x14ac:dyDescent="0.25">
      <c r="A3254" s="10"/>
      <c r="B3254" s="10"/>
      <c r="C3254" s="10"/>
      <c r="D3254" s="12"/>
      <c r="E3254" s="10"/>
      <c r="F3254" s="10"/>
      <c r="G3254" s="10"/>
    </row>
    <row r="3255" spans="1:7" x14ac:dyDescent="0.25">
      <c r="A3255" s="10"/>
      <c r="B3255" s="10"/>
      <c r="C3255" s="10"/>
      <c r="D3255" s="12"/>
      <c r="E3255" s="10"/>
      <c r="F3255" s="10"/>
      <c r="G3255" s="10"/>
    </row>
    <row r="3256" spans="1:7" x14ac:dyDescent="0.25">
      <c r="A3256" s="10"/>
      <c r="B3256" s="10"/>
      <c r="C3256" s="10"/>
      <c r="D3256" s="12"/>
      <c r="E3256" s="10"/>
      <c r="F3256" s="10"/>
      <c r="G3256" s="10"/>
    </row>
    <row r="3257" spans="1:7" x14ac:dyDescent="0.25">
      <c r="A3257" s="10"/>
      <c r="B3257" s="10"/>
      <c r="C3257" s="10"/>
      <c r="D3257" s="12"/>
      <c r="E3257" s="10"/>
      <c r="F3257" s="10"/>
      <c r="G3257" s="10"/>
    </row>
    <row r="3258" spans="1:7" x14ac:dyDescent="0.25">
      <c r="A3258" s="10"/>
      <c r="B3258" s="10"/>
      <c r="C3258" s="10"/>
      <c r="D3258" s="12"/>
      <c r="E3258" s="10"/>
      <c r="F3258" s="10"/>
      <c r="G3258" s="10"/>
    </row>
    <row r="3259" spans="1:7" x14ac:dyDescent="0.25">
      <c r="A3259" s="10"/>
      <c r="B3259" s="10"/>
      <c r="C3259" s="10"/>
      <c r="D3259" s="12"/>
      <c r="E3259" s="10"/>
      <c r="F3259" s="10"/>
      <c r="G3259" s="10"/>
    </row>
    <row r="3260" spans="1:7" x14ac:dyDescent="0.25">
      <c r="A3260" s="10"/>
      <c r="B3260" s="10"/>
      <c r="C3260" s="10"/>
      <c r="D3260" s="12"/>
      <c r="E3260" s="10"/>
      <c r="F3260" s="10"/>
      <c r="G3260" s="10"/>
    </row>
    <row r="3261" spans="1:7" x14ac:dyDescent="0.25">
      <c r="A3261" s="10"/>
      <c r="B3261" s="10"/>
      <c r="C3261" s="10"/>
      <c r="D3261" s="12"/>
      <c r="E3261" s="10"/>
      <c r="F3261" s="10"/>
      <c r="G3261" s="10"/>
    </row>
    <row r="3262" spans="1:7" x14ac:dyDescent="0.25">
      <c r="A3262" s="10"/>
      <c r="B3262" s="10"/>
      <c r="C3262" s="10"/>
      <c r="D3262" s="12"/>
      <c r="E3262" s="10"/>
      <c r="F3262" s="10"/>
      <c r="G3262" s="10"/>
    </row>
    <row r="3263" spans="1:7" x14ac:dyDescent="0.25">
      <c r="A3263" s="10"/>
      <c r="B3263" s="10"/>
      <c r="C3263" s="10"/>
      <c r="D3263" s="12"/>
      <c r="E3263" s="10"/>
      <c r="F3263" s="10"/>
      <c r="G3263" s="10"/>
    </row>
    <row r="3264" spans="1:7" x14ac:dyDescent="0.25">
      <c r="A3264" s="10"/>
      <c r="B3264" s="10"/>
      <c r="C3264" s="10"/>
      <c r="D3264" s="12"/>
      <c r="E3264" s="10"/>
      <c r="F3264" s="10"/>
      <c r="G3264" s="10"/>
    </row>
    <row r="3265" spans="1:7" x14ac:dyDescent="0.25">
      <c r="A3265" s="10"/>
      <c r="B3265" s="10"/>
      <c r="C3265" s="10"/>
      <c r="D3265" s="12"/>
      <c r="E3265" s="10"/>
      <c r="F3265" s="10"/>
      <c r="G3265" s="10"/>
    </row>
    <row r="3266" spans="1:7" x14ac:dyDescent="0.25">
      <c r="A3266" s="10"/>
      <c r="B3266" s="10"/>
      <c r="C3266" s="10"/>
      <c r="D3266" s="12"/>
      <c r="E3266" s="10"/>
      <c r="F3266" s="10"/>
      <c r="G3266" s="10"/>
    </row>
    <row r="3267" spans="1:7" x14ac:dyDescent="0.25">
      <c r="A3267" s="10"/>
      <c r="B3267" s="10"/>
      <c r="C3267" s="10"/>
      <c r="D3267" s="12"/>
      <c r="E3267" s="10"/>
      <c r="F3267" s="10"/>
      <c r="G3267" s="10"/>
    </row>
    <row r="3268" spans="1:7" x14ac:dyDescent="0.25">
      <c r="A3268" s="10"/>
      <c r="B3268" s="10"/>
      <c r="C3268" s="10"/>
      <c r="D3268" s="12"/>
      <c r="E3268" s="10"/>
      <c r="F3268" s="10"/>
      <c r="G3268" s="10"/>
    </row>
    <row r="3269" spans="1:7" x14ac:dyDescent="0.25">
      <c r="A3269" s="10"/>
      <c r="B3269" s="10"/>
      <c r="C3269" s="10"/>
      <c r="D3269" s="12"/>
      <c r="E3269" s="10"/>
      <c r="F3269" s="10"/>
      <c r="G3269" s="10"/>
    </row>
    <row r="3270" spans="1:7" x14ac:dyDescent="0.25">
      <c r="A3270" s="10"/>
      <c r="B3270" s="10"/>
      <c r="C3270" s="10"/>
      <c r="D3270" s="12"/>
      <c r="E3270" s="10"/>
      <c r="F3270" s="10"/>
      <c r="G3270" s="10"/>
    </row>
    <row r="3271" spans="1:7" x14ac:dyDescent="0.25">
      <c r="A3271" s="10"/>
      <c r="B3271" s="10"/>
      <c r="C3271" s="10"/>
      <c r="D3271" s="12"/>
      <c r="E3271" s="10"/>
      <c r="F3271" s="10"/>
      <c r="G3271" s="10"/>
    </row>
    <row r="3272" spans="1:7" x14ac:dyDescent="0.25">
      <c r="A3272" s="10"/>
      <c r="B3272" s="10"/>
      <c r="C3272" s="10"/>
      <c r="D3272" s="12"/>
      <c r="E3272" s="10"/>
      <c r="F3272" s="10"/>
      <c r="G3272" s="10"/>
    </row>
    <row r="3273" spans="1:7" x14ac:dyDescent="0.25">
      <c r="A3273" s="10"/>
      <c r="B3273" s="10"/>
      <c r="C3273" s="10"/>
      <c r="D3273" s="12"/>
      <c r="E3273" s="10"/>
      <c r="F3273" s="10"/>
      <c r="G3273" s="10"/>
    </row>
    <row r="3274" spans="1:7" x14ac:dyDescent="0.25">
      <c r="A3274" s="10"/>
      <c r="B3274" s="10"/>
      <c r="C3274" s="10"/>
      <c r="D3274" s="12"/>
      <c r="E3274" s="10"/>
      <c r="F3274" s="10"/>
      <c r="G3274" s="10"/>
    </row>
    <row r="3275" spans="1:7" x14ac:dyDescent="0.25">
      <c r="A3275" s="10"/>
      <c r="B3275" s="10"/>
      <c r="C3275" s="10"/>
      <c r="D3275" s="12"/>
      <c r="E3275" s="10"/>
      <c r="F3275" s="10"/>
      <c r="G3275" s="10"/>
    </row>
    <row r="3276" spans="1:7" x14ac:dyDescent="0.25">
      <c r="A3276" s="10"/>
      <c r="B3276" s="10"/>
      <c r="C3276" s="10"/>
      <c r="D3276" s="12"/>
      <c r="E3276" s="10"/>
      <c r="F3276" s="10"/>
      <c r="G3276" s="10"/>
    </row>
    <row r="3277" spans="1:7" x14ac:dyDescent="0.25">
      <c r="A3277" s="10"/>
      <c r="B3277" s="10"/>
      <c r="C3277" s="10"/>
      <c r="D3277" s="12"/>
      <c r="E3277" s="10"/>
      <c r="F3277" s="10"/>
      <c r="G3277" s="10"/>
    </row>
    <row r="3278" spans="1:7" x14ac:dyDescent="0.25">
      <c r="A3278" s="10"/>
      <c r="B3278" s="10"/>
      <c r="C3278" s="10"/>
      <c r="D3278" s="12"/>
      <c r="E3278" s="10"/>
      <c r="F3278" s="10"/>
      <c r="G3278" s="10"/>
    </row>
    <row r="3279" spans="1:7" x14ac:dyDescent="0.25">
      <c r="A3279" s="10"/>
      <c r="B3279" s="10"/>
      <c r="C3279" s="10"/>
      <c r="D3279" s="12"/>
      <c r="E3279" s="10"/>
      <c r="F3279" s="10"/>
      <c r="G3279" s="10"/>
    </row>
    <row r="3280" spans="1:7" x14ac:dyDescent="0.25">
      <c r="A3280" s="10"/>
      <c r="B3280" s="10"/>
      <c r="C3280" s="10"/>
      <c r="D3280" s="12"/>
      <c r="E3280" s="10"/>
      <c r="F3280" s="10"/>
      <c r="G3280" s="10"/>
    </row>
    <row r="3281" spans="1:7" x14ac:dyDescent="0.25">
      <c r="A3281" s="10"/>
      <c r="B3281" s="10"/>
      <c r="C3281" s="10"/>
      <c r="D3281" s="12"/>
      <c r="E3281" s="10"/>
      <c r="F3281" s="10"/>
      <c r="G3281" s="10"/>
    </row>
    <row r="3282" spans="1:7" x14ac:dyDescent="0.25">
      <c r="A3282" s="10"/>
      <c r="B3282" s="10"/>
      <c r="C3282" s="10"/>
      <c r="D3282" s="12"/>
      <c r="E3282" s="10"/>
      <c r="F3282" s="10"/>
      <c r="G3282" s="10"/>
    </row>
    <row r="3283" spans="1:7" x14ac:dyDescent="0.25">
      <c r="A3283" s="10"/>
      <c r="B3283" s="10"/>
      <c r="C3283" s="10"/>
      <c r="D3283" s="12"/>
      <c r="E3283" s="10"/>
      <c r="F3283" s="10"/>
      <c r="G3283" s="10"/>
    </row>
    <row r="3284" spans="1:7" x14ac:dyDescent="0.25">
      <c r="A3284" s="10"/>
      <c r="B3284" s="10"/>
      <c r="C3284" s="10"/>
      <c r="D3284" s="12"/>
      <c r="E3284" s="10"/>
      <c r="F3284" s="10"/>
      <c r="G3284" s="10"/>
    </row>
    <row r="3285" spans="1:7" x14ac:dyDescent="0.25">
      <c r="A3285" s="10"/>
      <c r="B3285" s="10"/>
      <c r="C3285" s="10"/>
      <c r="D3285" s="12"/>
      <c r="E3285" s="10"/>
      <c r="F3285" s="10"/>
      <c r="G3285" s="10"/>
    </row>
    <row r="3286" spans="1:7" x14ac:dyDescent="0.25">
      <c r="A3286" s="10"/>
      <c r="B3286" s="10"/>
      <c r="C3286" s="10"/>
      <c r="D3286" s="12"/>
      <c r="E3286" s="10"/>
      <c r="F3286" s="10"/>
      <c r="G3286" s="10"/>
    </row>
    <row r="3287" spans="1:7" x14ac:dyDescent="0.25">
      <c r="A3287" s="10"/>
      <c r="B3287" s="10"/>
      <c r="C3287" s="10"/>
      <c r="D3287" s="12"/>
      <c r="E3287" s="10"/>
      <c r="F3287" s="10"/>
      <c r="G3287" s="10"/>
    </row>
    <row r="3288" spans="1:7" x14ac:dyDescent="0.25">
      <c r="A3288" s="10"/>
      <c r="B3288" s="10"/>
      <c r="C3288" s="10"/>
      <c r="D3288" s="12"/>
      <c r="E3288" s="10"/>
      <c r="F3288" s="10"/>
      <c r="G3288" s="10"/>
    </row>
    <row r="3289" spans="1:7" x14ac:dyDescent="0.25">
      <c r="A3289" s="10"/>
      <c r="B3289" s="10"/>
      <c r="C3289" s="10"/>
      <c r="D3289" s="12"/>
      <c r="E3289" s="10"/>
      <c r="F3289" s="10"/>
      <c r="G3289" s="10"/>
    </row>
    <row r="3290" spans="1:7" x14ac:dyDescent="0.25">
      <c r="A3290" s="10"/>
      <c r="B3290" s="10"/>
      <c r="C3290" s="10"/>
      <c r="D3290" s="12"/>
      <c r="E3290" s="10"/>
      <c r="F3290" s="10"/>
      <c r="G3290" s="10"/>
    </row>
    <row r="3291" spans="1:7" x14ac:dyDescent="0.25">
      <c r="A3291" s="10"/>
      <c r="B3291" s="10"/>
      <c r="C3291" s="10"/>
      <c r="D3291" s="12"/>
      <c r="E3291" s="10"/>
      <c r="F3291" s="10"/>
      <c r="G3291" s="10"/>
    </row>
    <row r="3292" spans="1:7" x14ac:dyDescent="0.25">
      <c r="A3292" s="10"/>
      <c r="B3292" s="10"/>
      <c r="C3292" s="10"/>
      <c r="D3292" s="12"/>
      <c r="E3292" s="10"/>
      <c r="F3292" s="10"/>
      <c r="G3292" s="10"/>
    </row>
    <row r="3293" spans="1:7" x14ac:dyDescent="0.25">
      <c r="A3293" s="10"/>
      <c r="B3293" s="10"/>
      <c r="C3293" s="10"/>
      <c r="D3293" s="12"/>
      <c r="E3293" s="10"/>
      <c r="F3293" s="10"/>
      <c r="G3293" s="10"/>
    </row>
    <row r="3294" spans="1:7" x14ac:dyDescent="0.25">
      <c r="A3294" s="10"/>
      <c r="B3294" s="10"/>
      <c r="C3294" s="10"/>
      <c r="D3294" s="12"/>
      <c r="E3294" s="10"/>
      <c r="F3294" s="10"/>
      <c r="G3294" s="10"/>
    </row>
    <row r="3295" spans="1:7" x14ac:dyDescent="0.25">
      <c r="A3295" s="10"/>
      <c r="B3295" s="10"/>
      <c r="C3295" s="10"/>
      <c r="D3295" s="12"/>
      <c r="E3295" s="10"/>
      <c r="F3295" s="10"/>
      <c r="G3295" s="10"/>
    </row>
    <row r="3296" spans="1:7" x14ac:dyDescent="0.25">
      <c r="A3296" s="10"/>
      <c r="B3296" s="10"/>
      <c r="C3296" s="10"/>
      <c r="D3296" s="12"/>
      <c r="E3296" s="10"/>
      <c r="F3296" s="10"/>
      <c r="G3296" s="10"/>
    </row>
    <row r="3297" spans="1:7" x14ac:dyDescent="0.25">
      <c r="A3297" s="10"/>
      <c r="B3297" s="10"/>
      <c r="C3297" s="10"/>
      <c r="D3297" s="12"/>
      <c r="E3297" s="10"/>
      <c r="F3297" s="10"/>
      <c r="G3297" s="10"/>
    </row>
    <row r="3298" spans="1:7" x14ac:dyDescent="0.25">
      <c r="A3298" s="10"/>
      <c r="B3298" s="10"/>
      <c r="C3298" s="10"/>
      <c r="D3298" s="12"/>
      <c r="E3298" s="10"/>
      <c r="F3298" s="10"/>
      <c r="G3298" s="10"/>
    </row>
    <row r="3299" spans="1:7" x14ac:dyDescent="0.25">
      <c r="A3299" s="10"/>
      <c r="B3299" s="10"/>
      <c r="C3299" s="10"/>
      <c r="D3299" s="12"/>
      <c r="E3299" s="10"/>
      <c r="F3299" s="10"/>
      <c r="G3299" s="10"/>
    </row>
    <row r="3300" spans="1:7" x14ac:dyDescent="0.25">
      <c r="A3300" s="10"/>
      <c r="B3300" s="10"/>
      <c r="C3300" s="10"/>
      <c r="D3300" s="12"/>
      <c r="E3300" s="10"/>
      <c r="F3300" s="10"/>
      <c r="G3300" s="10"/>
    </row>
    <row r="3301" spans="1:7" x14ac:dyDescent="0.25">
      <c r="A3301" s="10"/>
      <c r="B3301" s="10"/>
      <c r="C3301" s="10"/>
      <c r="D3301" s="12"/>
      <c r="E3301" s="10"/>
      <c r="F3301" s="10"/>
      <c r="G3301" s="10"/>
    </row>
    <row r="3302" spans="1:7" x14ac:dyDescent="0.25">
      <c r="A3302" s="10"/>
      <c r="B3302" s="10"/>
      <c r="C3302" s="10"/>
      <c r="D3302" s="12"/>
      <c r="E3302" s="10"/>
      <c r="F3302" s="10"/>
      <c r="G3302" s="10"/>
    </row>
    <row r="3303" spans="1:7" x14ac:dyDescent="0.25">
      <c r="A3303" s="10"/>
      <c r="B3303" s="10"/>
      <c r="C3303" s="10"/>
      <c r="D3303" s="12"/>
      <c r="E3303" s="10"/>
      <c r="F3303" s="10"/>
      <c r="G3303" s="10"/>
    </row>
    <row r="3304" spans="1:7" x14ac:dyDescent="0.25">
      <c r="A3304" s="10"/>
      <c r="B3304" s="10"/>
      <c r="C3304" s="10"/>
      <c r="D3304" s="12"/>
      <c r="E3304" s="10"/>
      <c r="F3304" s="10"/>
      <c r="G3304" s="10"/>
    </row>
    <row r="3305" spans="1:7" x14ac:dyDescent="0.25">
      <c r="A3305" s="10"/>
      <c r="B3305" s="10"/>
      <c r="C3305" s="10"/>
      <c r="D3305" s="12"/>
      <c r="E3305" s="10"/>
      <c r="F3305" s="10"/>
      <c r="G3305" s="10"/>
    </row>
    <row r="3306" spans="1:7" x14ac:dyDescent="0.25">
      <c r="A3306" s="10"/>
      <c r="B3306" s="10"/>
      <c r="C3306" s="10"/>
      <c r="D3306" s="12"/>
      <c r="E3306" s="10"/>
      <c r="F3306" s="10"/>
      <c r="G3306" s="10"/>
    </row>
    <row r="3307" spans="1:7" x14ac:dyDescent="0.25">
      <c r="A3307" s="10"/>
      <c r="B3307" s="10"/>
      <c r="C3307" s="10"/>
      <c r="D3307" s="12"/>
      <c r="E3307" s="10"/>
      <c r="F3307" s="10"/>
      <c r="G3307" s="10"/>
    </row>
    <row r="3308" spans="1:7" x14ac:dyDescent="0.25">
      <c r="A3308" s="10"/>
      <c r="B3308" s="10"/>
      <c r="C3308" s="10"/>
      <c r="D3308" s="12"/>
      <c r="E3308" s="10"/>
      <c r="F3308" s="10"/>
      <c r="G3308" s="10"/>
    </row>
    <row r="3309" spans="1:7" x14ac:dyDescent="0.25">
      <c r="A3309" s="10"/>
      <c r="B3309" s="10"/>
      <c r="C3309" s="10"/>
      <c r="D3309" s="12"/>
      <c r="E3309" s="10"/>
      <c r="F3309" s="10"/>
      <c r="G3309" s="10"/>
    </row>
    <row r="3310" spans="1:7" x14ac:dyDescent="0.25">
      <c r="A3310" s="10"/>
      <c r="B3310" s="10"/>
      <c r="C3310" s="10"/>
      <c r="D3310" s="12"/>
      <c r="E3310" s="10"/>
      <c r="F3310" s="10"/>
      <c r="G3310" s="10"/>
    </row>
    <row r="3311" spans="1:7" x14ac:dyDescent="0.25">
      <c r="A3311" s="10"/>
      <c r="B3311" s="10"/>
      <c r="C3311" s="10"/>
      <c r="D3311" s="12"/>
      <c r="E3311" s="10"/>
      <c r="F3311" s="10"/>
      <c r="G3311" s="10"/>
    </row>
    <row r="3312" spans="1:7" x14ac:dyDescent="0.25">
      <c r="A3312" s="10"/>
      <c r="B3312" s="10"/>
      <c r="C3312" s="10"/>
      <c r="D3312" s="12"/>
      <c r="E3312" s="10"/>
      <c r="F3312" s="10"/>
      <c r="G3312" s="10"/>
    </row>
    <row r="3313" spans="1:7" x14ac:dyDescent="0.25">
      <c r="A3313" s="10"/>
      <c r="B3313" s="10"/>
      <c r="C3313" s="10"/>
      <c r="D3313" s="12"/>
      <c r="E3313" s="10"/>
      <c r="F3313" s="10"/>
      <c r="G3313" s="10"/>
    </row>
    <row r="3314" spans="1:7" x14ac:dyDescent="0.25">
      <c r="A3314" s="10"/>
      <c r="B3314" s="10"/>
      <c r="C3314" s="10"/>
      <c r="D3314" s="12"/>
      <c r="E3314" s="10"/>
      <c r="F3314" s="10"/>
      <c r="G3314" s="10"/>
    </row>
    <row r="3315" spans="1:7" x14ac:dyDescent="0.25">
      <c r="A3315" s="10"/>
      <c r="B3315" s="10"/>
      <c r="C3315" s="10"/>
      <c r="D3315" s="12"/>
      <c r="E3315" s="10"/>
      <c r="F3315" s="10"/>
      <c r="G3315" s="10"/>
    </row>
    <row r="3316" spans="1:7" x14ac:dyDescent="0.25">
      <c r="A3316" s="10"/>
      <c r="B3316" s="10"/>
      <c r="C3316" s="10"/>
      <c r="D3316" s="12"/>
      <c r="E3316" s="10"/>
      <c r="F3316" s="10"/>
      <c r="G3316" s="10"/>
    </row>
    <row r="3317" spans="1:7" x14ac:dyDescent="0.25">
      <c r="A3317" s="10"/>
      <c r="B3317" s="10"/>
      <c r="C3317" s="10"/>
      <c r="D3317" s="12"/>
      <c r="E3317" s="10"/>
      <c r="F3317" s="10"/>
      <c r="G3317" s="10"/>
    </row>
    <row r="3318" spans="1:7" x14ac:dyDescent="0.25">
      <c r="A3318" s="10"/>
      <c r="B3318" s="10"/>
      <c r="C3318" s="10"/>
      <c r="D3318" s="12"/>
      <c r="E3318" s="10"/>
      <c r="F3318" s="10"/>
      <c r="G3318" s="10"/>
    </row>
    <row r="3319" spans="1:7" x14ac:dyDescent="0.25">
      <c r="A3319" s="10"/>
      <c r="B3319" s="10"/>
      <c r="C3319" s="10"/>
      <c r="D3319" s="12"/>
      <c r="E3319" s="10"/>
      <c r="F3319" s="10"/>
      <c r="G3319" s="10"/>
    </row>
    <row r="3320" spans="1:7" x14ac:dyDescent="0.25">
      <c r="A3320" s="10"/>
      <c r="B3320" s="10"/>
      <c r="C3320" s="10"/>
      <c r="D3320" s="12"/>
      <c r="E3320" s="10"/>
      <c r="F3320" s="10"/>
      <c r="G3320" s="10"/>
    </row>
    <row r="3321" spans="1:7" x14ac:dyDescent="0.25">
      <c r="A3321" s="10"/>
      <c r="B3321" s="10"/>
      <c r="C3321" s="10"/>
      <c r="D3321" s="12"/>
      <c r="E3321" s="10"/>
      <c r="F3321" s="10"/>
      <c r="G3321" s="10"/>
    </row>
    <row r="3322" spans="1:7" x14ac:dyDescent="0.25">
      <c r="A3322" s="10"/>
      <c r="B3322" s="10"/>
      <c r="C3322" s="10"/>
      <c r="D3322" s="12"/>
      <c r="E3322" s="10"/>
      <c r="F3322" s="10"/>
      <c r="G3322" s="10"/>
    </row>
    <row r="3323" spans="1:7" x14ac:dyDescent="0.25">
      <c r="A3323" s="10"/>
      <c r="B3323" s="10"/>
      <c r="C3323" s="10"/>
      <c r="D3323" s="12"/>
      <c r="E3323" s="10"/>
      <c r="F3323" s="10"/>
      <c r="G3323" s="10"/>
    </row>
    <row r="3324" spans="1:7" x14ac:dyDescent="0.25">
      <c r="A3324" s="10"/>
      <c r="B3324" s="10"/>
      <c r="C3324" s="10"/>
      <c r="D3324" s="12"/>
      <c r="E3324" s="10"/>
      <c r="F3324" s="10"/>
      <c r="G3324" s="10"/>
    </row>
    <row r="3325" spans="1:7" x14ac:dyDescent="0.25">
      <c r="A3325" s="10"/>
      <c r="B3325" s="10"/>
      <c r="C3325" s="10"/>
      <c r="D3325" s="12"/>
      <c r="E3325" s="10"/>
      <c r="F3325" s="10"/>
      <c r="G3325" s="10"/>
    </row>
    <row r="3326" spans="1:7" x14ac:dyDescent="0.25">
      <c r="A3326" s="10"/>
      <c r="B3326" s="10"/>
      <c r="C3326" s="10"/>
      <c r="D3326" s="12"/>
      <c r="E3326" s="10"/>
      <c r="F3326" s="10"/>
      <c r="G3326" s="10"/>
    </row>
    <row r="3327" spans="1:7" x14ac:dyDescent="0.25">
      <c r="A3327" s="10"/>
      <c r="B3327" s="10"/>
      <c r="C3327" s="10"/>
      <c r="D3327" s="12"/>
      <c r="E3327" s="10"/>
      <c r="F3327" s="10"/>
      <c r="G3327" s="10"/>
    </row>
    <row r="3328" spans="1:7" x14ac:dyDescent="0.25">
      <c r="A3328" s="10"/>
      <c r="B3328" s="10"/>
      <c r="C3328" s="10"/>
      <c r="D3328" s="12"/>
      <c r="E3328" s="10"/>
      <c r="F3328" s="10"/>
      <c r="G3328" s="10"/>
    </row>
    <row r="3329" spans="1:7" x14ac:dyDescent="0.25">
      <c r="A3329" s="10"/>
      <c r="B3329" s="10"/>
      <c r="C3329" s="10"/>
      <c r="D3329" s="12"/>
      <c r="E3329" s="10"/>
      <c r="F3329" s="10"/>
      <c r="G3329" s="10"/>
    </row>
    <row r="3330" spans="1:7" x14ac:dyDescent="0.25">
      <c r="A3330" s="10"/>
      <c r="B3330" s="10"/>
      <c r="C3330" s="10"/>
      <c r="D3330" s="12"/>
      <c r="E3330" s="10"/>
      <c r="F3330" s="10"/>
      <c r="G3330" s="10"/>
    </row>
    <row r="3331" spans="1:7" x14ac:dyDescent="0.25">
      <c r="A3331" s="10"/>
      <c r="B3331" s="10"/>
      <c r="C3331" s="10"/>
      <c r="D3331" s="12"/>
      <c r="E3331" s="10"/>
      <c r="F3331" s="10"/>
      <c r="G3331" s="10"/>
    </row>
    <row r="3332" spans="1:7" x14ac:dyDescent="0.25">
      <c r="A3332" s="10"/>
      <c r="B3332" s="10"/>
      <c r="C3332" s="10"/>
      <c r="D3332" s="12"/>
      <c r="E3332" s="10"/>
      <c r="F3332" s="10"/>
      <c r="G3332" s="10"/>
    </row>
    <row r="3333" spans="1:7" x14ac:dyDescent="0.25">
      <c r="A3333" s="10"/>
      <c r="B3333" s="10"/>
      <c r="C3333" s="10"/>
      <c r="D3333" s="12"/>
      <c r="E3333" s="10"/>
      <c r="F3333" s="10"/>
      <c r="G3333" s="10"/>
    </row>
    <row r="3334" spans="1:7" x14ac:dyDescent="0.25">
      <c r="A3334" s="10"/>
      <c r="B3334" s="10"/>
      <c r="C3334" s="10"/>
      <c r="D3334" s="12"/>
      <c r="E3334" s="10"/>
      <c r="F3334" s="10"/>
      <c r="G3334" s="10"/>
    </row>
    <row r="3335" spans="1:7" x14ac:dyDescent="0.25">
      <c r="A3335" s="10"/>
      <c r="B3335" s="10"/>
      <c r="C3335" s="10"/>
      <c r="D3335" s="12"/>
      <c r="E3335" s="10"/>
      <c r="F3335" s="10"/>
      <c r="G3335" s="10"/>
    </row>
    <row r="3336" spans="1:7" x14ac:dyDescent="0.25">
      <c r="A3336" s="10"/>
      <c r="B3336" s="10"/>
      <c r="C3336" s="10"/>
      <c r="D3336" s="12"/>
      <c r="E3336" s="10"/>
      <c r="F3336" s="10"/>
      <c r="G3336" s="10"/>
    </row>
    <row r="3337" spans="1:7" x14ac:dyDescent="0.25">
      <c r="A3337" s="10"/>
      <c r="B3337" s="10"/>
      <c r="C3337" s="10"/>
      <c r="D3337" s="12"/>
      <c r="E3337" s="10"/>
      <c r="F3337" s="10"/>
      <c r="G3337" s="10"/>
    </row>
    <row r="3338" spans="1:7" x14ac:dyDescent="0.25">
      <c r="A3338" s="10"/>
      <c r="B3338" s="10"/>
      <c r="C3338" s="10"/>
      <c r="D3338" s="12"/>
      <c r="E3338" s="10"/>
      <c r="F3338" s="10"/>
      <c r="G3338" s="10"/>
    </row>
    <row r="3339" spans="1:7" x14ac:dyDescent="0.25">
      <c r="A3339" s="10"/>
      <c r="B3339" s="10"/>
      <c r="C3339" s="10"/>
      <c r="D3339" s="12"/>
      <c r="E3339" s="10"/>
      <c r="F3339" s="10"/>
      <c r="G3339" s="10"/>
    </row>
    <row r="3340" spans="1:7" x14ac:dyDescent="0.25">
      <c r="A3340" s="10"/>
      <c r="B3340" s="10"/>
      <c r="C3340" s="10"/>
      <c r="D3340" s="12"/>
      <c r="E3340" s="10"/>
      <c r="F3340" s="10"/>
      <c r="G3340" s="10"/>
    </row>
    <row r="3341" spans="1:7" x14ac:dyDescent="0.25">
      <c r="A3341" s="10"/>
      <c r="B3341" s="10"/>
      <c r="C3341" s="10"/>
      <c r="D3341" s="12"/>
      <c r="E3341" s="10"/>
      <c r="F3341" s="10"/>
      <c r="G3341" s="10"/>
    </row>
    <row r="3342" spans="1:7" x14ac:dyDescent="0.25">
      <c r="A3342" s="10"/>
      <c r="B3342" s="10"/>
      <c r="C3342" s="10"/>
      <c r="D3342" s="12"/>
      <c r="E3342" s="10"/>
      <c r="F3342" s="10"/>
      <c r="G3342" s="10"/>
    </row>
    <row r="3343" spans="1:7" x14ac:dyDescent="0.25">
      <c r="A3343" s="10"/>
      <c r="B3343" s="10"/>
      <c r="C3343" s="10"/>
      <c r="D3343" s="12"/>
      <c r="E3343" s="10"/>
      <c r="F3343" s="10"/>
      <c r="G3343" s="10"/>
    </row>
    <row r="3344" spans="1:7" x14ac:dyDescent="0.25">
      <c r="A3344" s="10"/>
      <c r="B3344" s="10"/>
      <c r="C3344" s="10"/>
      <c r="D3344" s="12"/>
      <c r="E3344" s="10"/>
      <c r="F3344" s="10"/>
      <c r="G3344" s="10"/>
    </row>
    <row r="3345" spans="1:7" x14ac:dyDescent="0.25">
      <c r="A3345" s="10"/>
      <c r="B3345" s="10"/>
      <c r="C3345" s="10"/>
      <c r="D3345" s="12"/>
      <c r="E3345" s="10"/>
      <c r="F3345" s="10"/>
      <c r="G3345" s="10"/>
    </row>
    <row r="3346" spans="1:7" x14ac:dyDescent="0.25">
      <c r="A3346" s="10"/>
      <c r="B3346" s="10"/>
      <c r="C3346" s="10"/>
      <c r="D3346" s="12"/>
      <c r="E3346" s="10"/>
      <c r="F3346" s="10"/>
      <c r="G3346" s="10"/>
    </row>
    <row r="3347" spans="1:7" x14ac:dyDescent="0.25">
      <c r="A3347" s="10"/>
      <c r="B3347" s="10"/>
      <c r="C3347" s="10"/>
      <c r="D3347" s="12"/>
      <c r="E3347" s="10"/>
      <c r="F3347" s="10"/>
      <c r="G3347" s="10"/>
    </row>
    <row r="3348" spans="1:7" x14ac:dyDescent="0.25">
      <c r="A3348" s="10"/>
      <c r="B3348" s="10"/>
      <c r="C3348" s="10"/>
      <c r="D3348" s="12"/>
      <c r="E3348" s="10"/>
      <c r="F3348" s="10"/>
      <c r="G3348" s="10"/>
    </row>
    <row r="3349" spans="1:7" x14ac:dyDescent="0.25">
      <c r="A3349" s="10"/>
      <c r="B3349" s="10"/>
      <c r="C3349" s="10"/>
      <c r="D3349" s="12"/>
      <c r="E3349" s="10"/>
      <c r="F3349" s="10"/>
      <c r="G3349" s="10"/>
    </row>
    <row r="3350" spans="1:7" x14ac:dyDescent="0.25">
      <c r="A3350" s="10"/>
      <c r="B3350" s="10"/>
      <c r="C3350" s="10"/>
      <c r="D3350" s="12"/>
      <c r="E3350" s="10"/>
      <c r="F3350" s="10"/>
      <c r="G3350" s="10"/>
    </row>
    <row r="3351" spans="1:7" x14ac:dyDescent="0.25">
      <c r="A3351" s="10"/>
      <c r="B3351" s="10"/>
      <c r="C3351" s="10"/>
      <c r="D3351" s="12"/>
      <c r="E3351" s="10"/>
      <c r="F3351" s="10"/>
      <c r="G3351" s="10"/>
    </row>
    <row r="3352" spans="1:7" x14ac:dyDescent="0.25">
      <c r="A3352" s="10"/>
      <c r="B3352" s="10"/>
      <c r="C3352" s="10"/>
      <c r="D3352" s="12"/>
      <c r="E3352" s="10"/>
      <c r="F3352" s="10"/>
      <c r="G3352" s="10"/>
    </row>
    <row r="3353" spans="1:7" x14ac:dyDescent="0.25">
      <c r="A3353" s="10"/>
      <c r="B3353" s="10"/>
      <c r="C3353" s="10"/>
      <c r="D3353" s="12"/>
      <c r="E3353" s="10"/>
      <c r="F3353" s="10"/>
      <c r="G3353" s="10"/>
    </row>
    <row r="3354" spans="1:7" x14ac:dyDescent="0.25">
      <c r="A3354" s="10"/>
      <c r="B3354" s="10"/>
      <c r="C3354" s="10"/>
      <c r="D3354" s="12"/>
      <c r="E3354" s="10"/>
      <c r="F3354" s="10"/>
      <c r="G3354" s="10"/>
    </row>
    <row r="3355" spans="1:7" x14ac:dyDescent="0.25">
      <c r="A3355" s="10"/>
      <c r="B3355" s="10"/>
      <c r="C3355" s="10"/>
      <c r="D3355" s="12"/>
      <c r="E3355" s="10"/>
      <c r="F3355" s="10"/>
      <c r="G3355" s="10"/>
    </row>
    <row r="3356" spans="1:7" x14ac:dyDescent="0.25">
      <c r="A3356" s="10"/>
      <c r="B3356" s="10"/>
      <c r="C3356" s="10"/>
      <c r="D3356" s="12"/>
      <c r="E3356" s="10"/>
      <c r="F3356" s="10"/>
      <c r="G3356" s="10"/>
    </row>
    <row r="3357" spans="1:7" x14ac:dyDescent="0.25">
      <c r="A3357" s="10"/>
      <c r="B3357" s="10"/>
      <c r="C3357" s="10"/>
      <c r="D3357" s="12"/>
      <c r="E3357" s="10"/>
      <c r="F3357" s="10"/>
      <c r="G3357" s="10"/>
    </row>
    <row r="3358" spans="1:7" x14ac:dyDescent="0.25">
      <c r="A3358" s="10"/>
      <c r="B3358" s="10"/>
      <c r="C3358" s="10"/>
      <c r="D3358" s="12"/>
      <c r="E3358" s="10"/>
      <c r="F3358" s="10"/>
      <c r="G3358" s="10"/>
    </row>
    <row r="3359" spans="1:7" x14ac:dyDescent="0.25">
      <c r="A3359" s="10"/>
      <c r="B3359" s="10"/>
      <c r="C3359" s="10"/>
      <c r="D3359" s="12"/>
      <c r="E3359" s="10"/>
      <c r="F3359" s="10"/>
      <c r="G3359" s="10"/>
    </row>
    <row r="3360" spans="1:7" x14ac:dyDescent="0.25">
      <c r="A3360" s="10"/>
      <c r="B3360" s="10"/>
      <c r="C3360" s="10"/>
      <c r="D3360" s="12"/>
      <c r="E3360" s="10"/>
      <c r="F3360" s="10"/>
      <c r="G3360" s="10"/>
    </row>
    <row r="3361" spans="1:7" x14ac:dyDescent="0.25">
      <c r="A3361" s="10"/>
      <c r="B3361" s="10"/>
      <c r="C3361" s="10"/>
      <c r="D3361" s="12"/>
      <c r="E3361" s="10"/>
      <c r="F3361" s="10"/>
      <c r="G3361" s="10"/>
    </row>
    <row r="3362" spans="1:7" x14ac:dyDescent="0.25">
      <c r="A3362" s="10"/>
      <c r="B3362" s="10"/>
      <c r="C3362" s="10"/>
      <c r="D3362" s="12"/>
      <c r="E3362" s="10"/>
      <c r="F3362" s="10"/>
      <c r="G3362" s="10"/>
    </row>
    <row r="3363" spans="1:7" x14ac:dyDescent="0.25">
      <c r="A3363" s="10"/>
      <c r="B3363" s="10"/>
      <c r="C3363" s="10"/>
      <c r="D3363" s="12"/>
      <c r="E3363" s="10"/>
      <c r="F3363" s="10"/>
      <c r="G3363" s="10"/>
    </row>
    <row r="3364" spans="1:7" x14ac:dyDescent="0.25">
      <c r="A3364" s="10"/>
      <c r="B3364" s="10"/>
      <c r="C3364" s="10"/>
      <c r="D3364" s="12"/>
      <c r="E3364" s="10"/>
      <c r="F3364" s="10"/>
      <c r="G3364" s="10"/>
    </row>
    <row r="3365" spans="1:7" x14ac:dyDescent="0.25">
      <c r="A3365" s="10"/>
      <c r="B3365" s="10"/>
      <c r="C3365" s="10"/>
      <c r="D3365" s="12"/>
      <c r="E3365" s="10"/>
      <c r="F3365" s="10"/>
      <c r="G3365" s="10"/>
    </row>
    <row r="3366" spans="1:7" x14ac:dyDescent="0.25">
      <c r="A3366" s="10"/>
      <c r="B3366" s="10"/>
      <c r="C3366" s="10"/>
      <c r="D3366" s="12"/>
      <c r="E3366" s="10"/>
      <c r="F3366" s="10"/>
      <c r="G3366" s="10"/>
    </row>
    <row r="3367" spans="1:7" x14ac:dyDescent="0.25">
      <c r="A3367" s="10"/>
      <c r="B3367" s="10"/>
      <c r="C3367" s="10"/>
      <c r="D3367" s="12"/>
      <c r="E3367" s="10"/>
      <c r="F3367" s="10"/>
      <c r="G3367" s="10"/>
    </row>
    <row r="3368" spans="1:7" x14ac:dyDescent="0.25">
      <c r="A3368" s="10"/>
      <c r="B3368" s="10"/>
      <c r="C3368" s="10"/>
      <c r="D3368" s="12"/>
      <c r="E3368" s="10"/>
      <c r="F3368" s="10"/>
      <c r="G3368" s="10"/>
    </row>
    <row r="3369" spans="1:7" x14ac:dyDescent="0.25">
      <c r="A3369" s="10"/>
      <c r="B3369" s="10"/>
      <c r="C3369" s="10"/>
      <c r="D3369" s="12"/>
      <c r="E3369" s="10"/>
      <c r="F3369" s="10"/>
      <c r="G3369" s="10"/>
    </row>
    <row r="3370" spans="1:7" x14ac:dyDescent="0.25">
      <c r="A3370" s="10"/>
      <c r="B3370" s="10"/>
      <c r="C3370" s="10"/>
      <c r="D3370" s="12"/>
      <c r="E3370" s="10"/>
      <c r="F3370" s="10"/>
      <c r="G3370" s="10"/>
    </row>
    <row r="3371" spans="1:7" x14ac:dyDescent="0.25">
      <c r="A3371" s="10"/>
      <c r="B3371" s="10"/>
      <c r="C3371" s="10"/>
      <c r="D3371" s="12"/>
      <c r="E3371" s="10"/>
      <c r="F3371" s="10"/>
      <c r="G3371" s="10"/>
    </row>
    <row r="3372" spans="1:7" x14ac:dyDescent="0.25">
      <c r="A3372" s="10"/>
      <c r="B3372" s="10"/>
      <c r="C3372" s="10"/>
      <c r="D3372" s="12"/>
      <c r="E3372" s="10"/>
      <c r="F3372" s="10"/>
      <c r="G3372" s="10"/>
    </row>
    <row r="3373" spans="1:7" x14ac:dyDescent="0.25">
      <c r="A3373" s="10"/>
      <c r="B3373" s="10"/>
      <c r="C3373" s="10"/>
      <c r="D3373" s="12"/>
      <c r="E3373" s="10"/>
      <c r="F3373" s="10"/>
      <c r="G3373" s="10"/>
    </row>
    <row r="3374" spans="1:7" x14ac:dyDescent="0.25">
      <c r="A3374" s="10"/>
      <c r="B3374" s="10"/>
      <c r="C3374" s="10"/>
      <c r="D3374" s="12"/>
      <c r="E3374" s="10"/>
      <c r="F3374" s="10"/>
      <c r="G3374" s="10"/>
    </row>
    <row r="3375" spans="1:7" x14ac:dyDescent="0.25">
      <c r="A3375" s="10"/>
      <c r="B3375" s="10"/>
      <c r="C3375" s="10"/>
      <c r="D3375" s="12"/>
      <c r="E3375" s="10"/>
      <c r="F3375" s="10"/>
      <c r="G3375" s="10"/>
    </row>
    <row r="3376" spans="1:7" x14ac:dyDescent="0.25">
      <c r="A3376" s="10"/>
      <c r="B3376" s="10"/>
      <c r="C3376" s="10"/>
      <c r="D3376" s="12"/>
      <c r="E3376" s="10"/>
      <c r="F3376" s="10"/>
      <c r="G3376" s="10"/>
    </row>
    <row r="3377" spans="1:7" x14ac:dyDescent="0.25">
      <c r="A3377" s="10"/>
      <c r="B3377" s="10"/>
      <c r="C3377" s="10"/>
      <c r="D3377" s="12"/>
      <c r="E3377" s="10"/>
      <c r="F3377" s="10"/>
      <c r="G3377" s="10"/>
    </row>
    <row r="3378" spans="1:7" x14ac:dyDescent="0.25">
      <c r="A3378" s="10"/>
      <c r="B3378" s="10"/>
      <c r="C3378" s="10"/>
      <c r="D3378" s="12"/>
      <c r="E3378" s="10"/>
      <c r="F3378" s="10"/>
      <c r="G3378" s="10"/>
    </row>
    <row r="3379" spans="1:7" x14ac:dyDescent="0.25">
      <c r="A3379" s="10"/>
      <c r="B3379" s="10"/>
      <c r="C3379" s="10"/>
      <c r="D3379" s="12"/>
      <c r="E3379" s="10"/>
      <c r="F3379" s="10"/>
      <c r="G3379" s="10"/>
    </row>
    <row r="3380" spans="1:7" x14ac:dyDescent="0.25">
      <c r="A3380" s="10"/>
      <c r="B3380" s="10"/>
      <c r="C3380" s="10"/>
      <c r="D3380" s="12"/>
      <c r="E3380" s="10"/>
      <c r="F3380" s="10"/>
      <c r="G3380" s="10"/>
    </row>
    <row r="3381" spans="1:7" x14ac:dyDescent="0.25">
      <c r="A3381" s="10"/>
      <c r="B3381" s="10"/>
      <c r="C3381" s="10"/>
      <c r="D3381" s="12"/>
      <c r="E3381" s="10"/>
      <c r="F3381" s="10"/>
      <c r="G3381" s="10"/>
    </row>
    <row r="3382" spans="1:7" x14ac:dyDescent="0.25">
      <c r="A3382" s="10"/>
      <c r="B3382" s="10"/>
      <c r="C3382" s="10"/>
      <c r="D3382" s="12"/>
      <c r="E3382" s="10"/>
      <c r="F3382" s="10"/>
      <c r="G3382" s="10"/>
    </row>
    <row r="3383" spans="1:7" x14ac:dyDescent="0.25">
      <c r="A3383" s="10"/>
      <c r="B3383" s="10"/>
      <c r="C3383" s="10"/>
      <c r="D3383" s="12"/>
      <c r="E3383" s="10"/>
      <c r="F3383" s="10"/>
      <c r="G3383" s="10"/>
    </row>
    <row r="3384" spans="1:7" x14ac:dyDescent="0.25">
      <c r="A3384" s="10"/>
      <c r="B3384" s="10"/>
      <c r="C3384" s="10"/>
      <c r="D3384" s="12"/>
      <c r="E3384" s="10"/>
      <c r="F3384" s="10"/>
      <c r="G3384" s="10"/>
    </row>
    <row r="3385" spans="1:7" x14ac:dyDescent="0.25">
      <c r="A3385" s="10"/>
      <c r="B3385" s="10"/>
      <c r="C3385" s="10"/>
      <c r="D3385" s="12"/>
      <c r="E3385" s="10"/>
      <c r="F3385" s="10"/>
      <c r="G3385" s="10"/>
    </row>
    <row r="3386" spans="1:7" x14ac:dyDescent="0.25">
      <c r="A3386" s="10"/>
      <c r="B3386" s="10"/>
      <c r="C3386" s="10"/>
      <c r="D3386" s="12"/>
      <c r="E3386" s="10"/>
      <c r="F3386" s="10"/>
      <c r="G3386" s="10"/>
    </row>
    <row r="3387" spans="1:7" x14ac:dyDescent="0.25">
      <c r="A3387" s="10"/>
      <c r="B3387" s="10"/>
      <c r="C3387" s="10"/>
      <c r="D3387" s="12"/>
      <c r="E3387" s="10"/>
      <c r="F3387" s="10"/>
      <c r="G3387" s="10"/>
    </row>
    <row r="3388" spans="1:7" x14ac:dyDescent="0.25">
      <c r="A3388" s="10"/>
      <c r="B3388" s="10"/>
      <c r="C3388" s="10"/>
      <c r="D3388" s="12"/>
      <c r="E3388" s="10"/>
      <c r="F3388" s="10"/>
      <c r="G3388" s="10"/>
    </row>
    <row r="3389" spans="1:7" x14ac:dyDescent="0.25">
      <c r="A3389" s="10"/>
      <c r="B3389" s="10"/>
      <c r="C3389" s="10"/>
      <c r="D3389" s="12"/>
      <c r="E3389" s="10"/>
      <c r="F3389" s="10"/>
      <c r="G3389" s="10"/>
    </row>
    <row r="3390" spans="1:7" x14ac:dyDescent="0.25">
      <c r="A3390" s="10"/>
      <c r="B3390" s="10"/>
      <c r="C3390" s="10"/>
      <c r="D3390" s="12"/>
      <c r="E3390" s="10"/>
      <c r="F3390" s="10"/>
      <c r="G3390" s="10"/>
    </row>
    <row r="3391" spans="1:7" x14ac:dyDescent="0.25">
      <c r="A3391" s="10"/>
      <c r="B3391" s="10"/>
      <c r="C3391" s="10"/>
      <c r="D3391" s="12"/>
      <c r="E3391" s="10"/>
      <c r="F3391" s="10"/>
      <c r="G3391" s="10"/>
    </row>
    <row r="3392" spans="1:7" x14ac:dyDescent="0.25">
      <c r="A3392" s="10"/>
      <c r="B3392" s="10"/>
      <c r="C3392" s="10"/>
      <c r="D3392" s="12"/>
      <c r="E3392" s="10"/>
      <c r="F3392" s="10"/>
      <c r="G3392" s="10"/>
    </row>
    <row r="3393" spans="1:7" x14ac:dyDescent="0.25">
      <c r="A3393" s="10"/>
      <c r="B3393" s="10"/>
      <c r="C3393" s="10"/>
      <c r="D3393" s="12"/>
      <c r="E3393" s="10"/>
      <c r="F3393" s="10"/>
      <c r="G3393" s="10"/>
    </row>
    <row r="3394" spans="1:7" x14ac:dyDescent="0.25">
      <c r="A3394" s="10"/>
      <c r="B3394" s="10"/>
      <c r="C3394" s="10"/>
      <c r="D3394" s="12"/>
      <c r="E3394" s="10"/>
      <c r="F3394" s="10"/>
      <c r="G3394" s="10"/>
    </row>
    <row r="3395" spans="1:7" x14ac:dyDescent="0.25">
      <c r="A3395" s="10"/>
      <c r="B3395" s="10"/>
      <c r="C3395" s="10"/>
      <c r="D3395" s="12"/>
      <c r="E3395" s="10"/>
      <c r="F3395" s="10"/>
      <c r="G3395" s="10"/>
    </row>
    <row r="3396" spans="1:7" x14ac:dyDescent="0.25">
      <c r="A3396" s="10"/>
      <c r="B3396" s="10"/>
      <c r="C3396" s="10"/>
      <c r="D3396" s="12"/>
      <c r="E3396" s="10"/>
      <c r="F3396" s="10"/>
      <c r="G3396" s="10"/>
    </row>
    <row r="3397" spans="1:7" x14ac:dyDescent="0.25">
      <c r="A3397" s="10"/>
      <c r="B3397" s="10"/>
      <c r="C3397" s="10"/>
      <c r="D3397" s="12"/>
      <c r="E3397" s="10"/>
      <c r="F3397" s="10"/>
      <c r="G3397" s="10"/>
    </row>
    <row r="3398" spans="1:7" x14ac:dyDescent="0.25">
      <c r="A3398" s="10"/>
      <c r="B3398" s="10"/>
      <c r="C3398" s="10"/>
      <c r="D3398" s="12"/>
      <c r="E3398" s="10"/>
      <c r="F3398" s="10"/>
      <c r="G3398" s="10"/>
    </row>
    <row r="3399" spans="1:7" x14ac:dyDescent="0.25">
      <c r="A3399" s="10"/>
      <c r="B3399" s="10"/>
      <c r="C3399" s="10"/>
      <c r="D3399" s="12"/>
      <c r="E3399" s="10"/>
      <c r="F3399" s="10"/>
      <c r="G3399" s="10"/>
    </row>
    <row r="3400" spans="1:7" x14ac:dyDescent="0.25">
      <c r="A3400" s="10"/>
      <c r="B3400" s="10"/>
      <c r="C3400" s="10"/>
      <c r="D3400" s="12"/>
      <c r="E3400" s="10"/>
      <c r="F3400" s="10"/>
      <c r="G3400" s="10"/>
    </row>
    <row r="3401" spans="1:7" x14ac:dyDescent="0.25">
      <c r="A3401" s="10"/>
      <c r="B3401" s="10"/>
      <c r="C3401" s="10"/>
      <c r="D3401" s="12"/>
      <c r="E3401" s="10"/>
      <c r="F3401" s="10"/>
      <c r="G3401" s="10"/>
    </row>
    <row r="3402" spans="1:7" x14ac:dyDescent="0.25">
      <c r="A3402" s="10"/>
      <c r="B3402" s="10"/>
      <c r="C3402" s="10"/>
      <c r="D3402" s="12"/>
      <c r="E3402" s="10"/>
      <c r="F3402" s="10"/>
      <c r="G3402" s="10"/>
    </row>
    <row r="3403" spans="1:7" x14ac:dyDescent="0.25">
      <c r="A3403" s="10"/>
      <c r="B3403" s="10"/>
      <c r="C3403" s="10"/>
      <c r="D3403" s="12"/>
      <c r="E3403" s="10"/>
      <c r="F3403" s="10"/>
      <c r="G3403" s="10"/>
    </row>
    <row r="3404" spans="1:7" x14ac:dyDescent="0.25">
      <c r="A3404" s="10"/>
      <c r="B3404" s="10"/>
      <c r="C3404" s="10"/>
      <c r="D3404" s="12"/>
      <c r="E3404" s="10"/>
      <c r="F3404" s="10"/>
      <c r="G3404" s="10"/>
    </row>
    <row r="3405" spans="1:7" x14ac:dyDescent="0.25">
      <c r="A3405" s="10"/>
      <c r="B3405" s="10"/>
      <c r="C3405" s="10"/>
      <c r="D3405" s="12"/>
      <c r="E3405" s="10"/>
      <c r="F3405" s="10"/>
      <c r="G3405" s="10"/>
    </row>
    <row r="3406" spans="1:7" x14ac:dyDescent="0.25">
      <c r="A3406" s="10"/>
      <c r="B3406" s="10"/>
      <c r="C3406" s="10"/>
      <c r="D3406" s="12"/>
      <c r="E3406" s="10"/>
      <c r="F3406" s="10"/>
      <c r="G3406" s="10"/>
    </row>
    <row r="3407" spans="1:7" x14ac:dyDescent="0.25">
      <c r="A3407" s="10"/>
      <c r="B3407" s="10"/>
      <c r="C3407" s="10"/>
      <c r="D3407" s="12"/>
      <c r="E3407" s="10"/>
      <c r="F3407" s="10"/>
      <c r="G3407" s="10"/>
    </row>
    <row r="3408" spans="1:7" x14ac:dyDescent="0.25">
      <c r="A3408" s="10"/>
      <c r="B3408" s="10"/>
      <c r="C3408" s="10"/>
      <c r="D3408" s="12"/>
      <c r="E3408" s="10"/>
      <c r="F3408" s="10"/>
      <c r="G3408" s="10"/>
    </row>
    <row r="3409" spans="1:7" x14ac:dyDescent="0.25">
      <c r="A3409" s="10"/>
      <c r="B3409" s="10"/>
      <c r="C3409" s="10"/>
      <c r="D3409" s="12"/>
      <c r="E3409" s="10"/>
      <c r="F3409" s="10"/>
      <c r="G3409" s="10"/>
    </row>
    <row r="3410" spans="1:7" x14ac:dyDescent="0.25">
      <c r="A3410" s="10"/>
      <c r="B3410" s="10"/>
      <c r="C3410" s="10"/>
      <c r="D3410" s="12"/>
      <c r="E3410" s="10"/>
      <c r="F3410" s="10"/>
      <c r="G3410" s="10"/>
    </row>
    <row r="3411" spans="1:7" x14ac:dyDescent="0.25">
      <c r="A3411" s="10"/>
      <c r="B3411" s="10"/>
      <c r="C3411" s="10"/>
      <c r="D3411" s="12"/>
      <c r="E3411" s="10"/>
      <c r="F3411" s="10"/>
      <c r="G3411" s="10"/>
    </row>
    <row r="3412" spans="1:7" x14ac:dyDescent="0.25">
      <c r="A3412" s="10"/>
      <c r="B3412" s="10"/>
      <c r="C3412" s="10"/>
      <c r="D3412" s="12"/>
      <c r="E3412" s="10"/>
      <c r="F3412" s="10"/>
      <c r="G3412" s="10"/>
    </row>
    <row r="3413" spans="1:7" x14ac:dyDescent="0.25">
      <c r="A3413" s="10"/>
      <c r="B3413" s="10"/>
      <c r="C3413" s="10"/>
      <c r="D3413" s="12"/>
      <c r="E3413" s="10"/>
      <c r="F3413" s="10"/>
      <c r="G3413" s="10"/>
    </row>
    <row r="3414" spans="1:7" x14ac:dyDescent="0.25">
      <c r="A3414" s="10"/>
      <c r="B3414" s="10"/>
      <c r="C3414" s="10"/>
      <c r="D3414" s="12"/>
      <c r="E3414" s="10"/>
      <c r="F3414" s="10"/>
      <c r="G3414" s="10"/>
    </row>
    <row r="3415" spans="1:7" x14ac:dyDescent="0.25">
      <c r="A3415" s="10"/>
      <c r="B3415" s="10"/>
      <c r="C3415" s="10"/>
      <c r="D3415" s="12"/>
      <c r="E3415" s="10"/>
      <c r="F3415" s="10"/>
      <c r="G3415" s="10"/>
    </row>
    <row r="3416" spans="1:7" x14ac:dyDescent="0.25">
      <c r="A3416" s="10"/>
      <c r="B3416" s="10"/>
      <c r="C3416" s="10"/>
      <c r="D3416" s="12"/>
      <c r="E3416" s="10"/>
      <c r="F3416" s="10"/>
      <c r="G3416" s="10"/>
    </row>
    <row r="3417" spans="1:7" x14ac:dyDescent="0.25">
      <c r="A3417" s="10"/>
      <c r="B3417" s="10"/>
      <c r="C3417" s="10"/>
      <c r="D3417" s="12"/>
      <c r="E3417" s="10"/>
      <c r="F3417" s="10"/>
      <c r="G3417" s="10"/>
    </row>
    <row r="3418" spans="1:7" x14ac:dyDescent="0.25">
      <c r="A3418" s="10"/>
      <c r="B3418" s="10"/>
      <c r="C3418" s="10"/>
      <c r="D3418" s="12"/>
      <c r="E3418" s="10"/>
      <c r="F3418" s="10"/>
      <c r="G3418" s="10"/>
    </row>
    <row r="3419" spans="1:7" x14ac:dyDescent="0.25">
      <c r="A3419" s="10"/>
      <c r="B3419" s="10"/>
      <c r="C3419" s="10"/>
      <c r="D3419" s="12"/>
      <c r="E3419" s="10"/>
      <c r="F3419" s="10"/>
      <c r="G3419" s="10"/>
    </row>
    <row r="3420" spans="1:7" x14ac:dyDescent="0.25">
      <c r="A3420" s="10"/>
      <c r="B3420" s="10"/>
      <c r="C3420" s="10"/>
      <c r="D3420" s="12"/>
      <c r="E3420" s="10"/>
      <c r="F3420" s="10"/>
      <c r="G3420" s="10"/>
    </row>
    <row r="3421" spans="1:7" x14ac:dyDescent="0.25">
      <c r="A3421" s="10"/>
      <c r="B3421" s="10"/>
      <c r="C3421" s="10"/>
      <c r="D3421" s="12"/>
      <c r="E3421" s="10"/>
      <c r="F3421" s="10"/>
      <c r="G3421" s="10"/>
    </row>
    <row r="3422" spans="1:7" x14ac:dyDescent="0.25">
      <c r="A3422" s="10"/>
      <c r="B3422" s="10"/>
      <c r="C3422" s="10"/>
      <c r="D3422" s="12"/>
      <c r="E3422" s="10"/>
      <c r="F3422" s="10"/>
      <c r="G3422" s="10"/>
    </row>
    <row r="3423" spans="1:7" x14ac:dyDescent="0.25">
      <c r="A3423" s="10"/>
      <c r="B3423" s="10"/>
      <c r="C3423" s="10"/>
      <c r="D3423" s="12"/>
      <c r="E3423" s="10"/>
      <c r="F3423" s="10"/>
      <c r="G3423" s="10"/>
    </row>
    <row r="3424" spans="1:7" x14ac:dyDescent="0.25">
      <c r="A3424" s="10"/>
      <c r="B3424" s="10"/>
      <c r="C3424" s="10"/>
      <c r="D3424" s="12"/>
      <c r="E3424" s="10"/>
      <c r="F3424" s="10"/>
      <c r="G3424" s="10"/>
    </row>
    <row r="3425" spans="1:7" x14ac:dyDescent="0.25">
      <c r="A3425" s="10"/>
      <c r="B3425" s="10"/>
      <c r="C3425" s="10"/>
      <c r="D3425" s="12"/>
      <c r="E3425" s="10"/>
      <c r="F3425" s="10"/>
      <c r="G3425" s="10"/>
    </row>
    <row r="3426" spans="1:7" x14ac:dyDescent="0.25">
      <c r="A3426" s="10"/>
      <c r="B3426" s="10"/>
      <c r="C3426" s="10"/>
      <c r="D3426" s="12"/>
      <c r="E3426" s="10"/>
      <c r="F3426" s="10"/>
      <c r="G3426" s="10"/>
    </row>
    <row r="3427" spans="1:7" x14ac:dyDescent="0.25">
      <c r="A3427" s="10"/>
      <c r="B3427" s="10"/>
      <c r="C3427" s="10"/>
      <c r="D3427" s="12"/>
      <c r="E3427" s="10"/>
      <c r="F3427" s="10"/>
      <c r="G3427" s="10"/>
    </row>
    <row r="3428" spans="1:7" x14ac:dyDescent="0.25">
      <c r="A3428" s="10"/>
      <c r="B3428" s="10"/>
      <c r="C3428" s="10"/>
      <c r="D3428" s="12"/>
      <c r="E3428" s="10"/>
      <c r="F3428" s="10"/>
      <c r="G3428" s="10"/>
    </row>
    <row r="3429" spans="1:7" x14ac:dyDescent="0.25">
      <c r="A3429" s="10"/>
      <c r="B3429" s="10"/>
      <c r="C3429" s="10"/>
      <c r="D3429" s="12"/>
      <c r="E3429" s="10"/>
      <c r="F3429" s="10"/>
      <c r="G3429" s="10"/>
    </row>
    <row r="3430" spans="1:7" x14ac:dyDescent="0.25">
      <c r="A3430" s="10"/>
      <c r="B3430" s="10"/>
      <c r="C3430" s="10"/>
      <c r="D3430" s="12"/>
      <c r="E3430" s="10"/>
      <c r="F3430" s="10"/>
      <c r="G3430" s="10"/>
    </row>
    <row r="3431" spans="1:7" x14ac:dyDescent="0.25">
      <c r="A3431" s="10"/>
      <c r="B3431" s="10"/>
      <c r="C3431" s="10"/>
      <c r="D3431" s="12"/>
      <c r="E3431" s="10"/>
      <c r="F3431" s="10"/>
      <c r="G3431" s="10"/>
    </row>
    <row r="3432" spans="1:7" x14ac:dyDescent="0.25">
      <c r="A3432" s="10"/>
      <c r="B3432" s="10"/>
      <c r="C3432" s="10"/>
      <c r="D3432" s="12"/>
      <c r="E3432" s="10"/>
      <c r="F3432" s="10"/>
      <c r="G3432" s="10"/>
    </row>
    <row r="3433" spans="1:7" x14ac:dyDescent="0.25">
      <c r="A3433" s="10"/>
      <c r="B3433" s="10"/>
      <c r="C3433" s="10"/>
      <c r="D3433" s="12"/>
      <c r="E3433" s="10"/>
      <c r="F3433" s="10"/>
      <c r="G3433" s="10"/>
    </row>
    <row r="3434" spans="1:7" x14ac:dyDescent="0.25">
      <c r="A3434" s="10"/>
      <c r="B3434" s="10"/>
      <c r="C3434" s="10"/>
      <c r="D3434" s="12"/>
      <c r="E3434" s="10"/>
      <c r="F3434" s="10"/>
      <c r="G3434" s="10"/>
    </row>
    <row r="3435" spans="1:7" x14ac:dyDescent="0.25">
      <c r="A3435" s="10"/>
      <c r="B3435" s="10"/>
      <c r="C3435" s="10"/>
      <c r="D3435" s="12"/>
      <c r="E3435" s="10"/>
      <c r="F3435" s="10"/>
      <c r="G3435" s="10"/>
    </row>
    <row r="3436" spans="1:7" x14ac:dyDescent="0.25">
      <c r="A3436" s="10"/>
      <c r="B3436" s="10"/>
      <c r="C3436" s="10"/>
      <c r="D3436" s="12"/>
      <c r="E3436" s="10"/>
      <c r="F3436" s="10"/>
      <c r="G3436" s="10"/>
    </row>
    <row r="3437" spans="1:7" x14ac:dyDescent="0.25">
      <c r="A3437" s="10"/>
      <c r="B3437" s="10"/>
      <c r="C3437" s="10"/>
      <c r="D3437" s="12"/>
      <c r="E3437" s="10"/>
      <c r="F3437" s="10"/>
      <c r="G3437" s="10"/>
    </row>
    <row r="3438" spans="1:7" x14ac:dyDescent="0.25">
      <c r="A3438" s="10"/>
      <c r="B3438" s="10"/>
      <c r="C3438" s="10"/>
      <c r="D3438" s="12"/>
      <c r="E3438" s="10"/>
      <c r="F3438" s="10"/>
      <c r="G3438" s="10"/>
    </row>
    <row r="3439" spans="1:7" x14ac:dyDescent="0.25">
      <c r="A3439" s="10"/>
      <c r="B3439" s="10"/>
      <c r="C3439" s="10"/>
      <c r="D3439" s="12"/>
      <c r="E3439" s="10"/>
      <c r="F3439" s="10"/>
      <c r="G3439" s="10"/>
    </row>
    <row r="3440" spans="1:7" x14ac:dyDescent="0.25">
      <c r="A3440" s="10"/>
      <c r="B3440" s="10"/>
      <c r="C3440" s="10"/>
      <c r="D3440" s="12"/>
      <c r="E3440" s="10"/>
      <c r="F3440" s="10"/>
      <c r="G3440" s="10"/>
    </row>
    <row r="3441" spans="1:7" x14ac:dyDescent="0.25">
      <c r="A3441" s="10"/>
      <c r="B3441" s="10"/>
      <c r="C3441" s="10"/>
      <c r="D3441" s="12"/>
      <c r="E3441" s="10"/>
      <c r="F3441" s="10"/>
      <c r="G3441" s="10"/>
    </row>
    <row r="3442" spans="1:7" x14ac:dyDescent="0.25">
      <c r="A3442" s="10"/>
      <c r="B3442" s="10"/>
      <c r="C3442" s="10"/>
      <c r="D3442" s="12"/>
      <c r="E3442" s="10"/>
      <c r="F3442" s="10"/>
      <c r="G3442" s="10"/>
    </row>
    <row r="3443" spans="1:7" x14ac:dyDescent="0.25">
      <c r="A3443" s="10"/>
      <c r="B3443" s="10"/>
      <c r="C3443" s="10"/>
      <c r="D3443" s="12"/>
      <c r="E3443" s="10"/>
      <c r="F3443" s="10"/>
      <c r="G3443" s="10"/>
    </row>
    <row r="3444" spans="1:7" x14ac:dyDescent="0.25">
      <c r="A3444" s="10"/>
      <c r="B3444" s="10"/>
      <c r="C3444" s="10"/>
      <c r="D3444" s="12"/>
      <c r="E3444" s="10"/>
      <c r="F3444" s="10"/>
      <c r="G3444" s="10"/>
    </row>
    <row r="3445" spans="1:7" x14ac:dyDescent="0.25">
      <c r="A3445" s="10"/>
      <c r="B3445" s="10"/>
      <c r="C3445" s="10"/>
      <c r="D3445" s="12"/>
      <c r="E3445" s="10"/>
      <c r="F3445" s="10"/>
      <c r="G3445" s="10"/>
    </row>
    <row r="3446" spans="1:7" x14ac:dyDescent="0.25">
      <c r="A3446" s="10"/>
      <c r="B3446" s="10"/>
      <c r="C3446" s="10"/>
      <c r="D3446" s="12"/>
      <c r="E3446" s="10"/>
      <c r="F3446" s="10"/>
      <c r="G3446" s="10"/>
    </row>
    <row r="3447" spans="1:7" x14ac:dyDescent="0.25">
      <c r="A3447" s="10"/>
      <c r="B3447" s="10"/>
      <c r="C3447" s="10"/>
      <c r="D3447" s="12"/>
      <c r="E3447" s="10"/>
      <c r="F3447" s="10"/>
      <c r="G3447" s="10"/>
    </row>
    <row r="3448" spans="1:7" x14ac:dyDescent="0.25">
      <c r="A3448" s="10"/>
      <c r="B3448" s="10"/>
      <c r="C3448" s="10"/>
      <c r="D3448" s="12"/>
      <c r="E3448" s="10"/>
      <c r="F3448" s="10"/>
      <c r="G3448" s="10"/>
    </row>
    <row r="3449" spans="1:7" x14ac:dyDescent="0.25">
      <c r="A3449" s="10"/>
      <c r="B3449" s="10"/>
      <c r="C3449" s="10"/>
      <c r="D3449" s="12"/>
      <c r="E3449" s="10"/>
      <c r="F3449" s="10"/>
      <c r="G3449" s="10"/>
    </row>
    <row r="3450" spans="1:7" x14ac:dyDescent="0.25">
      <c r="A3450" s="10"/>
      <c r="B3450" s="10"/>
      <c r="C3450" s="10"/>
      <c r="D3450" s="12"/>
      <c r="E3450" s="10"/>
      <c r="F3450" s="10"/>
      <c r="G3450" s="10"/>
    </row>
    <row r="3451" spans="1:7" x14ac:dyDescent="0.25">
      <c r="A3451" s="10"/>
      <c r="B3451" s="10"/>
      <c r="C3451" s="10"/>
      <c r="D3451" s="12"/>
      <c r="E3451" s="10"/>
      <c r="F3451" s="10"/>
      <c r="G3451" s="10"/>
    </row>
    <row r="3452" spans="1:7" x14ac:dyDescent="0.25">
      <c r="A3452" s="10"/>
      <c r="B3452" s="10"/>
      <c r="C3452" s="10"/>
      <c r="D3452" s="12"/>
      <c r="E3452" s="10"/>
      <c r="F3452" s="10"/>
      <c r="G3452" s="10"/>
    </row>
    <row r="3453" spans="1:7" x14ac:dyDescent="0.25">
      <c r="A3453" s="10"/>
      <c r="B3453" s="10"/>
      <c r="C3453" s="10"/>
      <c r="D3453" s="12"/>
      <c r="E3453" s="10"/>
      <c r="F3453" s="10"/>
      <c r="G3453" s="10"/>
    </row>
    <row r="3454" spans="1:7" x14ac:dyDescent="0.25">
      <c r="A3454" s="10"/>
      <c r="B3454" s="10"/>
      <c r="C3454" s="10"/>
      <c r="D3454" s="12"/>
      <c r="E3454" s="10"/>
      <c r="F3454" s="10"/>
      <c r="G3454" s="10"/>
    </row>
    <row r="3455" spans="1:7" x14ac:dyDescent="0.25">
      <c r="A3455" s="10"/>
      <c r="B3455" s="10"/>
      <c r="C3455" s="10"/>
      <c r="D3455" s="12"/>
      <c r="E3455" s="10"/>
      <c r="F3455" s="10"/>
      <c r="G3455" s="10"/>
    </row>
    <row r="3456" spans="1:7" x14ac:dyDescent="0.25">
      <c r="A3456" s="10"/>
      <c r="B3456" s="10"/>
      <c r="C3456" s="10"/>
      <c r="D3456" s="12"/>
      <c r="E3456" s="10"/>
      <c r="F3456" s="10"/>
      <c r="G3456" s="10"/>
    </row>
    <row r="3457" spans="1:7" x14ac:dyDescent="0.25">
      <c r="A3457" s="10"/>
      <c r="B3457" s="10"/>
      <c r="C3457" s="10"/>
      <c r="D3457" s="12"/>
      <c r="E3457" s="10"/>
      <c r="F3457" s="10"/>
      <c r="G3457" s="10"/>
    </row>
    <row r="3458" spans="1:7" x14ac:dyDescent="0.25">
      <c r="A3458" s="10"/>
      <c r="B3458" s="10"/>
      <c r="C3458" s="10"/>
      <c r="D3458" s="12"/>
      <c r="E3458" s="10"/>
      <c r="F3458" s="10"/>
      <c r="G3458" s="10"/>
    </row>
    <row r="3459" spans="1:7" x14ac:dyDescent="0.25">
      <c r="A3459" s="10"/>
      <c r="B3459" s="10"/>
      <c r="C3459" s="10"/>
      <c r="D3459" s="12"/>
      <c r="E3459" s="10"/>
      <c r="F3459" s="10"/>
      <c r="G3459" s="10"/>
    </row>
    <row r="3460" spans="1:7" x14ac:dyDescent="0.25">
      <c r="A3460" s="10"/>
      <c r="B3460" s="10"/>
      <c r="C3460" s="10"/>
      <c r="D3460" s="12"/>
      <c r="E3460" s="10"/>
      <c r="F3460" s="10"/>
      <c r="G3460" s="10"/>
    </row>
    <row r="3461" spans="1:7" x14ac:dyDescent="0.25">
      <c r="A3461" s="10"/>
      <c r="B3461" s="10"/>
      <c r="C3461" s="10"/>
      <c r="D3461" s="12"/>
      <c r="E3461" s="10"/>
      <c r="F3461" s="10"/>
      <c r="G3461" s="10"/>
    </row>
    <row r="3462" spans="1:7" x14ac:dyDescent="0.25">
      <c r="A3462" s="10"/>
      <c r="B3462" s="10"/>
      <c r="C3462" s="10"/>
      <c r="D3462" s="12"/>
      <c r="E3462" s="10"/>
      <c r="F3462" s="10"/>
      <c r="G3462" s="10"/>
    </row>
    <row r="3463" spans="1:7" x14ac:dyDescent="0.25">
      <c r="A3463" s="10"/>
      <c r="B3463" s="10"/>
      <c r="C3463" s="10"/>
      <c r="D3463" s="12"/>
      <c r="E3463" s="10"/>
      <c r="F3463" s="10"/>
      <c r="G3463" s="10"/>
    </row>
    <row r="3464" spans="1:7" x14ac:dyDescent="0.25">
      <c r="A3464" s="10"/>
      <c r="B3464" s="10"/>
      <c r="C3464" s="10"/>
      <c r="D3464" s="12"/>
      <c r="E3464" s="10"/>
      <c r="F3464" s="10"/>
      <c r="G3464" s="10"/>
    </row>
    <row r="3465" spans="1:7" x14ac:dyDescent="0.25">
      <c r="A3465" s="10"/>
      <c r="B3465" s="10"/>
      <c r="C3465" s="10"/>
      <c r="D3465" s="12"/>
      <c r="E3465" s="10"/>
      <c r="F3465" s="10"/>
      <c r="G3465" s="10"/>
    </row>
    <row r="3466" spans="1:7" x14ac:dyDescent="0.25">
      <c r="A3466" s="10"/>
      <c r="B3466" s="10"/>
      <c r="C3466" s="10"/>
      <c r="D3466" s="12"/>
      <c r="E3466" s="10"/>
      <c r="F3466" s="10"/>
      <c r="G3466" s="10"/>
    </row>
    <row r="3467" spans="1:7" x14ac:dyDescent="0.25">
      <c r="A3467" s="10"/>
      <c r="B3467" s="10"/>
      <c r="C3467" s="10"/>
      <c r="D3467" s="12"/>
      <c r="E3467" s="10"/>
      <c r="F3467" s="10"/>
      <c r="G3467" s="10"/>
    </row>
    <row r="3468" spans="1:7" x14ac:dyDescent="0.25">
      <c r="A3468" s="10"/>
      <c r="B3468" s="10"/>
      <c r="C3468" s="10"/>
      <c r="D3468" s="12"/>
      <c r="E3468" s="10"/>
      <c r="F3468" s="10"/>
      <c r="G3468" s="10"/>
    </row>
    <row r="3469" spans="1:7" x14ac:dyDescent="0.25">
      <c r="A3469" s="10"/>
      <c r="B3469" s="10"/>
      <c r="C3469" s="10"/>
      <c r="D3469" s="12"/>
      <c r="E3469" s="10"/>
      <c r="F3469" s="10"/>
      <c r="G3469" s="10"/>
    </row>
    <row r="3470" spans="1:7" x14ac:dyDescent="0.25">
      <c r="A3470" s="10"/>
      <c r="B3470" s="10"/>
      <c r="C3470" s="10"/>
      <c r="D3470" s="12"/>
      <c r="E3470" s="10"/>
      <c r="F3470" s="10"/>
      <c r="G3470" s="10"/>
    </row>
    <row r="3471" spans="1:7" x14ac:dyDescent="0.25">
      <c r="A3471" s="10"/>
      <c r="B3471" s="10"/>
      <c r="C3471" s="10"/>
      <c r="D3471" s="12"/>
      <c r="E3471" s="10"/>
      <c r="F3471" s="10"/>
      <c r="G3471" s="10"/>
    </row>
    <row r="3472" spans="1:7" x14ac:dyDescent="0.25">
      <c r="A3472" s="10"/>
      <c r="B3472" s="10"/>
      <c r="C3472" s="10"/>
      <c r="D3472" s="12"/>
      <c r="E3472" s="10"/>
      <c r="F3472" s="10"/>
      <c r="G3472" s="10"/>
    </row>
    <row r="3473" spans="1:7" x14ac:dyDescent="0.25">
      <c r="A3473" s="10"/>
      <c r="B3473" s="10"/>
      <c r="C3473" s="10"/>
      <c r="D3473" s="12"/>
      <c r="E3473" s="10"/>
      <c r="F3473" s="10"/>
      <c r="G3473" s="10"/>
    </row>
    <row r="3474" spans="1:7" x14ac:dyDescent="0.25">
      <c r="A3474" s="10"/>
      <c r="B3474" s="10"/>
      <c r="C3474" s="10"/>
      <c r="D3474" s="12"/>
      <c r="E3474" s="10"/>
      <c r="F3474" s="10"/>
      <c r="G3474" s="10"/>
    </row>
    <row r="3475" spans="1:7" x14ac:dyDescent="0.25">
      <c r="A3475" s="10"/>
      <c r="B3475" s="10"/>
      <c r="C3475" s="10"/>
      <c r="D3475" s="12"/>
      <c r="E3475" s="10"/>
      <c r="F3475" s="10"/>
      <c r="G3475" s="10"/>
    </row>
    <row r="3476" spans="1:7" x14ac:dyDescent="0.25">
      <c r="A3476" s="10"/>
      <c r="B3476" s="10"/>
      <c r="C3476" s="10"/>
      <c r="D3476" s="12"/>
      <c r="E3476" s="10"/>
      <c r="F3476" s="10"/>
      <c r="G3476" s="10"/>
    </row>
    <row r="3477" spans="1:7" x14ac:dyDescent="0.25">
      <c r="A3477" s="10"/>
      <c r="B3477" s="10"/>
      <c r="C3477" s="10"/>
      <c r="D3477" s="12"/>
      <c r="E3477" s="10"/>
      <c r="F3477" s="10"/>
      <c r="G3477" s="10"/>
    </row>
    <row r="3478" spans="1:7" x14ac:dyDescent="0.25">
      <c r="A3478" s="10"/>
      <c r="B3478" s="10"/>
      <c r="C3478" s="10"/>
      <c r="D3478" s="12"/>
      <c r="E3478" s="10"/>
      <c r="F3478" s="10"/>
      <c r="G3478" s="10"/>
    </row>
    <row r="3479" spans="1:7" x14ac:dyDescent="0.25">
      <c r="A3479" s="10"/>
      <c r="B3479" s="10"/>
      <c r="C3479" s="10"/>
      <c r="D3479" s="12"/>
      <c r="E3479" s="10"/>
      <c r="F3479" s="10"/>
      <c r="G3479" s="10"/>
    </row>
    <row r="3480" spans="1:7" x14ac:dyDescent="0.25">
      <c r="A3480" s="10"/>
      <c r="B3480" s="10"/>
      <c r="C3480" s="10"/>
      <c r="D3480" s="12"/>
      <c r="E3480" s="10"/>
      <c r="F3480" s="10"/>
      <c r="G3480" s="10"/>
    </row>
    <row r="3481" spans="1:7" x14ac:dyDescent="0.25">
      <c r="A3481" s="10"/>
      <c r="B3481" s="10"/>
      <c r="C3481" s="10"/>
      <c r="D3481" s="12"/>
      <c r="E3481" s="10"/>
      <c r="F3481" s="10"/>
      <c r="G3481" s="10"/>
    </row>
    <row r="3482" spans="1:7" x14ac:dyDescent="0.25">
      <c r="A3482" s="10"/>
      <c r="B3482" s="10"/>
      <c r="C3482" s="10"/>
      <c r="D3482" s="12"/>
      <c r="E3482" s="10"/>
      <c r="F3482" s="10"/>
      <c r="G3482" s="10"/>
    </row>
    <row r="3483" spans="1:7" x14ac:dyDescent="0.25">
      <c r="A3483" s="10"/>
      <c r="B3483" s="10"/>
      <c r="C3483" s="10"/>
      <c r="D3483" s="12"/>
      <c r="E3483" s="10"/>
      <c r="F3483" s="10"/>
      <c r="G3483" s="10"/>
    </row>
    <row r="3484" spans="1:7" x14ac:dyDescent="0.25">
      <c r="A3484" s="10"/>
      <c r="B3484" s="10"/>
      <c r="C3484" s="10"/>
      <c r="D3484" s="12"/>
      <c r="E3484" s="10"/>
      <c r="F3484" s="10"/>
      <c r="G3484" s="10"/>
    </row>
    <row r="3485" spans="1:7" x14ac:dyDescent="0.25">
      <c r="A3485" s="10"/>
      <c r="B3485" s="10"/>
      <c r="C3485" s="10"/>
      <c r="D3485" s="12"/>
      <c r="E3485" s="10"/>
      <c r="F3485" s="10"/>
      <c r="G3485" s="10"/>
    </row>
    <row r="3486" spans="1:7" x14ac:dyDescent="0.25">
      <c r="A3486" s="10"/>
      <c r="B3486" s="10"/>
      <c r="C3486" s="10"/>
      <c r="D3486" s="12"/>
      <c r="E3486" s="10"/>
      <c r="F3486" s="10"/>
      <c r="G3486" s="10"/>
    </row>
    <row r="3487" spans="1:7" x14ac:dyDescent="0.25">
      <c r="A3487" s="10"/>
      <c r="B3487" s="10"/>
      <c r="C3487" s="10"/>
      <c r="D3487" s="12"/>
      <c r="E3487" s="10"/>
      <c r="F3487" s="10"/>
      <c r="G3487" s="10"/>
    </row>
    <row r="3488" spans="1:7" x14ac:dyDescent="0.25">
      <c r="A3488" s="10"/>
      <c r="B3488" s="10"/>
      <c r="C3488" s="10"/>
      <c r="D3488" s="12"/>
      <c r="E3488" s="10"/>
      <c r="F3488" s="10"/>
      <c r="G3488" s="10"/>
    </row>
    <row r="3489" spans="1:7" x14ac:dyDescent="0.25">
      <c r="A3489" s="10"/>
      <c r="B3489" s="10"/>
      <c r="C3489" s="10"/>
      <c r="D3489" s="12"/>
      <c r="E3489" s="10"/>
      <c r="F3489" s="10"/>
      <c r="G3489" s="10"/>
    </row>
    <row r="3490" spans="1:7" x14ac:dyDescent="0.25">
      <c r="A3490" s="10"/>
      <c r="B3490" s="10"/>
      <c r="C3490" s="10"/>
      <c r="D3490" s="12"/>
      <c r="E3490" s="10"/>
      <c r="F3490" s="10"/>
      <c r="G3490" s="10"/>
    </row>
    <row r="3491" spans="1:7" x14ac:dyDescent="0.25">
      <c r="A3491" s="10"/>
      <c r="B3491" s="10"/>
      <c r="C3491" s="10"/>
      <c r="D3491" s="12"/>
      <c r="E3491" s="10"/>
      <c r="F3491" s="10"/>
      <c r="G3491" s="10"/>
    </row>
    <row r="3492" spans="1:7" x14ac:dyDescent="0.25">
      <c r="A3492" s="10"/>
      <c r="B3492" s="10"/>
      <c r="C3492" s="10"/>
      <c r="D3492" s="12"/>
      <c r="E3492" s="10"/>
      <c r="F3492" s="10"/>
      <c r="G3492" s="10"/>
    </row>
    <row r="3493" spans="1:7" x14ac:dyDescent="0.25">
      <c r="A3493" s="10"/>
      <c r="B3493" s="10"/>
      <c r="C3493" s="10"/>
      <c r="D3493" s="12"/>
      <c r="E3493" s="10"/>
      <c r="F3493" s="10"/>
      <c r="G3493" s="10"/>
    </row>
    <row r="3494" spans="1:7" x14ac:dyDescent="0.25">
      <c r="A3494" s="10"/>
      <c r="B3494" s="10"/>
      <c r="C3494" s="10"/>
      <c r="D3494" s="12"/>
      <c r="E3494" s="10"/>
      <c r="F3494" s="10"/>
      <c r="G3494" s="10"/>
    </row>
    <row r="3495" spans="1:7" x14ac:dyDescent="0.25">
      <c r="A3495" s="10"/>
      <c r="B3495" s="10"/>
      <c r="C3495" s="10"/>
      <c r="D3495" s="12"/>
      <c r="E3495" s="10"/>
      <c r="F3495" s="10"/>
      <c r="G3495" s="10"/>
    </row>
    <row r="3496" spans="1:7" x14ac:dyDescent="0.25">
      <c r="A3496" s="10"/>
      <c r="B3496" s="10"/>
      <c r="C3496" s="10"/>
      <c r="D3496" s="12"/>
      <c r="E3496" s="10"/>
      <c r="F3496" s="10"/>
      <c r="G3496" s="10"/>
    </row>
    <row r="3497" spans="1:7" x14ac:dyDescent="0.25">
      <c r="A3497" s="10"/>
      <c r="B3497" s="10"/>
      <c r="C3497" s="10"/>
      <c r="D3497" s="12"/>
      <c r="E3497" s="10"/>
      <c r="F3497" s="10"/>
      <c r="G3497" s="10"/>
    </row>
    <row r="3498" spans="1:7" x14ac:dyDescent="0.25">
      <c r="A3498" s="10"/>
      <c r="B3498" s="10"/>
      <c r="C3498" s="10"/>
      <c r="D3498" s="12"/>
      <c r="E3498" s="10"/>
      <c r="F3498" s="10"/>
      <c r="G3498" s="10"/>
    </row>
    <row r="3499" spans="1:7" x14ac:dyDescent="0.25">
      <c r="A3499" s="10"/>
      <c r="B3499" s="10"/>
      <c r="C3499" s="10"/>
      <c r="D3499" s="12"/>
      <c r="E3499" s="10"/>
      <c r="F3499" s="10"/>
      <c r="G3499" s="10"/>
    </row>
    <row r="3500" spans="1:7" x14ac:dyDescent="0.25">
      <c r="A3500" s="10"/>
      <c r="B3500" s="10"/>
      <c r="C3500" s="10"/>
      <c r="D3500" s="12"/>
      <c r="E3500" s="10"/>
      <c r="F3500" s="10"/>
      <c r="G3500" s="10"/>
    </row>
    <row r="3501" spans="1:7" x14ac:dyDescent="0.25">
      <c r="A3501" s="10"/>
      <c r="B3501" s="10"/>
      <c r="C3501" s="10"/>
      <c r="D3501" s="12"/>
      <c r="E3501" s="10"/>
      <c r="F3501" s="10"/>
      <c r="G3501" s="10"/>
    </row>
    <row r="3502" spans="1:7" x14ac:dyDescent="0.25">
      <c r="A3502" s="10"/>
      <c r="B3502" s="10"/>
      <c r="C3502" s="10"/>
      <c r="D3502" s="12"/>
      <c r="E3502" s="10"/>
      <c r="F3502" s="10"/>
      <c r="G3502" s="10"/>
    </row>
    <row r="3503" spans="1:7" x14ac:dyDescent="0.25">
      <c r="A3503" s="10"/>
      <c r="B3503" s="10"/>
      <c r="C3503" s="10"/>
      <c r="D3503" s="12"/>
      <c r="E3503" s="10"/>
      <c r="F3503" s="10"/>
      <c r="G3503" s="10"/>
    </row>
    <row r="3504" spans="1:7" x14ac:dyDescent="0.25">
      <c r="A3504" s="10"/>
      <c r="B3504" s="10"/>
      <c r="C3504" s="10"/>
      <c r="D3504" s="12"/>
      <c r="E3504" s="10"/>
      <c r="F3504" s="10"/>
      <c r="G3504" s="10"/>
    </row>
    <row r="3505" spans="1:7" x14ac:dyDescent="0.25">
      <c r="A3505" s="10"/>
      <c r="B3505" s="10"/>
      <c r="C3505" s="10"/>
      <c r="D3505" s="12"/>
      <c r="E3505" s="10"/>
      <c r="F3505" s="10"/>
      <c r="G3505" s="10"/>
    </row>
    <row r="3506" spans="1:7" x14ac:dyDescent="0.25">
      <c r="A3506" s="10"/>
      <c r="B3506" s="10"/>
      <c r="C3506" s="10"/>
      <c r="D3506" s="12"/>
      <c r="E3506" s="10"/>
      <c r="F3506" s="10"/>
      <c r="G3506" s="10"/>
    </row>
    <row r="3507" spans="1:7" x14ac:dyDescent="0.25">
      <c r="A3507" s="10"/>
      <c r="B3507" s="10"/>
      <c r="C3507" s="10"/>
      <c r="D3507" s="12"/>
      <c r="E3507" s="10"/>
      <c r="F3507" s="10"/>
      <c r="G3507" s="10"/>
    </row>
    <row r="3508" spans="1:7" x14ac:dyDescent="0.25">
      <c r="A3508" s="10"/>
      <c r="B3508" s="10"/>
      <c r="C3508" s="10"/>
      <c r="D3508" s="12"/>
      <c r="E3508" s="10"/>
      <c r="F3508" s="10"/>
      <c r="G3508" s="10"/>
    </row>
    <row r="3509" spans="1:7" x14ac:dyDescent="0.25">
      <c r="A3509" s="10"/>
      <c r="B3509" s="10"/>
      <c r="C3509" s="10"/>
      <c r="D3509" s="12"/>
      <c r="E3509" s="10"/>
      <c r="F3509" s="10"/>
      <c r="G3509" s="10"/>
    </row>
    <row r="3510" spans="1:7" x14ac:dyDescent="0.25">
      <c r="A3510" s="10"/>
      <c r="B3510" s="10"/>
      <c r="C3510" s="10"/>
      <c r="D3510" s="12"/>
      <c r="E3510" s="10"/>
      <c r="F3510" s="10"/>
      <c r="G3510" s="10"/>
    </row>
    <row r="3511" spans="1:7" x14ac:dyDescent="0.25">
      <c r="A3511" s="10"/>
      <c r="B3511" s="10"/>
      <c r="C3511" s="10"/>
      <c r="D3511" s="12"/>
      <c r="E3511" s="10"/>
      <c r="F3511" s="10"/>
      <c r="G3511" s="10"/>
    </row>
    <row r="3512" spans="1:7" x14ac:dyDescent="0.25">
      <c r="A3512" s="10"/>
      <c r="B3512" s="10"/>
      <c r="C3512" s="10"/>
      <c r="D3512" s="12"/>
      <c r="E3512" s="10"/>
      <c r="F3512" s="10"/>
      <c r="G3512" s="10"/>
    </row>
    <row r="3513" spans="1:7" x14ac:dyDescent="0.25">
      <c r="A3513" s="10"/>
      <c r="B3513" s="10"/>
      <c r="C3513" s="10"/>
      <c r="D3513" s="12"/>
      <c r="E3513" s="10"/>
      <c r="F3513" s="10"/>
      <c r="G3513" s="10"/>
    </row>
    <row r="3514" spans="1:7" x14ac:dyDescent="0.25">
      <c r="A3514" s="10"/>
      <c r="B3514" s="10"/>
      <c r="C3514" s="10"/>
      <c r="D3514" s="12"/>
      <c r="E3514" s="10"/>
      <c r="F3514" s="10"/>
      <c r="G3514" s="10"/>
    </row>
    <row r="3515" spans="1:7" x14ac:dyDescent="0.25">
      <c r="A3515" s="10"/>
      <c r="B3515" s="10"/>
      <c r="C3515" s="10"/>
      <c r="D3515" s="12"/>
      <c r="E3515" s="10"/>
      <c r="F3515" s="10"/>
      <c r="G3515" s="10"/>
    </row>
    <row r="3516" spans="1:7" x14ac:dyDescent="0.25">
      <c r="A3516" s="10"/>
      <c r="B3516" s="10"/>
      <c r="C3516" s="10"/>
      <c r="D3516" s="12"/>
      <c r="E3516" s="10"/>
      <c r="F3516" s="10"/>
      <c r="G3516" s="10"/>
    </row>
    <row r="3517" spans="1:7" x14ac:dyDescent="0.25">
      <c r="A3517" s="10"/>
      <c r="B3517" s="10"/>
      <c r="C3517" s="10"/>
      <c r="D3517" s="12"/>
      <c r="E3517" s="10"/>
      <c r="F3517" s="10"/>
      <c r="G3517" s="10"/>
    </row>
    <row r="3518" spans="1:7" x14ac:dyDescent="0.25">
      <c r="A3518" s="10"/>
      <c r="B3518" s="10"/>
      <c r="C3518" s="10"/>
      <c r="D3518" s="12"/>
      <c r="E3518" s="10"/>
      <c r="F3518" s="10"/>
      <c r="G3518" s="10"/>
    </row>
    <row r="3519" spans="1:7" x14ac:dyDescent="0.25">
      <c r="A3519" s="10"/>
      <c r="B3519" s="10"/>
      <c r="C3519" s="10"/>
      <c r="D3519" s="12"/>
      <c r="E3519" s="10"/>
      <c r="F3519" s="10"/>
      <c r="G3519" s="10"/>
    </row>
    <row r="3520" spans="1:7" x14ac:dyDescent="0.25">
      <c r="A3520" s="10"/>
      <c r="B3520" s="10"/>
      <c r="C3520" s="10"/>
      <c r="D3520" s="12"/>
      <c r="E3520" s="10"/>
      <c r="F3520" s="10"/>
      <c r="G3520" s="10"/>
    </row>
    <row r="3521" spans="1:7" x14ac:dyDescent="0.25">
      <c r="A3521" s="10"/>
      <c r="B3521" s="10"/>
      <c r="C3521" s="10"/>
      <c r="D3521" s="12"/>
      <c r="E3521" s="10"/>
      <c r="F3521" s="10"/>
      <c r="G3521" s="10"/>
    </row>
    <row r="3522" spans="1:7" x14ac:dyDescent="0.25">
      <c r="A3522" s="10"/>
      <c r="B3522" s="10"/>
      <c r="C3522" s="10"/>
      <c r="D3522" s="12"/>
      <c r="E3522" s="10"/>
      <c r="F3522" s="10"/>
      <c r="G3522" s="10"/>
    </row>
    <row r="3523" spans="1:7" x14ac:dyDescent="0.25">
      <c r="A3523" s="10"/>
      <c r="B3523" s="10"/>
      <c r="C3523" s="10"/>
      <c r="D3523" s="12"/>
      <c r="E3523" s="10"/>
      <c r="F3523" s="10"/>
      <c r="G3523" s="10"/>
    </row>
    <row r="3524" spans="1:7" x14ac:dyDescent="0.25">
      <c r="A3524" s="10"/>
      <c r="B3524" s="10"/>
      <c r="C3524" s="10"/>
      <c r="D3524" s="12"/>
      <c r="E3524" s="10"/>
      <c r="F3524" s="10"/>
      <c r="G3524" s="10"/>
    </row>
    <row r="3525" spans="1:7" x14ac:dyDescent="0.25">
      <c r="A3525" s="10"/>
      <c r="B3525" s="10"/>
      <c r="C3525" s="10"/>
      <c r="D3525" s="12"/>
      <c r="E3525" s="10"/>
      <c r="F3525" s="10"/>
      <c r="G3525" s="10"/>
    </row>
    <row r="3526" spans="1:7" x14ac:dyDescent="0.25">
      <c r="A3526" s="10"/>
      <c r="B3526" s="10"/>
      <c r="C3526" s="10"/>
      <c r="D3526" s="12"/>
      <c r="E3526" s="10"/>
      <c r="F3526" s="10"/>
      <c r="G3526" s="10"/>
    </row>
    <row r="3527" spans="1:7" x14ac:dyDescent="0.25">
      <c r="A3527" s="10"/>
      <c r="B3527" s="10"/>
      <c r="C3527" s="10"/>
      <c r="D3527" s="12"/>
      <c r="E3527" s="10"/>
      <c r="F3527" s="10"/>
      <c r="G3527" s="10"/>
    </row>
    <row r="3528" spans="1:7" x14ac:dyDescent="0.25">
      <c r="A3528" s="10"/>
      <c r="B3528" s="10"/>
      <c r="C3528" s="10"/>
      <c r="D3528" s="12"/>
      <c r="E3528" s="10"/>
      <c r="F3528" s="10"/>
      <c r="G3528" s="10"/>
    </row>
    <row r="3529" spans="1:7" x14ac:dyDescent="0.25">
      <c r="A3529" s="10"/>
      <c r="B3529" s="10"/>
      <c r="C3529" s="10"/>
      <c r="D3529" s="12"/>
      <c r="E3529" s="10"/>
      <c r="F3529" s="10"/>
      <c r="G3529" s="10"/>
    </row>
    <row r="3530" spans="1:7" x14ac:dyDescent="0.25">
      <c r="A3530" s="10"/>
      <c r="B3530" s="10"/>
      <c r="C3530" s="10"/>
      <c r="D3530" s="12"/>
      <c r="E3530" s="10"/>
      <c r="F3530" s="10"/>
      <c r="G3530" s="10"/>
    </row>
    <row r="3531" spans="1:7" x14ac:dyDescent="0.25">
      <c r="A3531" s="10"/>
      <c r="B3531" s="10"/>
      <c r="C3531" s="10"/>
      <c r="D3531" s="12"/>
      <c r="E3531" s="10"/>
      <c r="F3531" s="10"/>
      <c r="G3531" s="10"/>
    </row>
    <row r="3532" spans="1:7" x14ac:dyDescent="0.25">
      <c r="A3532" s="10"/>
      <c r="B3532" s="10"/>
      <c r="C3532" s="10"/>
      <c r="D3532" s="12"/>
      <c r="E3532" s="10"/>
      <c r="F3532" s="10"/>
      <c r="G3532" s="10"/>
    </row>
    <row r="3533" spans="1:7" x14ac:dyDescent="0.25">
      <c r="A3533" s="10"/>
      <c r="B3533" s="10"/>
      <c r="C3533" s="10"/>
      <c r="D3533" s="12"/>
      <c r="E3533" s="10"/>
      <c r="F3533" s="10"/>
      <c r="G3533" s="10"/>
    </row>
    <row r="3534" spans="1:7" x14ac:dyDescent="0.25">
      <c r="A3534" s="10"/>
      <c r="B3534" s="10"/>
      <c r="C3534" s="10"/>
      <c r="D3534" s="12"/>
      <c r="E3534" s="10"/>
      <c r="F3534" s="10"/>
      <c r="G3534" s="10"/>
    </row>
    <row r="3535" spans="1:7" x14ac:dyDescent="0.25">
      <c r="A3535" s="10"/>
      <c r="B3535" s="10"/>
      <c r="C3535" s="10"/>
      <c r="D3535" s="12"/>
      <c r="E3535" s="10"/>
      <c r="F3535" s="10"/>
      <c r="G3535" s="10"/>
    </row>
    <row r="3536" spans="1:7" x14ac:dyDescent="0.25">
      <c r="A3536" s="10"/>
      <c r="B3536" s="10"/>
      <c r="C3536" s="10"/>
      <c r="D3536" s="12"/>
      <c r="E3536" s="10"/>
      <c r="F3536" s="10"/>
      <c r="G3536" s="10"/>
    </row>
    <row r="3537" spans="1:7" x14ac:dyDescent="0.25">
      <c r="A3537" s="10"/>
      <c r="B3537" s="10"/>
      <c r="C3537" s="10"/>
      <c r="D3537" s="12"/>
      <c r="E3537" s="10"/>
      <c r="F3537" s="10"/>
      <c r="G3537" s="10"/>
    </row>
    <row r="3538" spans="1:7" x14ac:dyDescent="0.25">
      <c r="A3538" s="10"/>
      <c r="B3538" s="10"/>
      <c r="C3538" s="10"/>
      <c r="D3538" s="12"/>
      <c r="E3538" s="10"/>
      <c r="F3538" s="10"/>
      <c r="G3538" s="10"/>
    </row>
    <row r="3539" spans="1:7" x14ac:dyDescent="0.25">
      <c r="A3539" s="10"/>
      <c r="B3539" s="10"/>
      <c r="C3539" s="10"/>
      <c r="D3539" s="12"/>
      <c r="E3539" s="10"/>
      <c r="F3539" s="10"/>
      <c r="G3539" s="10"/>
    </row>
    <row r="3540" spans="1:7" x14ac:dyDescent="0.25">
      <c r="A3540" s="10"/>
      <c r="B3540" s="10"/>
      <c r="C3540" s="10"/>
      <c r="D3540" s="12"/>
      <c r="E3540" s="10"/>
      <c r="F3540" s="10"/>
      <c r="G3540" s="10"/>
    </row>
    <row r="3541" spans="1:7" x14ac:dyDescent="0.25">
      <c r="A3541" s="10"/>
      <c r="B3541" s="10"/>
      <c r="C3541" s="10"/>
      <c r="D3541" s="12"/>
      <c r="E3541" s="10"/>
      <c r="F3541" s="10"/>
      <c r="G3541" s="10"/>
    </row>
    <row r="3542" spans="1:7" x14ac:dyDescent="0.25">
      <c r="A3542" s="10"/>
      <c r="B3542" s="10"/>
      <c r="C3542" s="10"/>
      <c r="D3542" s="12"/>
      <c r="E3542" s="10"/>
      <c r="F3542" s="10"/>
      <c r="G3542" s="10"/>
    </row>
    <row r="3543" spans="1:7" x14ac:dyDescent="0.25">
      <c r="A3543" s="10"/>
      <c r="B3543" s="10"/>
      <c r="C3543" s="10"/>
      <c r="D3543" s="12"/>
      <c r="E3543" s="10"/>
      <c r="F3543" s="10"/>
      <c r="G3543" s="10"/>
    </row>
    <row r="3544" spans="1:7" x14ac:dyDescent="0.25">
      <c r="A3544" s="10"/>
      <c r="B3544" s="10"/>
      <c r="C3544" s="10"/>
      <c r="D3544" s="12"/>
      <c r="E3544" s="10"/>
      <c r="F3544" s="10"/>
      <c r="G3544" s="10"/>
    </row>
    <row r="3545" spans="1:7" x14ac:dyDescent="0.25">
      <c r="A3545" s="10"/>
      <c r="B3545" s="10"/>
      <c r="C3545" s="10"/>
      <c r="D3545" s="12"/>
      <c r="E3545" s="10"/>
      <c r="F3545" s="10"/>
      <c r="G3545" s="10"/>
    </row>
    <row r="3546" spans="1:7" x14ac:dyDescent="0.25">
      <c r="A3546" s="10"/>
      <c r="B3546" s="10"/>
      <c r="C3546" s="10"/>
      <c r="D3546" s="12"/>
      <c r="E3546" s="10"/>
      <c r="F3546" s="10"/>
      <c r="G3546" s="10"/>
    </row>
    <row r="3547" spans="1:7" x14ac:dyDescent="0.25">
      <c r="A3547" s="10"/>
      <c r="B3547" s="10"/>
      <c r="C3547" s="10"/>
      <c r="D3547" s="12"/>
      <c r="E3547" s="10"/>
      <c r="F3547" s="10"/>
      <c r="G3547" s="10"/>
    </row>
    <row r="3548" spans="1:7" x14ac:dyDescent="0.25">
      <c r="A3548" s="10"/>
      <c r="B3548" s="10"/>
      <c r="C3548" s="10"/>
      <c r="D3548" s="12"/>
      <c r="E3548" s="10"/>
      <c r="F3548" s="10"/>
      <c r="G3548" s="10"/>
    </row>
    <row r="3549" spans="1:7" x14ac:dyDescent="0.25">
      <c r="A3549" s="10"/>
      <c r="B3549" s="10"/>
      <c r="C3549" s="10"/>
      <c r="D3549" s="12"/>
      <c r="E3549" s="10"/>
      <c r="F3549" s="10"/>
      <c r="G3549" s="10"/>
    </row>
    <row r="3550" spans="1:7" x14ac:dyDescent="0.25">
      <c r="A3550" s="10"/>
      <c r="B3550" s="10"/>
      <c r="C3550" s="10"/>
      <c r="D3550" s="12"/>
      <c r="E3550" s="10"/>
      <c r="F3550" s="10"/>
      <c r="G3550" s="10"/>
    </row>
    <row r="3551" spans="1:7" x14ac:dyDescent="0.25">
      <c r="A3551" s="10"/>
      <c r="B3551" s="10"/>
      <c r="C3551" s="10"/>
      <c r="D3551" s="12"/>
      <c r="E3551" s="10"/>
      <c r="F3551" s="10"/>
      <c r="G3551" s="10"/>
    </row>
    <row r="3552" spans="1:7" x14ac:dyDescent="0.25">
      <c r="A3552" s="10"/>
      <c r="B3552" s="10"/>
      <c r="C3552" s="10"/>
      <c r="D3552" s="12"/>
      <c r="E3552" s="10"/>
      <c r="F3552" s="10"/>
      <c r="G3552" s="10"/>
    </row>
    <row r="3553" spans="1:7" x14ac:dyDescent="0.25">
      <c r="A3553" s="10"/>
      <c r="B3553" s="10"/>
      <c r="C3553" s="10"/>
      <c r="D3553" s="12"/>
      <c r="E3553" s="10"/>
      <c r="F3553" s="10"/>
      <c r="G3553" s="10"/>
    </row>
    <row r="3554" spans="1:7" x14ac:dyDescent="0.25">
      <c r="A3554" s="10"/>
      <c r="B3554" s="10"/>
      <c r="C3554" s="10"/>
      <c r="D3554" s="12"/>
      <c r="E3554" s="10"/>
      <c r="F3554" s="10"/>
      <c r="G3554" s="10"/>
    </row>
    <row r="3555" spans="1:7" x14ac:dyDescent="0.25">
      <c r="A3555" s="10"/>
      <c r="B3555" s="10"/>
      <c r="C3555" s="10"/>
      <c r="D3555" s="12"/>
      <c r="E3555" s="10"/>
      <c r="F3555" s="10"/>
      <c r="G3555" s="10"/>
    </row>
    <row r="3556" spans="1:7" x14ac:dyDescent="0.25">
      <c r="A3556" s="10"/>
      <c r="B3556" s="10"/>
      <c r="C3556" s="10"/>
      <c r="D3556" s="12"/>
      <c r="E3556" s="10"/>
      <c r="F3556" s="10"/>
      <c r="G3556" s="10"/>
    </row>
    <row r="3557" spans="1:7" x14ac:dyDescent="0.25">
      <c r="A3557" s="10"/>
      <c r="B3557" s="10"/>
      <c r="C3557" s="10"/>
      <c r="D3557" s="12"/>
      <c r="E3557" s="10"/>
      <c r="F3557" s="10"/>
      <c r="G3557" s="10"/>
    </row>
    <row r="3558" spans="1:7" x14ac:dyDescent="0.25">
      <c r="A3558" s="10"/>
      <c r="B3558" s="10"/>
      <c r="C3558" s="10"/>
      <c r="D3558" s="12"/>
      <c r="E3558" s="10"/>
      <c r="F3558" s="10"/>
      <c r="G3558" s="10"/>
    </row>
    <row r="3559" spans="1:7" x14ac:dyDescent="0.25">
      <c r="A3559" s="10"/>
      <c r="B3559" s="10"/>
      <c r="C3559" s="10"/>
      <c r="D3559" s="12"/>
      <c r="E3559" s="10"/>
      <c r="F3559" s="10"/>
      <c r="G3559" s="10"/>
    </row>
    <row r="3560" spans="1:7" x14ac:dyDescent="0.25">
      <c r="A3560" s="10"/>
      <c r="B3560" s="10"/>
      <c r="C3560" s="10"/>
      <c r="D3560" s="12"/>
      <c r="E3560" s="10"/>
      <c r="F3560" s="10"/>
      <c r="G3560" s="10"/>
    </row>
    <row r="3561" spans="1:7" x14ac:dyDescent="0.25">
      <c r="A3561" s="10"/>
      <c r="B3561" s="10"/>
      <c r="C3561" s="10"/>
      <c r="D3561" s="12"/>
      <c r="E3561" s="10"/>
      <c r="F3561" s="10"/>
      <c r="G3561" s="10"/>
    </row>
    <row r="3562" spans="1:7" x14ac:dyDescent="0.25">
      <c r="A3562" s="10"/>
      <c r="B3562" s="10"/>
      <c r="C3562" s="10"/>
      <c r="D3562" s="12"/>
      <c r="E3562" s="10"/>
      <c r="F3562" s="10"/>
      <c r="G3562" s="10"/>
    </row>
    <row r="3563" spans="1:7" x14ac:dyDescent="0.25">
      <c r="A3563" s="10"/>
      <c r="B3563" s="10"/>
      <c r="C3563" s="10"/>
      <c r="D3563" s="12"/>
      <c r="E3563" s="10"/>
      <c r="F3563" s="10"/>
      <c r="G3563" s="10"/>
    </row>
    <row r="3564" spans="1:7" x14ac:dyDescent="0.25">
      <c r="A3564" s="10"/>
      <c r="B3564" s="10"/>
      <c r="C3564" s="10"/>
      <c r="D3564" s="12"/>
      <c r="E3564" s="10"/>
      <c r="F3564" s="10"/>
      <c r="G3564" s="10"/>
    </row>
    <row r="3565" spans="1:7" x14ac:dyDescent="0.25">
      <c r="A3565" s="10"/>
      <c r="B3565" s="10"/>
      <c r="C3565" s="10"/>
      <c r="D3565" s="12"/>
      <c r="E3565" s="10"/>
      <c r="F3565" s="10"/>
      <c r="G3565" s="10"/>
    </row>
    <row r="3566" spans="1:7" x14ac:dyDescent="0.25">
      <c r="A3566" s="10"/>
      <c r="B3566" s="10"/>
      <c r="C3566" s="10"/>
      <c r="D3566" s="12"/>
      <c r="E3566" s="10"/>
      <c r="F3566" s="10"/>
      <c r="G3566" s="10"/>
    </row>
    <row r="3567" spans="1:7" x14ac:dyDescent="0.25">
      <c r="A3567" s="10"/>
      <c r="B3567" s="10"/>
      <c r="C3567" s="10"/>
      <c r="D3567" s="12"/>
      <c r="E3567" s="10"/>
      <c r="F3567" s="10"/>
      <c r="G3567" s="10"/>
    </row>
    <row r="3568" spans="1:7" x14ac:dyDescent="0.25">
      <c r="A3568" s="10"/>
      <c r="B3568" s="10"/>
      <c r="C3568" s="10"/>
      <c r="D3568" s="12"/>
      <c r="E3568" s="10"/>
      <c r="F3568" s="10"/>
      <c r="G3568" s="10"/>
    </row>
    <row r="3569" spans="1:7" x14ac:dyDescent="0.25">
      <c r="A3569" s="10"/>
      <c r="B3569" s="10"/>
      <c r="C3569" s="10"/>
      <c r="D3569" s="12"/>
      <c r="E3569" s="10"/>
      <c r="F3569" s="10"/>
      <c r="G3569" s="10"/>
    </row>
    <row r="3570" spans="1:7" x14ac:dyDescent="0.25">
      <c r="A3570" s="10"/>
      <c r="B3570" s="10"/>
      <c r="C3570" s="10"/>
      <c r="D3570" s="12"/>
      <c r="E3570" s="10"/>
      <c r="F3570" s="10"/>
      <c r="G3570" s="10"/>
    </row>
    <row r="3571" spans="1:7" x14ac:dyDescent="0.25">
      <c r="A3571" s="10"/>
      <c r="B3571" s="10"/>
      <c r="C3571" s="10"/>
      <c r="D3571" s="12"/>
      <c r="E3571" s="10"/>
      <c r="F3571" s="10"/>
      <c r="G3571" s="10"/>
    </row>
    <row r="3572" spans="1:7" x14ac:dyDescent="0.25">
      <c r="A3572" s="10"/>
      <c r="B3572" s="10"/>
      <c r="C3572" s="10"/>
      <c r="D3572" s="12"/>
      <c r="E3572" s="10"/>
      <c r="F3572" s="10"/>
      <c r="G3572" s="10"/>
    </row>
    <row r="3573" spans="1:7" x14ac:dyDescent="0.25">
      <c r="A3573" s="10"/>
      <c r="B3573" s="10"/>
      <c r="C3573" s="10"/>
      <c r="D3573" s="12"/>
      <c r="E3573" s="10"/>
      <c r="F3573" s="10"/>
      <c r="G3573" s="10"/>
    </row>
    <row r="3574" spans="1:7" x14ac:dyDescent="0.25">
      <c r="A3574" s="10"/>
      <c r="B3574" s="10"/>
      <c r="C3574" s="10"/>
      <c r="D3574" s="12"/>
      <c r="E3574" s="10"/>
      <c r="F3574" s="10"/>
      <c r="G3574" s="10"/>
    </row>
    <row r="3575" spans="1:7" x14ac:dyDescent="0.25">
      <c r="A3575" s="10"/>
      <c r="B3575" s="10"/>
      <c r="C3575" s="10"/>
      <c r="D3575" s="12"/>
      <c r="E3575" s="10"/>
      <c r="F3575" s="10"/>
      <c r="G3575" s="10"/>
    </row>
    <row r="3576" spans="1:7" x14ac:dyDescent="0.25">
      <c r="A3576" s="10"/>
      <c r="B3576" s="10"/>
      <c r="C3576" s="10"/>
      <c r="D3576" s="12"/>
      <c r="E3576" s="10"/>
      <c r="F3576" s="10"/>
      <c r="G3576" s="10"/>
    </row>
    <row r="3577" spans="1:7" x14ac:dyDescent="0.25">
      <c r="A3577" s="10"/>
      <c r="B3577" s="10"/>
      <c r="C3577" s="10"/>
      <c r="D3577" s="12"/>
      <c r="E3577" s="10"/>
      <c r="F3577" s="10"/>
      <c r="G3577" s="10"/>
    </row>
    <row r="3578" spans="1:7" x14ac:dyDescent="0.25">
      <c r="A3578" s="10"/>
      <c r="B3578" s="10"/>
      <c r="C3578" s="10"/>
      <c r="D3578" s="12"/>
      <c r="E3578" s="10"/>
      <c r="F3578" s="10"/>
      <c r="G3578" s="10"/>
    </row>
    <row r="3579" spans="1:7" x14ac:dyDescent="0.25">
      <c r="A3579" s="10"/>
      <c r="B3579" s="10"/>
      <c r="C3579" s="10"/>
      <c r="D3579" s="12"/>
      <c r="E3579" s="10"/>
      <c r="F3579" s="10"/>
      <c r="G3579" s="10"/>
    </row>
    <row r="3580" spans="1:7" x14ac:dyDescent="0.25">
      <c r="A3580" s="10"/>
      <c r="B3580" s="10"/>
      <c r="C3580" s="10"/>
      <c r="D3580" s="12"/>
      <c r="E3580" s="10"/>
      <c r="F3580" s="10"/>
      <c r="G3580" s="10"/>
    </row>
    <row r="3581" spans="1:7" x14ac:dyDescent="0.25">
      <c r="A3581" s="10"/>
      <c r="B3581" s="10"/>
      <c r="C3581" s="10"/>
      <c r="D3581" s="12"/>
      <c r="E3581" s="10"/>
      <c r="F3581" s="10"/>
      <c r="G3581" s="10"/>
    </row>
    <row r="3582" spans="1:7" x14ac:dyDescent="0.25">
      <c r="A3582" s="10"/>
      <c r="B3582" s="10"/>
      <c r="C3582" s="10"/>
      <c r="D3582" s="12"/>
      <c r="E3582" s="10"/>
      <c r="F3582" s="10"/>
      <c r="G3582" s="10"/>
    </row>
    <row r="3583" spans="1:7" x14ac:dyDescent="0.25">
      <c r="A3583" s="10"/>
      <c r="B3583" s="10"/>
      <c r="C3583" s="10"/>
      <c r="D3583" s="12"/>
      <c r="E3583" s="10"/>
      <c r="F3583" s="10"/>
      <c r="G3583" s="10"/>
    </row>
    <row r="3584" spans="1:7" x14ac:dyDescent="0.25">
      <c r="A3584" s="10"/>
      <c r="B3584" s="10"/>
      <c r="C3584" s="10"/>
      <c r="D3584" s="12"/>
      <c r="E3584" s="10"/>
      <c r="F3584" s="10"/>
      <c r="G3584" s="10"/>
    </row>
    <row r="3585" spans="1:7" x14ac:dyDescent="0.25">
      <c r="A3585" s="10"/>
      <c r="B3585" s="10"/>
      <c r="C3585" s="10"/>
      <c r="D3585" s="12"/>
      <c r="E3585" s="10"/>
      <c r="F3585" s="10"/>
      <c r="G3585" s="10"/>
    </row>
    <row r="3586" spans="1:7" x14ac:dyDescent="0.25">
      <c r="A3586" s="10"/>
      <c r="B3586" s="10"/>
      <c r="C3586" s="10"/>
      <c r="D3586" s="12"/>
      <c r="E3586" s="10"/>
      <c r="F3586" s="10"/>
      <c r="G3586" s="10"/>
    </row>
    <row r="3587" spans="1:7" x14ac:dyDescent="0.25">
      <c r="A3587" s="10"/>
      <c r="B3587" s="10"/>
      <c r="C3587" s="10"/>
      <c r="D3587" s="12"/>
      <c r="E3587" s="10"/>
      <c r="F3587" s="10"/>
      <c r="G3587" s="10"/>
    </row>
    <row r="3588" spans="1:7" x14ac:dyDescent="0.25">
      <c r="A3588" s="10"/>
      <c r="B3588" s="10"/>
      <c r="C3588" s="10"/>
      <c r="D3588" s="12"/>
      <c r="E3588" s="10"/>
      <c r="F3588" s="10"/>
      <c r="G3588" s="10"/>
    </row>
    <row r="3589" spans="1:7" x14ac:dyDescent="0.25">
      <c r="A3589" s="10"/>
      <c r="B3589" s="10"/>
      <c r="C3589" s="10"/>
      <c r="D3589" s="12"/>
      <c r="E3589" s="10"/>
      <c r="F3589" s="10"/>
      <c r="G3589" s="10"/>
    </row>
    <row r="3590" spans="1:7" x14ac:dyDescent="0.25">
      <c r="A3590" s="10"/>
      <c r="B3590" s="10"/>
      <c r="C3590" s="10"/>
      <c r="D3590" s="12"/>
      <c r="E3590" s="10"/>
      <c r="F3590" s="10"/>
      <c r="G3590" s="10"/>
    </row>
    <row r="3591" spans="1:7" x14ac:dyDescent="0.25">
      <c r="A3591" s="10"/>
      <c r="B3591" s="10"/>
      <c r="C3591" s="10"/>
      <c r="D3591" s="12"/>
      <c r="E3591" s="10"/>
      <c r="F3591" s="10"/>
      <c r="G3591" s="10"/>
    </row>
    <row r="3592" spans="1:7" x14ac:dyDescent="0.25">
      <c r="A3592" s="10"/>
      <c r="B3592" s="10"/>
      <c r="C3592" s="10"/>
      <c r="D3592" s="12"/>
      <c r="E3592" s="10"/>
      <c r="F3592" s="10"/>
      <c r="G3592" s="10"/>
    </row>
    <row r="3593" spans="1:7" x14ac:dyDescent="0.25">
      <c r="A3593" s="10"/>
      <c r="B3593" s="10"/>
      <c r="C3593" s="10"/>
      <c r="D3593" s="12"/>
      <c r="E3593" s="10"/>
      <c r="F3593" s="10"/>
      <c r="G3593" s="10"/>
    </row>
    <row r="3594" spans="1:7" x14ac:dyDescent="0.25">
      <c r="A3594" s="10"/>
      <c r="B3594" s="10"/>
      <c r="C3594" s="10"/>
      <c r="D3594" s="12"/>
      <c r="E3594" s="10"/>
      <c r="F3594" s="10"/>
      <c r="G3594" s="10"/>
    </row>
    <row r="3595" spans="1:7" x14ac:dyDescent="0.25">
      <c r="A3595" s="10"/>
      <c r="B3595" s="10"/>
      <c r="C3595" s="10"/>
      <c r="D3595" s="12"/>
      <c r="E3595" s="10"/>
      <c r="F3595" s="10"/>
      <c r="G3595" s="10"/>
    </row>
    <row r="3596" spans="1:7" x14ac:dyDescent="0.25">
      <c r="A3596" s="10"/>
      <c r="B3596" s="10"/>
      <c r="C3596" s="10"/>
      <c r="D3596" s="12"/>
      <c r="E3596" s="10"/>
      <c r="F3596" s="10"/>
      <c r="G3596" s="10"/>
    </row>
    <row r="3597" spans="1:7" x14ac:dyDescent="0.25">
      <c r="A3597" s="10"/>
      <c r="B3597" s="10"/>
      <c r="C3597" s="10"/>
      <c r="D3597" s="12"/>
      <c r="E3597" s="10"/>
      <c r="F3597" s="10"/>
      <c r="G3597" s="10"/>
    </row>
    <row r="3598" spans="1:7" x14ac:dyDescent="0.25">
      <c r="A3598" s="10"/>
      <c r="B3598" s="10"/>
      <c r="C3598" s="10"/>
      <c r="D3598" s="12"/>
      <c r="E3598" s="10"/>
      <c r="F3598" s="10"/>
      <c r="G3598" s="10"/>
    </row>
    <row r="3599" spans="1:7" x14ac:dyDescent="0.25">
      <c r="A3599" s="10"/>
      <c r="B3599" s="10"/>
      <c r="C3599" s="10"/>
      <c r="D3599" s="12"/>
      <c r="E3599" s="10"/>
      <c r="F3599" s="10"/>
      <c r="G3599" s="10"/>
    </row>
    <row r="3600" spans="1:7" x14ac:dyDescent="0.25">
      <c r="A3600" s="10"/>
      <c r="B3600" s="10"/>
      <c r="C3600" s="10"/>
      <c r="D3600" s="12"/>
      <c r="E3600" s="10"/>
      <c r="F3600" s="10"/>
      <c r="G3600" s="10"/>
    </row>
    <row r="3601" spans="1:7" x14ac:dyDescent="0.25">
      <c r="A3601" s="10"/>
      <c r="B3601" s="10"/>
      <c r="C3601" s="10"/>
      <c r="D3601" s="12"/>
      <c r="E3601" s="10"/>
      <c r="F3601" s="10"/>
      <c r="G3601" s="10"/>
    </row>
    <row r="3602" spans="1:7" x14ac:dyDescent="0.25">
      <c r="A3602" s="10"/>
      <c r="B3602" s="10"/>
      <c r="C3602" s="10"/>
      <c r="D3602" s="12"/>
      <c r="E3602" s="10"/>
      <c r="F3602" s="10"/>
      <c r="G3602" s="10"/>
    </row>
    <row r="3603" spans="1:7" x14ac:dyDescent="0.25">
      <c r="A3603" s="10"/>
      <c r="B3603" s="10"/>
      <c r="C3603" s="10"/>
      <c r="D3603" s="12"/>
      <c r="E3603" s="10"/>
      <c r="F3603" s="10"/>
      <c r="G3603" s="10"/>
    </row>
    <row r="3604" spans="1:7" x14ac:dyDescent="0.25">
      <c r="A3604" s="10"/>
      <c r="B3604" s="10"/>
      <c r="C3604" s="10"/>
      <c r="D3604" s="12"/>
      <c r="E3604" s="10"/>
      <c r="F3604" s="10"/>
      <c r="G3604" s="10"/>
    </row>
    <row r="3605" spans="1:7" x14ac:dyDescent="0.25">
      <c r="A3605" s="10"/>
      <c r="B3605" s="10"/>
      <c r="C3605" s="10"/>
      <c r="D3605" s="12"/>
      <c r="E3605" s="10"/>
      <c r="F3605" s="10"/>
      <c r="G3605" s="10"/>
    </row>
    <row r="3606" spans="1:7" x14ac:dyDescent="0.25">
      <c r="A3606" s="10"/>
      <c r="B3606" s="10"/>
      <c r="C3606" s="10"/>
      <c r="D3606" s="12"/>
      <c r="E3606" s="10"/>
      <c r="F3606" s="10"/>
      <c r="G3606" s="10"/>
    </row>
    <row r="3607" spans="1:7" x14ac:dyDescent="0.25">
      <c r="A3607" s="10"/>
      <c r="B3607" s="10"/>
      <c r="C3607" s="10"/>
      <c r="D3607" s="12"/>
      <c r="E3607" s="10"/>
      <c r="F3607" s="10"/>
      <c r="G3607" s="10"/>
    </row>
    <row r="3608" spans="1:7" x14ac:dyDescent="0.25">
      <c r="A3608" s="10"/>
      <c r="B3608" s="10"/>
      <c r="C3608" s="10"/>
      <c r="D3608" s="12"/>
      <c r="E3608" s="10"/>
      <c r="F3608" s="10"/>
      <c r="G3608" s="10"/>
    </row>
    <row r="3609" spans="1:7" x14ac:dyDescent="0.25">
      <c r="A3609" s="10"/>
      <c r="B3609" s="10"/>
      <c r="C3609" s="10"/>
      <c r="D3609" s="12"/>
      <c r="E3609" s="10"/>
      <c r="F3609" s="10"/>
      <c r="G3609" s="10"/>
    </row>
    <row r="3610" spans="1:7" x14ac:dyDescent="0.25">
      <c r="A3610" s="10"/>
      <c r="B3610" s="10"/>
      <c r="C3610" s="10"/>
      <c r="D3610" s="12"/>
      <c r="E3610" s="10"/>
      <c r="F3610" s="10"/>
      <c r="G3610" s="10"/>
    </row>
    <row r="3611" spans="1:7" x14ac:dyDescent="0.25">
      <c r="A3611" s="10"/>
      <c r="B3611" s="10"/>
      <c r="C3611" s="10"/>
      <c r="D3611" s="12"/>
      <c r="E3611" s="10"/>
      <c r="F3611" s="10"/>
      <c r="G3611" s="10"/>
    </row>
    <row r="3612" spans="1:7" x14ac:dyDescent="0.25">
      <c r="A3612" s="10"/>
      <c r="B3612" s="10"/>
      <c r="C3612" s="10"/>
      <c r="D3612" s="12"/>
      <c r="E3612" s="10"/>
      <c r="F3612" s="10"/>
      <c r="G3612" s="10"/>
    </row>
    <row r="3613" spans="1:7" x14ac:dyDescent="0.25">
      <c r="A3613" s="10"/>
      <c r="B3613" s="10"/>
      <c r="C3613" s="10"/>
      <c r="D3613" s="12"/>
      <c r="E3613" s="10"/>
      <c r="F3613" s="10"/>
      <c r="G3613" s="10"/>
    </row>
    <row r="3614" spans="1:7" x14ac:dyDescent="0.25">
      <c r="A3614" s="10"/>
      <c r="B3614" s="10"/>
      <c r="C3614" s="10"/>
      <c r="D3614" s="12"/>
      <c r="E3614" s="10"/>
      <c r="F3614" s="10"/>
      <c r="G3614" s="10"/>
    </row>
    <row r="3615" spans="1:7" x14ac:dyDescent="0.25">
      <c r="A3615" s="10"/>
      <c r="B3615" s="10"/>
      <c r="C3615" s="10"/>
      <c r="D3615" s="12"/>
      <c r="E3615" s="10"/>
      <c r="F3615" s="10"/>
      <c r="G3615" s="10"/>
    </row>
    <row r="3616" spans="1:7" x14ac:dyDescent="0.25">
      <c r="A3616" s="10"/>
      <c r="B3616" s="10"/>
      <c r="C3616" s="10"/>
      <c r="D3616" s="12"/>
      <c r="E3616" s="10"/>
      <c r="F3616" s="10"/>
      <c r="G3616" s="10"/>
    </row>
    <row r="3617" spans="1:7" x14ac:dyDescent="0.25">
      <c r="A3617" s="10"/>
      <c r="B3617" s="10"/>
      <c r="C3617" s="10"/>
      <c r="D3617" s="12"/>
      <c r="E3617" s="10"/>
      <c r="F3617" s="10"/>
      <c r="G3617" s="10"/>
    </row>
    <row r="3618" spans="1:7" x14ac:dyDescent="0.25">
      <c r="A3618" s="10"/>
      <c r="B3618" s="10"/>
      <c r="C3618" s="10"/>
      <c r="D3618" s="12"/>
      <c r="E3618" s="10"/>
      <c r="F3618" s="10"/>
      <c r="G3618" s="10"/>
    </row>
    <row r="3619" spans="1:7" x14ac:dyDescent="0.25">
      <c r="A3619" s="10"/>
      <c r="B3619" s="10"/>
      <c r="C3619" s="10"/>
      <c r="D3619" s="12"/>
      <c r="E3619" s="10"/>
      <c r="F3619" s="10"/>
      <c r="G3619" s="10"/>
    </row>
    <row r="3620" spans="1:7" x14ac:dyDescent="0.25">
      <c r="A3620" s="10"/>
      <c r="B3620" s="10"/>
      <c r="C3620" s="10"/>
      <c r="D3620" s="12"/>
      <c r="E3620" s="10"/>
      <c r="F3620" s="10"/>
      <c r="G3620" s="10"/>
    </row>
    <row r="3621" spans="1:7" x14ac:dyDescent="0.25">
      <c r="A3621" s="10"/>
      <c r="B3621" s="10"/>
      <c r="C3621" s="10"/>
      <c r="D3621" s="12"/>
      <c r="E3621" s="10"/>
      <c r="F3621" s="10"/>
      <c r="G3621" s="10"/>
    </row>
    <row r="3622" spans="1:7" x14ac:dyDescent="0.25">
      <c r="A3622" s="10"/>
      <c r="B3622" s="10"/>
      <c r="C3622" s="10"/>
      <c r="D3622" s="12"/>
      <c r="E3622" s="10"/>
      <c r="F3622" s="10"/>
      <c r="G3622" s="10"/>
    </row>
    <row r="3623" spans="1:7" x14ac:dyDescent="0.25">
      <c r="A3623" s="10"/>
      <c r="B3623" s="10"/>
      <c r="C3623" s="10"/>
      <c r="D3623" s="12"/>
      <c r="E3623" s="10"/>
      <c r="F3623" s="10"/>
      <c r="G3623" s="10"/>
    </row>
    <row r="3624" spans="1:7" x14ac:dyDescent="0.25">
      <c r="A3624" s="10"/>
      <c r="B3624" s="10"/>
      <c r="C3624" s="10"/>
      <c r="D3624" s="12"/>
      <c r="E3624" s="10"/>
      <c r="F3624" s="10"/>
      <c r="G3624" s="10"/>
    </row>
    <row r="3625" spans="1:7" x14ac:dyDescent="0.25">
      <c r="A3625" s="10"/>
      <c r="B3625" s="10"/>
      <c r="C3625" s="10"/>
      <c r="D3625" s="12"/>
      <c r="E3625" s="10"/>
      <c r="F3625" s="10"/>
      <c r="G3625" s="10"/>
    </row>
    <row r="3626" spans="1:7" x14ac:dyDescent="0.25">
      <c r="A3626" s="10"/>
      <c r="B3626" s="10"/>
      <c r="C3626" s="10"/>
      <c r="D3626" s="12"/>
      <c r="E3626" s="10"/>
      <c r="F3626" s="10"/>
      <c r="G3626" s="10"/>
    </row>
    <row r="3627" spans="1:7" x14ac:dyDescent="0.25">
      <c r="A3627" s="10"/>
      <c r="B3627" s="10"/>
      <c r="C3627" s="10"/>
      <c r="D3627" s="12"/>
      <c r="E3627" s="10"/>
      <c r="F3627" s="10"/>
      <c r="G3627" s="10"/>
    </row>
    <row r="3628" spans="1:7" x14ac:dyDescent="0.25">
      <c r="A3628" s="10"/>
      <c r="B3628" s="10"/>
      <c r="C3628" s="10"/>
      <c r="D3628" s="12"/>
      <c r="E3628" s="10"/>
      <c r="F3628" s="10"/>
      <c r="G3628" s="10"/>
    </row>
    <row r="3629" spans="1:7" x14ac:dyDescent="0.25">
      <c r="A3629" s="10"/>
      <c r="B3629" s="10"/>
      <c r="C3629" s="10"/>
      <c r="D3629" s="12"/>
      <c r="E3629" s="10"/>
      <c r="F3629" s="10"/>
      <c r="G3629" s="10"/>
    </row>
    <row r="3630" spans="1:7" x14ac:dyDescent="0.25">
      <c r="A3630" s="10"/>
      <c r="B3630" s="10"/>
      <c r="C3630" s="10"/>
      <c r="D3630" s="12"/>
      <c r="E3630" s="10"/>
      <c r="F3630" s="10"/>
      <c r="G3630" s="10"/>
    </row>
    <row r="3631" spans="1:7" x14ac:dyDescent="0.25">
      <c r="A3631" s="10"/>
      <c r="B3631" s="10"/>
      <c r="C3631" s="10"/>
      <c r="D3631" s="12"/>
      <c r="E3631" s="10"/>
      <c r="F3631" s="10"/>
      <c r="G3631" s="10"/>
    </row>
    <row r="3632" spans="1:7" x14ac:dyDescent="0.25">
      <c r="A3632" s="10"/>
      <c r="B3632" s="10"/>
      <c r="C3632" s="10"/>
      <c r="D3632" s="12"/>
      <c r="E3632" s="10"/>
      <c r="F3632" s="10"/>
      <c r="G3632" s="10"/>
    </row>
    <row r="3633" spans="1:7" x14ac:dyDescent="0.25">
      <c r="A3633" s="10"/>
      <c r="B3633" s="10"/>
      <c r="C3633" s="10"/>
      <c r="D3633" s="12"/>
      <c r="E3633" s="10"/>
      <c r="F3633" s="10"/>
      <c r="G3633" s="10"/>
    </row>
    <row r="3634" spans="1:7" x14ac:dyDescent="0.25">
      <c r="A3634" s="10"/>
      <c r="B3634" s="10"/>
      <c r="C3634" s="10"/>
      <c r="D3634" s="12"/>
      <c r="E3634" s="10"/>
      <c r="F3634" s="10"/>
      <c r="G3634" s="10"/>
    </row>
    <row r="3635" spans="1:7" x14ac:dyDescent="0.25">
      <c r="A3635" s="10"/>
      <c r="B3635" s="10"/>
      <c r="C3635" s="10"/>
      <c r="D3635" s="12"/>
      <c r="E3635" s="10"/>
      <c r="F3635" s="10"/>
      <c r="G3635" s="10"/>
    </row>
    <row r="3636" spans="1:7" x14ac:dyDescent="0.25">
      <c r="A3636" s="10"/>
      <c r="B3636" s="10"/>
      <c r="C3636" s="10"/>
      <c r="D3636" s="12"/>
      <c r="E3636" s="10"/>
      <c r="F3636" s="10"/>
      <c r="G3636" s="10"/>
    </row>
    <row r="3637" spans="1:7" x14ac:dyDescent="0.25">
      <c r="A3637" s="10"/>
      <c r="B3637" s="10"/>
      <c r="C3637" s="10"/>
      <c r="D3637" s="12"/>
      <c r="E3637" s="10"/>
      <c r="F3637" s="10"/>
      <c r="G3637" s="10"/>
    </row>
    <row r="3638" spans="1:7" x14ac:dyDescent="0.25">
      <c r="A3638" s="10"/>
      <c r="B3638" s="10"/>
      <c r="C3638" s="10"/>
      <c r="D3638" s="12"/>
      <c r="E3638" s="10"/>
      <c r="F3638" s="10"/>
      <c r="G3638" s="10"/>
    </row>
    <row r="3639" spans="1:7" x14ac:dyDescent="0.25">
      <c r="A3639" s="10"/>
      <c r="B3639" s="10"/>
      <c r="C3639" s="10"/>
      <c r="D3639" s="12"/>
      <c r="E3639" s="10"/>
      <c r="F3639" s="10"/>
      <c r="G3639" s="10"/>
    </row>
    <row r="3640" spans="1:7" x14ac:dyDescent="0.25">
      <c r="A3640" s="10"/>
      <c r="B3640" s="10"/>
      <c r="C3640" s="10"/>
      <c r="D3640" s="12"/>
      <c r="E3640" s="10"/>
      <c r="F3640" s="10"/>
      <c r="G3640" s="10"/>
    </row>
    <row r="3641" spans="1:7" x14ac:dyDescent="0.25">
      <c r="A3641" s="10"/>
      <c r="B3641" s="10"/>
      <c r="C3641" s="10"/>
      <c r="D3641" s="12"/>
      <c r="E3641" s="10"/>
      <c r="F3641" s="10"/>
      <c r="G3641" s="10"/>
    </row>
    <row r="3642" spans="1:7" x14ac:dyDescent="0.25">
      <c r="A3642" s="10"/>
      <c r="B3642" s="10"/>
      <c r="C3642" s="10"/>
      <c r="D3642" s="12"/>
      <c r="E3642" s="10"/>
      <c r="F3642" s="10"/>
      <c r="G3642" s="10"/>
    </row>
    <row r="3643" spans="1:7" x14ac:dyDescent="0.25">
      <c r="A3643" s="10"/>
      <c r="B3643" s="10"/>
      <c r="C3643" s="10"/>
      <c r="D3643" s="12"/>
      <c r="E3643" s="10"/>
      <c r="F3643" s="10"/>
      <c r="G3643" s="10"/>
    </row>
    <row r="3644" spans="1:7" x14ac:dyDescent="0.25">
      <c r="A3644" s="10"/>
      <c r="B3644" s="10"/>
      <c r="C3644" s="10"/>
      <c r="D3644" s="12"/>
      <c r="E3644" s="10"/>
      <c r="F3644" s="10"/>
      <c r="G3644" s="10"/>
    </row>
    <row r="3645" spans="1:7" x14ac:dyDescent="0.25">
      <c r="A3645" s="10"/>
      <c r="B3645" s="10"/>
      <c r="C3645" s="10"/>
      <c r="D3645" s="12"/>
      <c r="E3645" s="10"/>
      <c r="F3645" s="10"/>
      <c r="G3645" s="10"/>
    </row>
    <row r="3646" spans="1:7" x14ac:dyDescent="0.25">
      <c r="A3646" s="10"/>
      <c r="B3646" s="10"/>
      <c r="C3646" s="10"/>
      <c r="D3646" s="12"/>
      <c r="E3646" s="10"/>
      <c r="F3646" s="10"/>
      <c r="G3646" s="10"/>
    </row>
    <row r="3647" spans="1:7" x14ac:dyDescent="0.25">
      <c r="A3647" s="10"/>
      <c r="B3647" s="10"/>
      <c r="C3647" s="10"/>
      <c r="D3647" s="12"/>
      <c r="E3647" s="10"/>
      <c r="F3647" s="10"/>
      <c r="G3647" s="10"/>
    </row>
    <row r="3648" spans="1:7" x14ac:dyDescent="0.25">
      <c r="A3648" s="10"/>
      <c r="B3648" s="10"/>
      <c r="C3648" s="10"/>
      <c r="D3648" s="12"/>
      <c r="E3648" s="10"/>
      <c r="F3648" s="10"/>
      <c r="G3648" s="10"/>
    </row>
    <row r="3649" spans="1:7" x14ac:dyDescent="0.25">
      <c r="A3649" s="10"/>
      <c r="B3649" s="10"/>
      <c r="C3649" s="10"/>
      <c r="D3649" s="12"/>
      <c r="E3649" s="10"/>
      <c r="F3649" s="10"/>
      <c r="G3649" s="10"/>
    </row>
    <row r="3650" spans="1:7" x14ac:dyDescent="0.25">
      <c r="A3650" s="10"/>
      <c r="B3650" s="10"/>
      <c r="C3650" s="10"/>
      <c r="D3650" s="12"/>
      <c r="E3650" s="10"/>
      <c r="F3650" s="10"/>
      <c r="G3650" s="10"/>
    </row>
    <row r="3651" spans="1:7" x14ac:dyDescent="0.25">
      <c r="A3651" s="10"/>
      <c r="B3651" s="10"/>
      <c r="C3651" s="10"/>
      <c r="D3651" s="12"/>
      <c r="E3651" s="10"/>
      <c r="F3651" s="10"/>
      <c r="G3651" s="10"/>
    </row>
    <row r="3652" spans="1:7" x14ac:dyDescent="0.25">
      <c r="A3652" s="10"/>
      <c r="B3652" s="10"/>
      <c r="C3652" s="10"/>
      <c r="D3652" s="12"/>
      <c r="E3652" s="10"/>
      <c r="F3652" s="10"/>
      <c r="G3652" s="10"/>
    </row>
    <row r="3653" spans="1:7" x14ac:dyDescent="0.25">
      <c r="A3653" s="10"/>
      <c r="B3653" s="10"/>
      <c r="C3653" s="10"/>
      <c r="D3653" s="12"/>
      <c r="E3653" s="10"/>
      <c r="F3653" s="10"/>
      <c r="G3653" s="10"/>
    </row>
    <row r="3654" spans="1:7" x14ac:dyDescent="0.25">
      <c r="A3654" s="10"/>
      <c r="B3654" s="10"/>
      <c r="C3654" s="10"/>
      <c r="D3654" s="12"/>
      <c r="E3654" s="10"/>
      <c r="F3654" s="10"/>
      <c r="G3654" s="10"/>
    </row>
    <row r="3655" spans="1:7" x14ac:dyDescent="0.25">
      <c r="A3655" s="10"/>
      <c r="B3655" s="10"/>
      <c r="C3655" s="10"/>
      <c r="D3655" s="12"/>
      <c r="E3655" s="10"/>
      <c r="F3655" s="10"/>
      <c r="G3655" s="10"/>
    </row>
    <row r="3656" spans="1:7" x14ac:dyDescent="0.25">
      <c r="A3656" s="10"/>
      <c r="B3656" s="10"/>
      <c r="C3656" s="10"/>
      <c r="D3656" s="12"/>
      <c r="E3656" s="10"/>
      <c r="F3656" s="10"/>
      <c r="G3656" s="10"/>
    </row>
    <row r="3657" spans="1:7" x14ac:dyDescent="0.25">
      <c r="A3657" s="10"/>
      <c r="B3657" s="10"/>
      <c r="C3657" s="10"/>
      <c r="D3657" s="12"/>
      <c r="E3657" s="10"/>
      <c r="F3657" s="10"/>
      <c r="G3657" s="10"/>
    </row>
    <row r="3658" spans="1:7" x14ac:dyDescent="0.25">
      <c r="A3658" s="10"/>
      <c r="B3658" s="10"/>
      <c r="C3658" s="10"/>
      <c r="D3658" s="12"/>
      <c r="E3658" s="10"/>
      <c r="F3658" s="10"/>
      <c r="G3658" s="10"/>
    </row>
    <row r="3659" spans="1:7" x14ac:dyDescent="0.25">
      <c r="A3659" s="10"/>
      <c r="B3659" s="10"/>
      <c r="C3659" s="10"/>
      <c r="D3659" s="12"/>
      <c r="E3659" s="10"/>
      <c r="F3659" s="10"/>
      <c r="G3659" s="10"/>
    </row>
    <row r="3660" spans="1:7" x14ac:dyDescent="0.25">
      <c r="A3660" s="10"/>
      <c r="B3660" s="10"/>
      <c r="C3660" s="10"/>
      <c r="D3660" s="12"/>
      <c r="E3660" s="10"/>
      <c r="F3660" s="10"/>
      <c r="G3660" s="10"/>
    </row>
    <row r="3661" spans="1:7" x14ac:dyDescent="0.25">
      <c r="A3661" s="10"/>
      <c r="B3661" s="10"/>
      <c r="C3661" s="10"/>
      <c r="D3661" s="12"/>
      <c r="E3661" s="10"/>
      <c r="F3661" s="10"/>
      <c r="G3661" s="10"/>
    </row>
    <row r="3662" spans="1:7" x14ac:dyDescent="0.25">
      <c r="A3662" s="10"/>
      <c r="B3662" s="10"/>
      <c r="C3662" s="10"/>
      <c r="D3662" s="12"/>
      <c r="E3662" s="10"/>
      <c r="F3662" s="10"/>
      <c r="G3662" s="10"/>
    </row>
    <row r="3663" spans="1:7" x14ac:dyDescent="0.25">
      <c r="A3663" s="10"/>
      <c r="B3663" s="10"/>
      <c r="C3663" s="10"/>
      <c r="D3663" s="12"/>
      <c r="E3663" s="10"/>
      <c r="F3663" s="10"/>
      <c r="G3663" s="10"/>
    </row>
    <row r="3664" spans="1:7" x14ac:dyDescent="0.25">
      <c r="A3664" s="10"/>
      <c r="B3664" s="10"/>
      <c r="C3664" s="10"/>
      <c r="D3664" s="12"/>
      <c r="E3664" s="10"/>
      <c r="F3664" s="10"/>
      <c r="G3664" s="10"/>
    </row>
    <row r="3665" spans="1:7" x14ac:dyDescent="0.25">
      <c r="A3665" s="10"/>
      <c r="B3665" s="10"/>
      <c r="C3665" s="10"/>
      <c r="D3665" s="12"/>
      <c r="E3665" s="10"/>
      <c r="F3665" s="10"/>
      <c r="G3665" s="10"/>
    </row>
    <row r="3666" spans="1:7" x14ac:dyDescent="0.25">
      <c r="A3666" s="10"/>
      <c r="B3666" s="10"/>
      <c r="C3666" s="10"/>
      <c r="D3666" s="12"/>
      <c r="E3666" s="10"/>
      <c r="F3666" s="10"/>
      <c r="G3666" s="10"/>
    </row>
    <row r="3667" spans="1:7" x14ac:dyDescent="0.25">
      <c r="A3667" s="10"/>
      <c r="B3667" s="10"/>
      <c r="C3667" s="10"/>
      <c r="D3667" s="12"/>
      <c r="E3667" s="10"/>
      <c r="F3667" s="10"/>
      <c r="G3667" s="10"/>
    </row>
    <row r="3668" spans="1:7" x14ac:dyDescent="0.25">
      <c r="A3668" s="10"/>
      <c r="B3668" s="10"/>
      <c r="C3668" s="10"/>
      <c r="D3668" s="12"/>
      <c r="E3668" s="10"/>
      <c r="F3668" s="10"/>
      <c r="G3668" s="10"/>
    </row>
    <row r="3669" spans="1:7" x14ac:dyDescent="0.25">
      <c r="A3669" s="10"/>
      <c r="B3669" s="10"/>
      <c r="C3669" s="10"/>
      <c r="D3669" s="12"/>
      <c r="E3669" s="10"/>
      <c r="F3669" s="10"/>
      <c r="G3669" s="10"/>
    </row>
    <row r="3670" spans="1:7" x14ac:dyDescent="0.25">
      <c r="A3670" s="10"/>
      <c r="B3670" s="10"/>
      <c r="C3670" s="10"/>
      <c r="D3670" s="12"/>
      <c r="E3670" s="10"/>
      <c r="F3670" s="10"/>
      <c r="G3670" s="10"/>
    </row>
    <row r="3671" spans="1:7" x14ac:dyDescent="0.25">
      <c r="A3671" s="10"/>
      <c r="B3671" s="10"/>
      <c r="C3671" s="10"/>
      <c r="D3671" s="12"/>
      <c r="E3671" s="10"/>
      <c r="F3671" s="10"/>
      <c r="G3671" s="10"/>
    </row>
    <row r="3672" spans="1:7" x14ac:dyDescent="0.25">
      <c r="A3672" s="10"/>
      <c r="B3672" s="10"/>
      <c r="C3672" s="10"/>
      <c r="D3672" s="12"/>
      <c r="E3672" s="10"/>
      <c r="F3672" s="10"/>
      <c r="G3672" s="10"/>
    </row>
    <row r="3673" spans="1:7" x14ac:dyDescent="0.25">
      <c r="A3673" s="10"/>
      <c r="B3673" s="10"/>
      <c r="C3673" s="10"/>
      <c r="D3673" s="12"/>
      <c r="E3673" s="10"/>
      <c r="F3673" s="10"/>
      <c r="G3673" s="10"/>
    </row>
    <row r="3674" spans="1:7" x14ac:dyDescent="0.25">
      <c r="A3674" s="10"/>
      <c r="B3674" s="10"/>
      <c r="C3674" s="10"/>
      <c r="D3674" s="12"/>
      <c r="E3674" s="10"/>
      <c r="F3674" s="10"/>
      <c r="G3674" s="10"/>
    </row>
    <row r="3675" spans="1:7" x14ac:dyDescent="0.25">
      <c r="A3675" s="10"/>
      <c r="B3675" s="10"/>
      <c r="C3675" s="10"/>
      <c r="D3675" s="12"/>
      <c r="E3675" s="10"/>
      <c r="F3675" s="10"/>
      <c r="G3675" s="10"/>
    </row>
    <row r="3676" spans="1:7" x14ac:dyDescent="0.25">
      <c r="A3676" s="10"/>
      <c r="B3676" s="10"/>
      <c r="C3676" s="10"/>
      <c r="D3676" s="12"/>
      <c r="E3676" s="10"/>
      <c r="F3676" s="10"/>
      <c r="G3676" s="10"/>
    </row>
    <row r="3677" spans="1:7" x14ac:dyDescent="0.25">
      <c r="A3677" s="10"/>
      <c r="B3677" s="10"/>
      <c r="C3677" s="10"/>
      <c r="D3677" s="12"/>
      <c r="E3677" s="10"/>
      <c r="F3677" s="10"/>
      <c r="G3677" s="10"/>
    </row>
    <row r="3678" spans="1:7" x14ac:dyDescent="0.25">
      <c r="A3678" s="10"/>
      <c r="B3678" s="10"/>
      <c r="C3678" s="10"/>
      <c r="D3678" s="12"/>
      <c r="E3678" s="10"/>
      <c r="F3678" s="10"/>
      <c r="G3678" s="10"/>
    </row>
    <row r="3679" spans="1:7" x14ac:dyDescent="0.25">
      <c r="A3679" s="10"/>
      <c r="B3679" s="10"/>
      <c r="C3679" s="10"/>
      <c r="D3679" s="12"/>
      <c r="E3679" s="10"/>
      <c r="F3679" s="10"/>
      <c r="G3679" s="10"/>
    </row>
    <row r="3680" spans="1:7" x14ac:dyDescent="0.25">
      <c r="A3680" s="10"/>
      <c r="B3680" s="10"/>
      <c r="C3680" s="10"/>
      <c r="D3680" s="12"/>
      <c r="E3680" s="10"/>
      <c r="F3680" s="10"/>
      <c r="G3680" s="10"/>
    </row>
    <row r="3681" spans="1:7" x14ac:dyDescent="0.25">
      <c r="A3681" s="10"/>
      <c r="B3681" s="10"/>
      <c r="C3681" s="10"/>
      <c r="D3681" s="12"/>
      <c r="E3681" s="10"/>
      <c r="F3681" s="10"/>
      <c r="G3681" s="10"/>
    </row>
    <row r="3682" spans="1:7" x14ac:dyDescent="0.25">
      <c r="A3682" s="10"/>
      <c r="B3682" s="10"/>
      <c r="C3682" s="10"/>
      <c r="D3682" s="12"/>
      <c r="E3682" s="10"/>
      <c r="F3682" s="10"/>
      <c r="G3682" s="10"/>
    </row>
    <row r="3683" spans="1:7" x14ac:dyDescent="0.25">
      <c r="A3683" s="10"/>
      <c r="B3683" s="10"/>
      <c r="C3683" s="10"/>
      <c r="D3683" s="12"/>
      <c r="E3683" s="10"/>
      <c r="F3683" s="10"/>
      <c r="G3683" s="10"/>
    </row>
    <row r="3684" spans="1:7" x14ac:dyDescent="0.25">
      <c r="A3684" s="10"/>
      <c r="B3684" s="10"/>
      <c r="C3684" s="10"/>
      <c r="D3684" s="12"/>
      <c r="E3684" s="10"/>
      <c r="F3684" s="10"/>
      <c r="G3684" s="10"/>
    </row>
    <row r="3685" spans="1:7" x14ac:dyDescent="0.25">
      <c r="A3685" s="10"/>
      <c r="B3685" s="10"/>
      <c r="C3685" s="10"/>
      <c r="D3685" s="12"/>
      <c r="E3685" s="10"/>
      <c r="F3685" s="10"/>
      <c r="G3685" s="10"/>
    </row>
    <row r="3686" spans="1:7" x14ac:dyDescent="0.25">
      <c r="A3686" s="10"/>
      <c r="B3686" s="10"/>
      <c r="C3686" s="10"/>
      <c r="D3686" s="12"/>
      <c r="E3686" s="10"/>
      <c r="F3686" s="10"/>
      <c r="G3686" s="10"/>
    </row>
    <row r="3687" spans="1:7" x14ac:dyDescent="0.25">
      <c r="A3687" s="10"/>
      <c r="B3687" s="10"/>
      <c r="C3687" s="10"/>
      <c r="D3687" s="12"/>
      <c r="E3687" s="10"/>
      <c r="F3687" s="10"/>
      <c r="G3687" s="10"/>
    </row>
    <row r="3688" spans="1:7" x14ac:dyDescent="0.25">
      <c r="A3688" s="10"/>
      <c r="B3688" s="10"/>
      <c r="C3688" s="10"/>
      <c r="D3688" s="12"/>
      <c r="E3688" s="10"/>
      <c r="F3688" s="10"/>
      <c r="G3688" s="10"/>
    </row>
    <row r="3689" spans="1:7" x14ac:dyDescent="0.25">
      <c r="A3689" s="10"/>
      <c r="B3689" s="10"/>
      <c r="C3689" s="10"/>
      <c r="D3689" s="12"/>
      <c r="E3689" s="10"/>
      <c r="F3689" s="10"/>
      <c r="G3689" s="10"/>
    </row>
    <row r="3690" spans="1:7" x14ac:dyDescent="0.25">
      <c r="A3690" s="10"/>
      <c r="B3690" s="10"/>
      <c r="C3690" s="10"/>
      <c r="D3690" s="12"/>
      <c r="E3690" s="10"/>
      <c r="F3690" s="10"/>
      <c r="G3690" s="10"/>
    </row>
    <row r="3691" spans="1:7" x14ac:dyDescent="0.25">
      <c r="A3691" s="10"/>
      <c r="B3691" s="10"/>
      <c r="C3691" s="10"/>
      <c r="D3691" s="12"/>
      <c r="E3691" s="10"/>
      <c r="F3691" s="10"/>
      <c r="G3691" s="10"/>
    </row>
    <row r="3692" spans="1:7" x14ac:dyDescent="0.25">
      <c r="A3692" s="10"/>
      <c r="B3692" s="10"/>
      <c r="C3692" s="10"/>
      <c r="D3692" s="12"/>
      <c r="E3692" s="10"/>
      <c r="F3692" s="10"/>
      <c r="G3692" s="10"/>
    </row>
    <row r="3693" spans="1:7" x14ac:dyDescent="0.25">
      <c r="A3693" s="10"/>
      <c r="B3693" s="10"/>
      <c r="C3693" s="10"/>
      <c r="D3693" s="12"/>
      <c r="E3693" s="10"/>
      <c r="F3693" s="10"/>
      <c r="G3693" s="10"/>
    </row>
    <row r="3694" spans="1:7" x14ac:dyDescent="0.25">
      <c r="A3694" s="10"/>
      <c r="B3694" s="10"/>
      <c r="C3694" s="10"/>
      <c r="D3694" s="12"/>
      <c r="E3694" s="10"/>
      <c r="F3694" s="10"/>
      <c r="G3694" s="10"/>
    </row>
    <row r="3695" spans="1:7" x14ac:dyDescent="0.25">
      <c r="A3695" s="10"/>
      <c r="B3695" s="10"/>
      <c r="C3695" s="10"/>
      <c r="D3695" s="12"/>
      <c r="E3695" s="10"/>
      <c r="F3695" s="10"/>
      <c r="G3695" s="10"/>
    </row>
    <row r="3696" spans="1:7" x14ac:dyDescent="0.25">
      <c r="A3696" s="10"/>
      <c r="B3696" s="10"/>
      <c r="C3696" s="10"/>
      <c r="D3696" s="12"/>
      <c r="E3696" s="10"/>
      <c r="F3696" s="10"/>
      <c r="G3696" s="10"/>
    </row>
    <row r="3697" spans="1:7" x14ac:dyDescent="0.25">
      <c r="A3697" s="10"/>
      <c r="B3697" s="10"/>
      <c r="C3697" s="10"/>
      <c r="D3697" s="12"/>
      <c r="E3697" s="10"/>
      <c r="F3697" s="10"/>
      <c r="G3697" s="10"/>
    </row>
    <row r="3698" spans="1:7" x14ac:dyDescent="0.25">
      <c r="A3698" s="10"/>
      <c r="B3698" s="10"/>
      <c r="C3698" s="10"/>
      <c r="D3698" s="12"/>
      <c r="E3698" s="10"/>
      <c r="F3698" s="10"/>
      <c r="G3698" s="10"/>
    </row>
    <row r="3699" spans="1:7" x14ac:dyDescent="0.25">
      <c r="A3699" s="10"/>
      <c r="B3699" s="10"/>
      <c r="C3699" s="10"/>
      <c r="D3699" s="12"/>
      <c r="E3699" s="10"/>
      <c r="F3699" s="10"/>
      <c r="G3699" s="10"/>
    </row>
    <row r="3700" spans="1:7" x14ac:dyDescent="0.25">
      <c r="A3700" s="10"/>
      <c r="B3700" s="10"/>
      <c r="C3700" s="10"/>
      <c r="D3700" s="12"/>
      <c r="E3700" s="10"/>
      <c r="F3700" s="10"/>
      <c r="G3700" s="10"/>
    </row>
    <row r="3701" spans="1:7" x14ac:dyDescent="0.25">
      <c r="A3701" s="10"/>
      <c r="B3701" s="10"/>
      <c r="C3701" s="10"/>
      <c r="D3701" s="12"/>
      <c r="E3701" s="10"/>
      <c r="F3701" s="10"/>
      <c r="G3701" s="10"/>
    </row>
    <row r="3702" spans="1:7" x14ac:dyDescent="0.25">
      <c r="A3702" s="10"/>
      <c r="B3702" s="10"/>
      <c r="C3702" s="10"/>
      <c r="D3702" s="12"/>
      <c r="E3702" s="10"/>
      <c r="F3702" s="10"/>
      <c r="G3702" s="10"/>
    </row>
    <row r="3703" spans="1:7" x14ac:dyDescent="0.25">
      <c r="A3703" s="10"/>
      <c r="B3703" s="10"/>
      <c r="C3703" s="10"/>
      <c r="D3703" s="12"/>
      <c r="E3703" s="10"/>
      <c r="F3703" s="10"/>
      <c r="G3703" s="10"/>
    </row>
    <row r="3704" spans="1:7" x14ac:dyDescent="0.25">
      <c r="A3704" s="10"/>
      <c r="B3704" s="10"/>
      <c r="C3704" s="10"/>
      <c r="D3704" s="12"/>
      <c r="E3704" s="10"/>
      <c r="F3704" s="10"/>
      <c r="G3704" s="10"/>
    </row>
    <row r="3705" spans="1:7" x14ac:dyDescent="0.25">
      <c r="A3705" s="10"/>
      <c r="B3705" s="10"/>
      <c r="C3705" s="10"/>
      <c r="D3705" s="12"/>
      <c r="E3705" s="10"/>
      <c r="F3705" s="10"/>
      <c r="G3705" s="10"/>
    </row>
    <row r="3706" spans="1:7" x14ac:dyDescent="0.25">
      <c r="A3706" s="10"/>
      <c r="B3706" s="10"/>
      <c r="C3706" s="10"/>
      <c r="D3706" s="12"/>
      <c r="E3706" s="10"/>
      <c r="F3706" s="10"/>
      <c r="G3706" s="10"/>
    </row>
    <row r="3707" spans="1:7" x14ac:dyDescent="0.25">
      <c r="A3707" s="10"/>
      <c r="B3707" s="10"/>
      <c r="C3707" s="10"/>
      <c r="D3707" s="12"/>
      <c r="E3707" s="10"/>
      <c r="F3707" s="10"/>
      <c r="G3707" s="10"/>
    </row>
    <row r="3708" spans="1:7" x14ac:dyDescent="0.25">
      <c r="A3708" s="10"/>
      <c r="B3708" s="10"/>
      <c r="C3708" s="10"/>
      <c r="D3708" s="12"/>
      <c r="E3708" s="10"/>
      <c r="F3708" s="10"/>
      <c r="G3708" s="10"/>
    </row>
    <row r="3709" spans="1:7" x14ac:dyDescent="0.25">
      <c r="A3709" s="10"/>
      <c r="B3709" s="10"/>
      <c r="C3709" s="10"/>
      <c r="D3709" s="12"/>
      <c r="E3709" s="10"/>
      <c r="F3709" s="10"/>
      <c r="G3709" s="10"/>
    </row>
    <row r="3710" spans="1:7" x14ac:dyDescent="0.25">
      <c r="A3710" s="10"/>
      <c r="B3710" s="10"/>
      <c r="C3710" s="10"/>
      <c r="D3710" s="12"/>
      <c r="E3710" s="10"/>
      <c r="F3710" s="10"/>
      <c r="G3710" s="10"/>
    </row>
    <row r="3711" spans="1:7" x14ac:dyDescent="0.25">
      <c r="A3711" s="10"/>
      <c r="B3711" s="10"/>
      <c r="C3711" s="10"/>
      <c r="D3711" s="12"/>
      <c r="E3711" s="10"/>
      <c r="F3711" s="10"/>
      <c r="G3711" s="10"/>
    </row>
    <row r="3712" spans="1:7" x14ac:dyDescent="0.25">
      <c r="A3712" s="10"/>
      <c r="B3712" s="10"/>
      <c r="C3712" s="10"/>
      <c r="D3712" s="12"/>
      <c r="E3712" s="10"/>
      <c r="F3712" s="10"/>
      <c r="G3712" s="10"/>
    </row>
    <row r="3713" spans="1:7" x14ac:dyDescent="0.25">
      <c r="A3713" s="10"/>
      <c r="B3713" s="10"/>
      <c r="C3713" s="10"/>
      <c r="D3713" s="12"/>
      <c r="E3713" s="10"/>
      <c r="F3713" s="10"/>
      <c r="G3713" s="10"/>
    </row>
    <row r="3714" spans="1:7" x14ac:dyDescent="0.25">
      <c r="A3714" s="10"/>
      <c r="B3714" s="10"/>
      <c r="C3714" s="10"/>
      <c r="D3714" s="12"/>
      <c r="E3714" s="10"/>
      <c r="F3714" s="10"/>
      <c r="G3714" s="10"/>
    </row>
    <row r="3715" spans="1:7" x14ac:dyDescent="0.25">
      <c r="A3715" s="10"/>
      <c r="B3715" s="10"/>
      <c r="C3715" s="10"/>
      <c r="D3715" s="12"/>
      <c r="E3715" s="10"/>
      <c r="F3715" s="10"/>
      <c r="G3715" s="10"/>
    </row>
    <row r="3716" spans="1:7" x14ac:dyDescent="0.25">
      <c r="A3716" s="10"/>
      <c r="B3716" s="10"/>
      <c r="C3716" s="10"/>
      <c r="D3716" s="12"/>
      <c r="E3716" s="10"/>
      <c r="F3716" s="10"/>
      <c r="G3716" s="10"/>
    </row>
    <row r="3717" spans="1:7" x14ac:dyDescent="0.25">
      <c r="A3717" s="10"/>
      <c r="B3717" s="10"/>
      <c r="C3717" s="10"/>
      <c r="D3717" s="12"/>
      <c r="E3717" s="10"/>
      <c r="F3717" s="10"/>
      <c r="G3717" s="10"/>
    </row>
    <row r="3718" spans="1:7" x14ac:dyDescent="0.25">
      <c r="A3718" s="10"/>
      <c r="B3718" s="10"/>
      <c r="C3718" s="10"/>
      <c r="D3718" s="12"/>
      <c r="E3718" s="10"/>
      <c r="F3718" s="10"/>
      <c r="G3718" s="10"/>
    </row>
    <row r="3719" spans="1:7" x14ac:dyDescent="0.25">
      <c r="A3719" s="10"/>
      <c r="B3719" s="10"/>
      <c r="C3719" s="10"/>
      <c r="D3719" s="12"/>
      <c r="E3719" s="10"/>
      <c r="F3719" s="10"/>
      <c r="G3719" s="10"/>
    </row>
    <row r="3720" spans="1:7" x14ac:dyDescent="0.25">
      <c r="A3720" s="10"/>
      <c r="B3720" s="10"/>
      <c r="C3720" s="10"/>
      <c r="D3720" s="12"/>
      <c r="E3720" s="10"/>
      <c r="F3720" s="10"/>
      <c r="G3720" s="10"/>
    </row>
    <row r="3721" spans="1:7" x14ac:dyDescent="0.25">
      <c r="A3721" s="10"/>
      <c r="B3721" s="10"/>
      <c r="C3721" s="10"/>
      <c r="D3721" s="12"/>
      <c r="E3721" s="10"/>
      <c r="F3721" s="10"/>
      <c r="G3721" s="10"/>
    </row>
    <row r="3722" spans="1:7" x14ac:dyDescent="0.25">
      <c r="A3722" s="10"/>
      <c r="B3722" s="10"/>
      <c r="C3722" s="10"/>
      <c r="D3722" s="12"/>
      <c r="E3722" s="10"/>
      <c r="F3722" s="10"/>
      <c r="G3722" s="10"/>
    </row>
    <row r="3723" spans="1:7" x14ac:dyDescent="0.25">
      <c r="A3723" s="10"/>
      <c r="B3723" s="10"/>
      <c r="C3723" s="10"/>
      <c r="D3723" s="12"/>
      <c r="E3723" s="10"/>
      <c r="F3723" s="10"/>
      <c r="G3723" s="10"/>
    </row>
    <row r="3724" spans="1:7" x14ac:dyDescent="0.25">
      <c r="A3724" s="10"/>
      <c r="B3724" s="10"/>
      <c r="C3724" s="10"/>
      <c r="D3724" s="12"/>
      <c r="E3724" s="10"/>
      <c r="F3724" s="10"/>
      <c r="G3724" s="10"/>
    </row>
    <row r="3725" spans="1:7" x14ac:dyDescent="0.25">
      <c r="A3725" s="10"/>
      <c r="B3725" s="10"/>
      <c r="C3725" s="10"/>
      <c r="D3725" s="12"/>
      <c r="E3725" s="10"/>
      <c r="F3725" s="10"/>
      <c r="G3725" s="10"/>
    </row>
    <row r="3726" spans="1:7" x14ac:dyDescent="0.25">
      <c r="A3726" s="10"/>
      <c r="B3726" s="10"/>
      <c r="C3726" s="10"/>
      <c r="D3726" s="12"/>
      <c r="E3726" s="10"/>
      <c r="F3726" s="10"/>
      <c r="G3726" s="10"/>
    </row>
    <row r="3727" spans="1:7" x14ac:dyDescent="0.25">
      <c r="A3727" s="10"/>
      <c r="B3727" s="10"/>
      <c r="C3727" s="10"/>
      <c r="D3727" s="12"/>
      <c r="E3727" s="10"/>
      <c r="F3727" s="10"/>
      <c r="G3727" s="10"/>
    </row>
    <row r="3728" spans="1:7" x14ac:dyDescent="0.25">
      <c r="A3728" s="10"/>
      <c r="B3728" s="10"/>
      <c r="C3728" s="10"/>
      <c r="D3728" s="12"/>
      <c r="E3728" s="10"/>
      <c r="F3728" s="10"/>
      <c r="G3728" s="10"/>
    </row>
    <row r="3729" spans="1:7" x14ac:dyDescent="0.25">
      <c r="A3729" s="10"/>
      <c r="B3729" s="10"/>
      <c r="C3729" s="10"/>
      <c r="D3729" s="12"/>
      <c r="E3729" s="10"/>
      <c r="F3729" s="10"/>
      <c r="G3729" s="10"/>
    </row>
    <row r="3730" spans="1:7" x14ac:dyDescent="0.25">
      <c r="A3730" s="10"/>
      <c r="B3730" s="10"/>
      <c r="C3730" s="10"/>
      <c r="D3730" s="12"/>
      <c r="E3730" s="10"/>
      <c r="F3730" s="10"/>
      <c r="G3730" s="10"/>
    </row>
    <row r="3731" spans="1:7" x14ac:dyDescent="0.25">
      <c r="A3731" s="10"/>
      <c r="B3731" s="10"/>
      <c r="C3731" s="10"/>
      <c r="D3731" s="12"/>
      <c r="E3731" s="10"/>
      <c r="F3731" s="10"/>
      <c r="G3731" s="10"/>
    </row>
    <row r="3732" spans="1:7" x14ac:dyDescent="0.25">
      <c r="A3732" s="10"/>
      <c r="B3732" s="10"/>
      <c r="C3732" s="10"/>
      <c r="D3732" s="12"/>
      <c r="E3732" s="10"/>
      <c r="F3732" s="10"/>
      <c r="G3732" s="10"/>
    </row>
    <row r="3733" spans="1:7" x14ac:dyDescent="0.25">
      <c r="A3733" s="10"/>
      <c r="B3733" s="10"/>
      <c r="C3733" s="10"/>
      <c r="D3733" s="12"/>
      <c r="E3733" s="10"/>
      <c r="F3733" s="10"/>
      <c r="G3733" s="10"/>
    </row>
    <row r="3734" spans="1:7" x14ac:dyDescent="0.25">
      <c r="A3734" s="10"/>
      <c r="B3734" s="10"/>
      <c r="C3734" s="10"/>
      <c r="D3734" s="12"/>
      <c r="E3734" s="10"/>
      <c r="F3734" s="10"/>
      <c r="G3734" s="10"/>
    </row>
    <row r="3735" spans="1:7" x14ac:dyDescent="0.25">
      <c r="A3735" s="10"/>
      <c r="B3735" s="10"/>
      <c r="C3735" s="10"/>
      <c r="D3735" s="12"/>
      <c r="E3735" s="10"/>
      <c r="F3735" s="10"/>
      <c r="G3735" s="10"/>
    </row>
    <row r="3736" spans="1:7" x14ac:dyDescent="0.25">
      <c r="A3736" s="10"/>
      <c r="B3736" s="10"/>
      <c r="C3736" s="10"/>
      <c r="D3736" s="12"/>
      <c r="E3736" s="10"/>
      <c r="F3736" s="10"/>
      <c r="G3736" s="10"/>
    </row>
    <row r="3737" spans="1:7" x14ac:dyDescent="0.25">
      <c r="A3737" s="10"/>
      <c r="B3737" s="10"/>
      <c r="C3737" s="10"/>
      <c r="D3737" s="12"/>
      <c r="E3737" s="10"/>
      <c r="F3737" s="10"/>
      <c r="G3737" s="10"/>
    </row>
    <row r="3738" spans="1:7" x14ac:dyDescent="0.25">
      <c r="A3738" s="10"/>
      <c r="B3738" s="10"/>
      <c r="C3738" s="10"/>
      <c r="D3738" s="12"/>
      <c r="E3738" s="10"/>
      <c r="F3738" s="10"/>
      <c r="G3738" s="10"/>
    </row>
    <row r="3739" spans="1:7" x14ac:dyDescent="0.25">
      <c r="A3739" s="10"/>
      <c r="B3739" s="10"/>
      <c r="C3739" s="10"/>
      <c r="D3739" s="12"/>
      <c r="E3739" s="10"/>
      <c r="F3739" s="10"/>
      <c r="G3739" s="10"/>
    </row>
    <row r="3740" spans="1:7" x14ac:dyDescent="0.25">
      <c r="A3740" s="10"/>
      <c r="B3740" s="10"/>
      <c r="C3740" s="10"/>
      <c r="D3740" s="12"/>
      <c r="E3740" s="10"/>
      <c r="F3740" s="10"/>
      <c r="G3740" s="10"/>
    </row>
    <row r="3741" spans="1:7" x14ac:dyDescent="0.25">
      <c r="A3741" s="10"/>
      <c r="B3741" s="10"/>
      <c r="C3741" s="10"/>
      <c r="D3741" s="12"/>
      <c r="E3741" s="10"/>
      <c r="F3741" s="10"/>
      <c r="G3741" s="10"/>
    </row>
    <row r="3742" spans="1:7" x14ac:dyDescent="0.25">
      <c r="A3742" s="10"/>
      <c r="B3742" s="10"/>
      <c r="C3742" s="10"/>
      <c r="D3742" s="12"/>
      <c r="E3742" s="10"/>
      <c r="F3742" s="10"/>
      <c r="G3742" s="10"/>
    </row>
    <row r="3743" spans="1:7" x14ac:dyDescent="0.25">
      <c r="A3743" s="10"/>
      <c r="B3743" s="10"/>
      <c r="C3743" s="10"/>
      <c r="D3743" s="12"/>
      <c r="E3743" s="10"/>
      <c r="F3743" s="10"/>
      <c r="G3743" s="10"/>
    </row>
    <row r="3744" spans="1:7" x14ac:dyDescent="0.25">
      <c r="A3744" s="10"/>
      <c r="B3744" s="10"/>
      <c r="C3744" s="10"/>
      <c r="D3744" s="12"/>
      <c r="E3744" s="10"/>
      <c r="F3744" s="10"/>
      <c r="G3744" s="10"/>
    </row>
    <row r="3745" spans="1:7" x14ac:dyDescent="0.25">
      <c r="A3745" s="10"/>
      <c r="B3745" s="10"/>
      <c r="C3745" s="10"/>
      <c r="D3745" s="12"/>
      <c r="E3745" s="10"/>
      <c r="F3745" s="10"/>
      <c r="G3745" s="10"/>
    </row>
    <row r="3746" spans="1:7" x14ac:dyDescent="0.25">
      <c r="A3746" s="10"/>
      <c r="B3746" s="10"/>
      <c r="C3746" s="10"/>
      <c r="D3746" s="12"/>
      <c r="E3746" s="10"/>
      <c r="F3746" s="10"/>
      <c r="G3746" s="10"/>
    </row>
    <row r="3747" spans="1:7" x14ac:dyDescent="0.25">
      <c r="A3747" s="10"/>
      <c r="B3747" s="10"/>
      <c r="C3747" s="10"/>
      <c r="D3747" s="12"/>
      <c r="E3747" s="10"/>
      <c r="F3747" s="10"/>
      <c r="G3747" s="10"/>
    </row>
    <row r="3748" spans="1:7" x14ac:dyDescent="0.25">
      <c r="A3748" s="10"/>
      <c r="B3748" s="10"/>
      <c r="C3748" s="10"/>
      <c r="D3748" s="12"/>
      <c r="E3748" s="10"/>
      <c r="F3748" s="10"/>
      <c r="G3748" s="10"/>
    </row>
    <row r="3749" spans="1:7" x14ac:dyDescent="0.25">
      <c r="A3749" s="10"/>
      <c r="B3749" s="10"/>
      <c r="C3749" s="10"/>
      <c r="D3749" s="12"/>
      <c r="E3749" s="10"/>
      <c r="F3749" s="10"/>
      <c r="G3749" s="10"/>
    </row>
    <row r="3750" spans="1:7" x14ac:dyDescent="0.25">
      <c r="A3750" s="10"/>
      <c r="B3750" s="10"/>
      <c r="C3750" s="10"/>
      <c r="D3750" s="12"/>
      <c r="E3750" s="10"/>
      <c r="F3750" s="10"/>
      <c r="G3750" s="10"/>
    </row>
    <row r="3751" spans="1:7" x14ac:dyDescent="0.25">
      <c r="A3751" s="10"/>
      <c r="B3751" s="10"/>
      <c r="C3751" s="10"/>
      <c r="D3751" s="12"/>
      <c r="E3751" s="10"/>
      <c r="F3751" s="10"/>
      <c r="G3751" s="10"/>
    </row>
    <row r="3752" spans="1:7" x14ac:dyDescent="0.25">
      <c r="A3752" s="10"/>
      <c r="B3752" s="10"/>
      <c r="C3752" s="10"/>
      <c r="D3752" s="12"/>
      <c r="E3752" s="10"/>
      <c r="F3752" s="10"/>
      <c r="G3752" s="10"/>
    </row>
    <row r="3753" spans="1:7" x14ac:dyDescent="0.25">
      <c r="A3753" s="10"/>
      <c r="B3753" s="10"/>
      <c r="C3753" s="10"/>
      <c r="D3753" s="12"/>
      <c r="E3753" s="10"/>
      <c r="F3753" s="10"/>
      <c r="G3753" s="10"/>
    </row>
    <row r="3754" spans="1:7" x14ac:dyDescent="0.25">
      <c r="A3754" s="10"/>
      <c r="B3754" s="10"/>
      <c r="C3754" s="10"/>
      <c r="D3754" s="12"/>
      <c r="E3754" s="10"/>
      <c r="F3754" s="10"/>
      <c r="G3754" s="10"/>
    </row>
    <row r="3755" spans="1:7" x14ac:dyDescent="0.25">
      <c r="A3755" s="10"/>
      <c r="B3755" s="10"/>
      <c r="C3755" s="10"/>
      <c r="D3755" s="12"/>
      <c r="E3755" s="10"/>
      <c r="F3755" s="10"/>
      <c r="G3755" s="10"/>
    </row>
    <row r="3756" spans="1:7" x14ac:dyDescent="0.25">
      <c r="A3756" s="10"/>
      <c r="B3756" s="10"/>
      <c r="C3756" s="10"/>
      <c r="D3756" s="12"/>
      <c r="E3756" s="10"/>
      <c r="F3756" s="10"/>
      <c r="G3756" s="10"/>
    </row>
    <row r="3757" spans="1:7" x14ac:dyDescent="0.25">
      <c r="A3757" s="10"/>
      <c r="B3757" s="10"/>
      <c r="C3757" s="10"/>
      <c r="D3757" s="12"/>
      <c r="E3757" s="10"/>
      <c r="F3757" s="10"/>
      <c r="G3757" s="10"/>
    </row>
    <row r="3758" spans="1:7" x14ac:dyDescent="0.25">
      <c r="A3758" s="10"/>
      <c r="B3758" s="10"/>
      <c r="C3758" s="10"/>
      <c r="D3758" s="12"/>
      <c r="E3758" s="10"/>
      <c r="F3758" s="10"/>
      <c r="G3758" s="10"/>
    </row>
    <row r="3759" spans="1:7" x14ac:dyDescent="0.25">
      <c r="A3759" s="10"/>
      <c r="B3759" s="10"/>
      <c r="C3759" s="10"/>
      <c r="D3759" s="12"/>
      <c r="E3759" s="10"/>
      <c r="F3759" s="10"/>
      <c r="G3759" s="10"/>
    </row>
    <row r="3760" spans="1:7" x14ac:dyDescent="0.25">
      <c r="A3760" s="10"/>
      <c r="B3760" s="10"/>
      <c r="C3760" s="10"/>
      <c r="D3760" s="12"/>
      <c r="E3760" s="10"/>
      <c r="F3760" s="10"/>
      <c r="G3760" s="10"/>
    </row>
    <row r="3761" spans="1:7" x14ac:dyDescent="0.25">
      <c r="A3761" s="10"/>
      <c r="B3761" s="10"/>
      <c r="C3761" s="10"/>
      <c r="D3761" s="12"/>
      <c r="E3761" s="10"/>
      <c r="F3761" s="10"/>
      <c r="G3761" s="10"/>
    </row>
    <row r="3762" spans="1:7" x14ac:dyDescent="0.25">
      <c r="A3762" s="10"/>
      <c r="B3762" s="10"/>
      <c r="C3762" s="10"/>
      <c r="D3762" s="12"/>
      <c r="E3762" s="10"/>
      <c r="F3762" s="10"/>
      <c r="G3762" s="10"/>
    </row>
    <row r="3763" spans="1:7" x14ac:dyDescent="0.25">
      <c r="A3763" s="10"/>
      <c r="B3763" s="10"/>
      <c r="C3763" s="10"/>
      <c r="D3763" s="12"/>
      <c r="E3763" s="10"/>
      <c r="F3763" s="10"/>
      <c r="G3763" s="10"/>
    </row>
    <row r="3764" spans="1:7" x14ac:dyDescent="0.25">
      <c r="A3764" s="10"/>
      <c r="B3764" s="10"/>
      <c r="C3764" s="10"/>
      <c r="D3764" s="12"/>
      <c r="E3764" s="10"/>
      <c r="F3764" s="10"/>
      <c r="G3764" s="10"/>
    </row>
    <row r="3765" spans="1:7" x14ac:dyDescent="0.25">
      <c r="A3765" s="10"/>
      <c r="B3765" s="10"/>
      <c r="C3765" s="10"/>
      <c r="D3765" s="12"/>
      <c r="E3765" s="10"/>
      <c r="F3765" s="10"/>
      <c r="G3765" s="10"/>
    </row>
    <row r="3766" spans="1:7" x14ac:dyDescent="0.25">
      <c r="A3766" s="10"/>
      <c r="B3766" s="10"/>
      <c r="C3766" s="10"/>
      <c r="D3766" s="12"/>
      <c r="E3766" s="10"/>
      <c r="F3766" s="10"/>
      <c r="G3766" s="10"/>
    </row>
    <row r="3767" spans="1:7" x14ac:dyDescent="0.25">
      <c r="A3767" s="10"/>
      <c r="B3767" s="10"/>
      <c r="C3767" s="10"/>
      <c r="D3767" s="12"/>
      <c r="E3767" s="10"/>
      <c r="F3767" s="10"/>
      <c r="G3767" s="10"/>
    </row>
    <row r="3768" spans="1:7" x14ac:dyDescent="0.25">
      <c r="A3768" s="10"/>
      <c r="B3768" s="10"/>
      <c r="C3768" s="10"/>
      <c r="D3768" s="12"/>
      <c r="E3768" s="10"/>
      <c r="F3768" s="10"/>
      <c r="G3768" s="10"/>
    </row>
    <row r="3769" spans="1:7" x14ac:dyDescent="0.25">
      <c r="A3769" s="10"/>
      <c r="B3769" s="10"/>
      <c r="C3769" s="10"/>
      <c r="D3769" s="12"/>
      <c r="E3769" s="10"/>
      <c r="F3769" s="10"/>
      <c r="G3769" s="10"/>
    </row>
    <row r="3770" spans="1:7" x14ac:dyDescent="0.25">
      <c r="A3770" s="10"/>
      <c r="B3770" s="10"/>
      <c r="C3770" s="10"/>
      <c r="D3770" s="12"/>
      <c r="E3770" s="10"/>
      <c r="F3770" s="10"/>
      <c r="G3770" s="10"/>
    </row>
    <row r="3771" spans="1:7" x14ac:dyDescent="0.25">
      <c r="A3771" s="10"/>
      <c r="B3771" s="10"/>
      <c r="C3771" s="10"/>
      <c r="D3771" s="12"/>
      <c r="E3771" s="10"/>
      <c r="F3771" s="10"/>
      <c r="G3771" s="10"/>
    </row>
    <row r="3772" spans="1:7" x14ac:dyDescent="0.25">
      <c r="A3772" s="10"/>
      <c r="B3772" s="10"/>
      <c r="C3772" s="10"/>
      <c r="D3772" s="12"/>
      <c r="E3772" s="10"/>
      <c r="F3772" s="10"/>
      <c r="G3772" s="10"/>
    </row>
    <row r="3773" spans="1:7" x14ac:dyDescent="0.25">
      <c r="A3773" s="10"/>
      <c r="B3773" s="10"/>
      <c r="C3773" s="10"/>
      <c r="D3773" s="12"/>
      <c r="E3773" s="10"/>
      <c r="F3773" s="10"/>
      <c r="G3773" s="10"/>
    </row>
    <row r="3774" spans="1:7" x14ac:dyDescent="0.25">
      <c r="A3774" s="10"/>
      <c r="B3774" s="10"/>
      <c r="C3774" s="10"/>
      <c r="D3774" s="12"/>
      <c r="E3774" s="10"/>
      <c r="F3774" s="10"/>
      <c r="G3774" s="10"/>
    </row>
    <row r="3775" spans="1:7" x14ac:dyDescent="0.25">
      <c r="A3775" s="10"/>
      <c r="B3775" s="10"/>
      <c r="C3775" s="10"/>
      <c r="D3775" s="12"/>
      <c r="E3775" s="10"/>
      <c r="F3775" s="10"/>
      <c r="G3775" s="10"/>
    </row>
    <row r="3776" spans="1:7" x14ac:dyDescent="0.25">
      <c r="A3776" s="10"/>
      <c r="B3776" s="10"/>
      <c r="C3776" s="10"/>
      <c r="D3776" s="12"/>
      <c r="E3776" s="10"/>
      <c r="F3776" s="10"/>
      <c r="G3776" s="10"/>
    </row>
    <row r="3777" spans="1:7" x14ac:dyDescent="0.25">
      <c r="A3777" s="10"/>
      <c r="B3777" s="10"/>
      <c r="C3777" s="10"/>
      <c r="D3777" s="12"/>
      <c r="E3777" s="10"/>
      <c r="F3777" s="10"/>
      <c r="G3777" s="10"/>
    </row>
    <row r="3778" spans="1:7" x14ac:dyDescent="0.25">
      <c r="A3778" s="10"/>
      <c r="B3778" s="10"/>
      <c r="C3778" s="10"/>
      <c r="D3778" s="12"/>
      <c r="E3778" s="10"/>
      <c r="F3778" s="10"/>
      <c r="G3778" s="10"/>
    </row>
    <row r="3779" spans="1:7" x14ac:dyDescent="0.25">
      <c r="A3779" s="10"/>
      <c r="B3779" s="10"/>
      <c r="C3779" s="10"/>
      <c r="D3779" s="12"/>
      <c r="E3779" s="10"/>
      <c r="F3779" s="10"/>
      <c r="G3779" s="10"/>
    </row>
    <row r="3780" spans="1:7" x14ac:dyDescent="0.25">
      <c r="A3780" s="10"/>
      <c r="B3780" s="10"/>
      <c r="C3780" s="10"/>
      <c r="D3780" s="12"/>
      <c r="E3780" s="10"/>
      <c r="F3780" s="10"/>
      <c r="G3780" s="10"/>
    </row>
    <row r="3781" spans="1:7" x14ac:dyDescent="0.25">
      <c r="A3781" s="10"/>
      <c r="B3781" s="10"/>
      <c r="C3781" s="10"/>
      <c r="D3781" s="12"/>
      <c r="E3781" s="10"/>
      <c r="F3781" s="10"/>
      <c r="G3781" s="10"/>
    </row>
    <row r="3782" spans="1:7" x14ac:dyDescent="0.25">
      <c r="A3782" s="10"/>
      <c r="B3782" s="10"/>
      <c r="C3782" s="10"/>
      <c r="D3782" s="12"/>
      <c r="E3782" s="10"/>
      <c r="F3782" s="10"/>
      <c r="G3782" s="10"/>
    </row>
    <row r="3783" spans="1:7" x14ac:dyDescent="0.25">
      <c r="A3783" s="10"/>
      <c r="B3783" s="10"/>
      <c r="C3783" s="10"/>
      <c r="D3783" s="12"/>
      <c r="E3783" s="10"/>
      <c r="F3783" s="10"/>
      <c r="G3783" s="10"/>
    </row>
    <row r="3784" spans="1:7" x14ac:dyDescent="0.25">
      <c r="A3784" s="10"/>
      <c r="B3784" s="10"/>
      <c r="C3784" s="10"/>
      <c r="D3784" s="12"/>
      <c r="E3784" s="10"/>
      <c r="F3784" s="10"/>
      <c r="G3784" s="10"/>
    </row>
    <row r="3785" spans="1:7" x14ac:dyDescent="0.25">
      <c r="A3785" s="10"/>
      <c r="B3785" s="10"/>
      <c r="C3785" s="10"/>
      <c r="D3785" s="12"/>
      <c r="E3785" s="10"/>
      <c r="F3785" s="10"/>
      <c r="G3785" s="10"/>
    </row>
    <row r="3786" spans="1:7" x14ac:dyDescent="0.25">
      <c r="A3786" s="10"/>
      <c r="B3786" s="10"/>
      <c r="C3786" s="10"/>
      <c r="D3786" s="12"/>
      <c r="E3786" s="10"/>
      <c r="F3786" s="10"/>
      <c r="G3786" s="10"/>
    </row>
    <row r="3787" spans="1:7" x14ac:dyDescent="0.25">
      <c r="A3787" s="10"/>
      <c r="B3787" s="10"/>
      <c r="C3787" s="10"/>
      <c r="D3787" s="12"/>
      <c r="E3787" s="10"/>
      <c r="F3787" s="10"/>
      <c r="G3787" s="10"/>
    </row>
    <row r="3788" spans="1:7" x14ac:dyDescent="0.25">
      <c r="A3788" s="10"/>
      <c r="B3788" s="10"/>
      <c r="C3788" s="10"/>
      <c r="D3788" s="12"/>
      <c r="E3788" s="10"/>
      <c r="F3788" s="10"/>
      <c r="G3788" s="10"/>
    </row>
    <row r="3789" spans="1:7" x14ac:dyDescent="0.25">
      <c r="A3789" s="10"/>
      <c r="B3789" s="10"/>
      <c r="C3789" s="10"/>
      <c r="D3789" s="12"/>
      <c r="E3789" s="10"/>
      <c r="F3789" s="10"/>
      <c r="G3789" s="10"/>
    </row>
    <row r="3790" spans="1:7" x14ac:dyDescent="0.25">
      <c r="A3790" s="10"/>
      <c r="B3790" s="10"/>
      <c r="C3790" s="10"/>
      <c r="D3790" s="12"/>
      <c r="E3790" s="10"/>
      <c r="F3790" s="10"/>
      <c r="G3790" s="10"/>
    </row>
    <row r="3791" spans="1:7" x14ac:dyDescent="0.25">
      <c r="A3791" s="10"/>
      <c r="B3791" s="10"/>
      <c r="C3791" s="10"/>
      <c r="D3791" s="12"/>
      <c r="E3791" s="10"/>
      <c r="F3791" s="10"/>
      <c r="G3791" s="10"/>
    </row>
    <row r="3792" spans="1:7" x14ac:dyDescent="0.25">
      <c r="A3792" s="10"/>
      <c r="B3792" s="10"/>
      <c r="C3792" s="10"/>
      <c r="D3792" s="12"/>
      <c r="E3792" s="10"/>
      <c r="F3792" s="10"/>
      <c r="G3792" s="10"/>
    </row>
    <row r="3793" spans="1:7" x14ac:dyDescent="0.25">
      <c r="A3793" s="10"/>
      <c r="B3793" s="10"/>
      <c r="C3793" s="10"/>
      <c r="D3793" s="12"/>
      <c r="E3793" s="10"/>
      <c r="F3793" s="10"/>
      <c r="G3793" s="10"/>
    </row>
    <row r="3794" spans="1:7" x14ac:dyDescent="0.25">
      <c r="A3794" s="10"/>
      <c r="B3794" s="10"/>
      <c r="C3794" s="10"/>
      <c r="D3794" s="12"/>
      <c r="E3794" s="10"/>
      <c r="F3794" s="10"/>
      <c r="G3794" s="10"/>
    </row>
    <row r="3795" spans="1:7" x14ac:dyDescent="0.25">
      <c r="A3795" s="10"/>
      <c r="B3795" s="10"/>
      <c r="C3795" s="10"/>
      <c r="D3795" s="12"/>
      <c r="E3795" s="10"/>
      <c r="F3795" s="10"/>
      <c r="G3795" s="10"/>
    </row>
    <row r="3796" spans="1:7" x14ac:dyDescent="0.25">
      <c r="A3796" s="10"/>
      <c r="B3796" s="10"/>
      <c r="C3796" s="10"/>
      <c r="D3796" s="12"/>
      <c r="E3796" s="10"/>
      <c r="F3796" s="10"/>
      <c r="G3796" s="10"/>
    </row>
    <row r="3797" spans="1:7" x14ac:dyDescent="0.25">
      <c r="A3797" s="10"/>
      <c r="B3797" s="10"/>
      <c r="C3797" s="10"/>
      <c r="D3797" s="12"/>
      <c r="E3797" s="10"/>
      <c r="F3797" s="10"/>
      <c r="G3797" s="10"/>
    </row>
    <row r="3798" spans="1:7" x14ac:dyDescent="0.25">
      <c r="A3798" s="10"/>
      <c r="B3798" s="10"/>
      <c r="C3798" s="10"/>
      <c r="D3798" s="12"/>
      <c r="E3798" s="10"/>
      <c r="F3798" s="10"/>
      <c r="G3798" s="10"/>
    </row>
    <row r="3799" spans="1:7" x14ac:dyDescent="0.25">
      <c r="A3799" s="10"/>
      <c r="B3799" s="10"/>
      <c r="C3799" s="10"/>
      <c r="D3799" s="12"/>
      <c r="E3799" s="10"/>
      <c r="F3799" s="10"/>
      <c r="G3799" s="10"/>
    </row>
    <row r="3800" spans="1:7" x14ac:dyDescent="0.25">
      <c r="A3800" s="10"/>
      <c r="B3800" s="10"/>
      <c r="C3800" s="10"/>
      <c r="D3800" s="12"/>
      <c r="E3800" s="10"/>
      <c r="F3800" s="10"/>
      <c r="G3800" s="10"/>
    </row>
    <row r="3801" spans="1:7" x14ac:dyDescent="0.25">
      <c r="A3801" s="10"/>
      <c r="B3801" s="10"/>
      <c r="C3801" s="10"/>
      <c r="D3801" s="12"/>
      <c r="E3801" s="10"/>
      <c r="F3801" s="10"/>
      <c r="G3801" s="10"/>
    </row>
    <row r="3802" spans="1:7" x14ac:dyDescent="0.25">
      <c r="A3802" s="10"/>
      <c r="B3802" s="10"/>
      <c r="C3802" s="10"/>
      <c r="D3802" s="12"/>
      <c r="E3802" s="10"/>
      <c r="F3802" s="10"/>
      <c r="G3802" s="10"/>
    </row>
    <row r="3803" spans="1:7" x14ac:dyDescent="0.25">
      <c r="A3803" s="10"/>
      <c r="B3803" s="10"/>
      <c r="C3803" s="10"/>
      <c r="D3803" s="12"/>
      <c r="E3803" s="10"/>
      <c r="F3803" s="10"/>
      <c r="G3803" s="10"/>
    </row>
    <row r="3804" spans="1:7" x14ac:dyDescent="0.25">
      <c r="A3804" s="10"/>
      <c r="B3804" s="10"/>
      <c r="C3804" s="10"/>
      <c r="D3804" s="12"/>
      <c r="E3804" s="10"/>
      <c r="F3804" s="10"/>
      <c r="G3804" s="10"/>
    </row>
    <row r="3805" spans="1:7" x14ac:dyDescent="0.25">
      <c r="A3805" s="10"/>
      <c r="B3805" s="10"/>
      <c r="C3805" s="10"/>
      <c r="D3805" s="12"/>
      <c r="E3805" s="10"/>
      <c r="F3805" s="10"/>
      <c r="G3805" s="10"/>
    </row>
    <row r="3806" spans="1:7" x14ac:dyDescent="0.25">
      <c r="A3806" s="10"/>
      <c r="B3806" s="10"/>
      <c r="C3806" s="10"/>
      <c r="D3806" s="12"/>
      <c r="E3806" s="10"/>
      <c r="F3806" s="10"/>
      <c r="G3806" s="10"/>
    </row>
    <row r="3807" spans="1:7" x14ac:dyDescent="0.25">
      <c r="A3807" s="10"/>
      <c r="B3807" s="10"/>
      <c r="C3807" s="10"/>
      <c r="D3807" s="12"/>
      <c r="E3807" s="10"/>
      <c r="F3807" s="10"/>
      <c r="G3807" s="10"/>
    </row>
    <row r="3808" spans="1:7" x14ac:dyDescent="0.25">
      <c r="A3808" s="10"/>
      <c r="B3808" s="10"/>
      <c r="C3808" s="10"/>
      <c r="D3808" s="12"/>
      <c r="E3808" s="10"/>
      <c r="F3808" s="10"/>
      <c r="G3808" s="10"/>
    </row>
    <row r="3809" spans="1:7" x14ac:dyDescent="0.25">
      <c r="A3809" s="10"/>
      <c r="B3809" s="10"/>
      <c r="C3809" s="10"/>
      <c r="D3809" s="12"/>
      <c r="E3809" s="10"/>
      <c r="F3809" s="10"/>
      <c r="G3809" s="10"/>
    </row>
    <row r="3810" spans="1:7" x14ac:dyDescent="0.25">
      <c r="A3810" s="10"/>
      <c r="B3810" s="10"/>
      <c r="C3810" s="10"/>
      <c r="D3810" s="12"/>
      <c r="E3810" s="10"/>
      <c r="F3810" s="10"/>
      <c r="G3810" s="10"/>
    </row>
    <row r="3811" spans="1:7" x14ac:dyDescent="0.25">
      <c r="A3811" s="10"/>
      <c r="B3811" s="10"/>
      <c r="C3811" s="10"/>
      <c r="D3811" s="12"/>
      <c r="E3811" s="10"/>
      <c r="F3811" s="10"/>
      <c r="G3811" s="10"/>
    </row>
    <row r="3812" spans="1:7" x14ac:dyDescent="0.25">
      <c r="A3812" s="10"/>
      <c r="B3812" s="10"/>
      <c r="C3812" s="10"/>
      <c r="D3812" s="12"/>
      <c r="E3812" s="10"/>
      <c r="F3812" s="10"/>
      <c r="G3812" s="10"/>
    </row>
    <row r="3813" spans="1:7" x14ac:dyDescent="0.25">
      <c r="A3813" s="10"/>
      <c r="B3813" s="10"/>
      <c r="C3813" s="10"/>
      <c r="D3813" s="12"/>
      <c r="E3813" s="10"/>
      <c r="F3813" s="10"/>
      <c r="G3813" s="10"/>
    </row>
    <row r="3814" spans="1:7" x14ac:dyDescent="0.25">
      <c r="A3814" s="10"/>
      <c r="B3814" s="10"/>
      <c r="C3814" s="10"/>
      <c r="D3814" s="12"/>
      <c r="E3814" s="10"/>
      <c r="F3814" s="10"/>
      <c r="G3814" s="10"/>
    </row>
    <row r="3815" spans="1:7" x14ac:dyDescent="0.25">
      <c r="A3815" s="10"/>
      <c r="B3815" s="10"/>
      <c r="C3815" s="10"/>
      <c r="D3815" s="12"/>
      <c r="E3815" s="10"/>
      <c r="F3815" s="10"/>
      <c r="G3815" s="10"/>
    </row>
    <row r="3816" spans="1:7" x14ac:dyDescent="0.25">
      <c r="A3816" s="10"/>
      <c r="B3816" s="10"/>
      <c r="C3816" s="10"/>
      <c r="D3816" s="12"/>
      <c r="E3816" s="10"/>
      <c r="F3816" s="10"/>
      <c r="G3816" s="10"/>
    </row>
    <row r="3817" spans="1:7" x14ac:dyDescent="0.25">
      <c r="A3817" s="10"/>
      <c r="B3817" s="10"/>
      <c r="C3817" s="10"/>
      <c r="D3817" s="12"/>
      <c r="E3817" s="10"/>
      <c r="F3817" s="10"/>
      <c r="G3817" s="10"/>
    </row>
    <row r="3818" spans="1:7" x14ac:dyDescent="0.25">
      <c r="A3818" s="10"/>
      <c r="B3818" s="10"/>
      <c r="C3818" s="10"/>
      <c r="D3818" s="12"/>
      <c r="E3818" s="10"/>
      <c r="F3818" s="10"/>
      <c r="G3818" s="10"/>
    </row>
    <row r="3819" spans="1:7" x14ac:dyDescent="0.25">
      <c r="A3819" s="10"/>
      <c r="B3819" s="10"/>
      <c r="C3819" s="10"/>
      <c r="D3819" s="12"/>
      <c r="E3819" s="10"/>
      <c r="F3819" s="10"/>
      <c r="G3819" s="10"/>
    </row>
    <row r="3820" spans="1:7" x14ac:dyDescent="0.25">
      <c r="A3820" s="10"/>
      <c r="B3820" s="10"/>
      <c r="C3820" s="10"/>
      <c r="D3820" s="12"/>
      <c r="E3820" s="10"/>
      <c r="F3820" s="10"/>
      <c r="G3820" s="10"/>
    </row>
    <row r="3821" spans="1:7" x14ac:dyDescent="0.25">
      <c r="A3821" s="10"/>
      <c r="B3821" s="10"/>
      <c r="C3821" s="10"/>
      <c r="D3821" s="12"/>
      <c r="E3821" s="10"/>
      <c r="F3821" s="10"/>
      <c r="G3821" s="10"/>
    </row>
    <row r="3822" spans="1:7" x14ac:dyDescent="0.25">
      <c r="A3822" s="10"/>
      <c r="B3822" s="10"/>
      <c r="C3822" s="10"/>
      <c r="D3822" s="12"/>
      <c r="E3822" s="10"/>
      <c r="F3822" s="10"/>
      <c r="G3822" s="10"/>
    </row>
    <row r="3823" spans="1:7" x14ac:dyDescent="0.25">
      <c r="A3823" s="10"/>
      <c r="B3823" s="10"/>
      <c r="C3823" s="10"/>
      <c r="D3823" s="12"/>
      <c r="E3823" s="10"/>
      <c r="F3823" s="10"/>
      <c r="G3823" s="10"/>
    </row>
    <row r="3824" spans="1:7" x14ac:dyDescent="0.25">
      <c r="A3824" s="10"/>
      <c r="B3824" s="10"/>
      <c r="C3824" s="10"/>
      <c r="D3824" s="12"/>
      <c r="E3824" s="10"/>
      <c r="F3824" s="10"/>
      <c r="G3824" s="10"/>
    </row>
    <row r="3825" spans="1:7" x14ac:dyDescent="0.25">
      <c r="A3825" s="10"/>
      <c r="B3825" s="10"/>
      <c r="C3825" s="10"/>
      <c r="D3825" s="12"/>
      <c r="E3825" s="10"/>
      <c r="F3825" s="10"/>
      <c r="G3825" s="10"/>
    </row>
    <row r="3826" spans="1:7" x14ac:dyDescent="0.25">
      <c r="A3826" s="10"/>
      <c r="B3826" s="10"/>
      <c r="C3826" s="10"/>
      <c r="D3826" s="12"/>
      <c r="E3826" s="10"/>
      <c r="F3826" s="10"/>
      <c r="G3826" s="10"/>
    </row>
    <row r="3827" spans="1:7" x14ac:dyDescent="0.25">
      <c r="A3827" s="10"/>
      <c r="B3827" s="10"/>
      <c r="C3827" s="10"/>
      <c r="D3827" s="12"/>
      <c r="E3827" s="10"/>
      <c r="F3827" s="10"/>
      <c r="G3827" s="10"/>
    </row>
    <row r="3828" spans="1:7" x14ac:dyDescent="0.25">
      <c r="A3828" s="10"/>
      <c r="B3828" s="10"/>
      <c r="C3828" s="10"/>
      <c r="D3828" s="12"/>
      <c r="E3828" s="10"/>
      <c r="F3828" s="10"/>
      <c r="G3828" s="10"/>
    </row>
    <row r="3829" spans="1:7" x14ac:dyDescent="0.25">
      <c r="A3829" s="10"/>
      <c r="B3829" s="10"/>
      <c r="C3829" s="10"/>
      <c r="D3829" s="12"/>
      <c r="E3829" s="10"/>
      <c r="F3829" s="10"/>
      <c r="G3829" s="10"/>
    </row>
    <row r="3830" spans="1:7" x14ac:dyDescent="0.25">
      <c r="A3830" s="10"/>
      <c r="B3830" s="10"/>
      <c r="C3830" s="10"/>
      <c r="D3830" s="12"/>
      <c r="E3830" s="10"/>
      <c r="F3830" s="10"/>
      <c r="G3830" s="10"/>
    </row>
    <row r="3831" spans="1:7" x14ac:dyDescent="0.25">
      <c r="A3831" s="10"/>
      <c r="B3831" s="10"/>
      <c r="C3831" s="10"/>
      <c r="D3831" s="12"/>
      <c r="E3831" s="10"/>
      <c r="F3831" s="10"/>
      <c r="G3831" s="10"/>
    </row>
    <row r="3832" spans="1:7" x14ac:dyDescent="0.25">
      <c r="A3832" s="10"/>
      <c r="B3832" s="10"/>
      <c r="C3832" s="10"/>
      <c r="D3832" s="12"/>
      <c r="E3832" s="10"/>
      <c r="F3832" s="10"/>
      <c r="G3832" s="10"/>
    </row>
    <row r="3833" spans="1:7" x14ac:dyDescent="0.25">
      <c r="A3833" s="10"/>
      <c r="B3833" s="10"/>
      <c r="C3833" s="10"/>
      <c r="D3833" s="12"/>
      <c r="E3833" s="10"/>
      <c r="F3833" s="10"/>
      <c r="G3833" s="10"/>
    </row>
    <row r="3834" spans="1:7" x14ac:dyDescent="0.25">
      <c r="A3834" s="10"/>
      <c r="B3834" s="10"/>
      <c r="C3834" s="10"/>
      <c r="D3834" s="12"/>
      <c r="E3834" s="10"/>
      <c r="F3834" s="10"/>
      <c r="G3834" s="10"/>
    </row>
    <row r="3835" spans="1:7" x14ac:dyDescent="0.25">
      <c r="A3835" s="10"/>
      <c r="B3835" s="10"/>
      <c r="C3835" s="10"/>
      <c r="D3835" s="12"/>
      <c r="E3835" s="10"/>
      <c r="F3835" s="10"/>
      <c r="G3835" s="10"/>
    </row>
    <row r="3836" spans="1:7" x14ac:dyDescent="0.25">
      <c r="A3836" s="10"/>
      <c r="B3836" s="10"/>
      <c r="C3836" s="10"/>
      <c r="D3836" s="12"/>
      <c r="E3836" s="10"/>
      <c r="F3836" s="10"/>
      <c r="G3836" s="10"/>
    </row>
    <row r="3837" spans="1:7" x14ac:dyDescent="0.25">
      <c r="A3837" s="10"/>
      <c r="B3837" s="10"/>
      <c r="C3837" s="10"/>
      <c r="D3837" s="12"/>
      <c r="E3837" s="10"/>
      <c r="F3837" s="10"/>
      <c r="G3837" s="10"/>
    </row>
    <row r="3838" spans="1:7" x14ac:dyDescent="0.25">
      <c r="A3838" s="10"/>
      <c r="B3838" s="10"/>
      <c r="C3838" s="10"/>
      <c r="D3838" s="12"/>
      <c r="E3838" s="10"/>
      <c r="F3838" s="10"/>
      <c r="G3838" s="10"/>
    </row>
    <row r="3839" spans="1:7" x14ac:dyDescent="0.25">
      <c r="A3839" s="10"/>
      <c r="B3839" s="10"/>
      <c r="C3839" s="10"/>
      <c r="D3839" s="12"/>
      <c r="E3839" s="10"/>
      <c r="F3839" s="10"/>
      <c r="G3839" s="10"/>
    </row>
    <row r="3840" spans="1:7" x14ac:dyDescent="0.25">
      <c r="A3840" s="10"/>
      <c r="B3840" s="10"/>
      <c r="C3840" s="10"/>
      <c r="D3840" s="12"/>
      <c r="E3840" s="10"/>
      <c r="F3840" s="10"/>
      <c r="G3840" s="10"/>
    </row>
    <row r="3841" spans="1:7" x14ac:dyDescent="0.25">
      <c r="A3841" s="10"/>
      <c r="B3841" s="10"/>
      <c r="C3841" s="10"/>
      <c r="D3841" s="12"/>
      <c r="E3841" s="10"/>
      <c r="F3841" s="10"/>
      <c r="G3841" s="10"/>
    </row>
    <row r="3842" spans="1:7" x14ac:dyDescent="0.25">
      <c r="A3842" s="10"/>
      <c r="B3842" s="10"/>
      <c r="C3842" s="10"/>
      <c r="D3842" s="12"/>
      <c r="E3842" s="10"/>
      <c r="F3842" s="10"/>
      <c r="G3842" s="10"/>
    </row>
    <row r="3843" spans="1:7" x14ac:dyDescent="0.25">
      <c r="A3843" s="10"/>
      <c r="B3843" s="10"/>
      <c r="C3843" s="10"/>
      <c r="D3843" s="12"/>
      <c r="E3843" s="10"/>
      <c r="F3843" s="10"/>
      <c r="G3843" s="10"/>
    </row>
    <row r="3844" spans="1:7" x14ac:dyDescent="0.25">
      <c r="A3844" s="10"/>
      <c r="B3844" s="10"/>
      <c r="C3844" s="10"/>
      <c r="D3844" s="12"/>
      <c r="E3844" s="10"/>
      <c r="F3844" s="10"/>
      <c r="G3844" s="10"/>
    </row>
    <row r="3845" spans="1:7" x14ac:dyDescent="0.25">
      <c r="A3845" s="10"/>
      <c r="B3845" s="10"/>
      <c r="C3845" s="10"/>
      <c r="D3845" s="12"/>
      <c r="E3845" s="10"/>
      <c r="F3845" s="10"/>
      <c r="G3845" s="10"/>
    </row>
    <row r="3846" spans="1:7" x14ac:dyDescent="0.25">
      <c r="A3846" s="10"/>
      <c r="B3846" s="10"/>
      <c r="C3846" s="10"/>
      <c r="D3846" s="12"/>
      <c r="E3846" s="10"/>
      <c r="F3846" s="10"/>
      <c r="G3846" s="10"/>
    </row>
    <row r="3847" spans="1:7" x14ac:dyDescent="0.25">
      <c r="A3847" s="10"/>
      <c r="B3847" s="10"/>
      <c r="C3847" s="10"/>
      <c r="D3847" s="12"/>
      <c r="E3847" s="10"/>
      <c r="F3847" s="10"/>
      <c r="G3847" s="10"/>
    </row>
    <row r="3848" spans="1:7" x14ac:dyDescent="0.25">
      <c r="A3848" s="10"/>
      <c r="B3848" s="10"/>
      <c r="C3848" s="10"/>
      <c r="D3848" s="12"/>
      <c r="E3848" s="10"/>
      <c r="F3848" s="10"/>
      <c r="G3848" s="10"/>
    </row>
    <row r="3849" spans="1:7" x14ac:dyDescent="0.25">
      <c r="A3849" s="10"/>
      <c r="B3849" s="10"/>
      <c r="C3849" s="10"/>
      <c r="D3849" s="12"/>
      <c r="E3849" s="10"/>
      <c r="F3849" s="10"/>
      <c r="G3849" s="10"/>
    </row>
    <row r="3850" spans="1:7" x14ac:dyDescent="0.25">
      <c r="A3850" s="10"/>
      <c r="B3850" s="10"/>
      <c r="C3850" s="10"/>
      <c r="D3850" s="12"/>
      <c r="E3850" s="10"/>
      <c r="F3850" s="10"/>
      <c r="G3850" s="10"/>
    </row>
    <row r="3851" spans="1:7" x14ac:dyDescent="0.25">
      <c r="A3851" s="10"/>
      <c r="B3851" s="10"/>
      <c r="C3851" s="10"/>
      <c r="D3851" s="12"/>
      <c r="E3851" s="10"/>
      <c r="F3851" s="10"/>
      <c r="G3851" s="10"/>
    </row>
    <row r="3852" spans="1:7" x14ac:dyDescent="0.25">
      <c r="A3852" s="10"/>
      <c r="B3852" s="10"/>
      <c r="C3852" s="10"/>
      <c r="D3852" s="12"/>
      <c r="E3852" s="10"/>
      <c r="F3852" s="10"/>
      <c r="G3852" s="10"/>
    </row>
    <row r="3853" spans="1:7" x14ac:dyDescent="0.25">
      <c r="A3853" s="10"/>
      <c r="B3853" s="10"/>
      <c r="C3853" s="10"/>
      <c r="D3853" s="12"/>
      <c r="E3853" s="10"/>
      <c r="F3853" s="10"/>
      <c r="G3853" s="10"/>
    </row>
    <row r="3854" spans="1:7" x14ac:dyDescent="0.25">
      <c r="A3854" s="10"/>
      <c r="B3854" s="10"/>
      <c r="C3854" s="10"/>
      <c r="D3854" s="12"/>
      <c r="E3854" s="10"/>
      <c r="F3854" s="10"/>
      <c r="G3854" s="10"/>
    </row>
    <row r="3855" spans="1:7" x14ac:dyDescent="0.25">
      <c r="A3855" s="10"/>
      <c r="B3855" s="10"/>
      <c r="C3855" s="10"/>
      <c r="D3855" s="12"/>
      <c r="E3855" s="10"/>
      <c r="F3855" s="10"/>
      <c r="G3855" s="10"/>
    </row>
    <row r="3856" spans="1:7" x14ac:dyDescent="0.25">
      <c r="A3856" s="10"/>
      <c r="B3856" s="10"/>
      <c r="C3856" s="10"/>
      <c r="D3856" s="12"/>
      <c r="E3856" s="10"/>
      <c r="F3856" s="10"/>
      <c r="G3856" s="10"/>
    </row>
    <row r="3857" spans="1:7" x14ac:dyDescent="0.25">
      <c r="A3857" s="10"/>
      <c r="B3857" s="10"/>
      <c r="C3857" s="10"/>
      <c r="D3857" s="12"/>
      <c r="E3857" s="10"/>
      <c r="F3857" s="10"/>
      <c r="G3857" s="10"/>
    </row>
    <row r="3858" spans="1:7" x14ac:dyDescent="0.25">
      <c r="A3858" s="10"/>
      <c r="B3858" s="10"/>
      <c r="C3858" s="10"/>
      <c r="D3858" s="12"/>
      <c r="E3858" s="10"/>
      <c r="F3858" s="10"/>
      <c r="G3858" s="10"/>
    </row>
    <row r="3859" spans="1:7" x14ac:dyDescent="0.25">
      <c r="A3859" s="10"/>
      <c r="B3859" s="10"/>
      <c r="C3859" s="10"/>
      <c r="D3859" s="12"/>
      <c r="E3859" s="10"/>
      <c r="F3859" s="10"/>
      <c r="G3859" s="10"/>
    </row>
    <row r="3860" spans="1:7" x14ac:dyDescent="0.25">
      <c r="A3860" s="10"/>
      <c r="B3860" s="10"/>
      <c r="C3860" s="10"/>
      <c r="D3860" s="12"/>
      <c r="E3860" s="10"/>
      <c r="F3860" s="10"/>
      <c r="G3860" s="10"/>
    </row>
    <row r="3861" spans="1:7" x14ac:dyDescent="0.25">
      <c r="A3861" s="10"/>
      <c r="B3861" s="10"/>
      <c r="C3861" s="10"/>
      <c r="D3861" s="12"/>
      <c r="E3861" s="10"/>
      <c r="F3861" s="10"/>
      <c r="G3861" s="10"/>
    </row>
    <row r="3862" spans="1:7" x14ac:dyDescent="0.25">
      <c r="A3862" s="10"/>
      <c r="B3862" s="10"/>
      <c r="C3862" s="10"/>
      <c r="D3862" s="12"/>
      <c r="E3862" s="10"/>
      <c r="F3862" s="10"/>
      <c r="G3862" s="10"/>
    </row>
    <row r="3863" spans="1:7" x14ac:dyDescent="0.25">
      <c r="A3863" s="10"/>
      <c r="B3863" s="10"/>
      <c r="C3863" s="10"/>
      <c r="D3863" s="12"/>
      <c r="E3863" s="10"/>
      <c r="F3863" s="10"/>
      <c r="G3863" s="10"/>
    </row>
    <row r="3864" spans="1:7" x14ac:dyDescent="0.25">
      <c r="A3864" s="10"/>
      <c r="B3864" s="10"/>
      <c r="C3864" s="10"/>
      <c r="D3864" s="12"/>
      <c r="E3864" s="10"/>
      <c r="F3864" s="10"/>
      <c r="G3864" s="10"/>
    </row>
    <row r="3865" spans="1:7" x14ac:dyDescent="0.25">
      <c r="A3865" s="10"/>
      <c r="B3865" s="10"/>
      <c r="C3865" s="10"/>
      <c r="D3865" s="12"/>
      <c r="E3865" s="10"/>
      <c r="F3865" s="10"/>
      <c r="G3865" s="10"/>
    </row>
    <row r="3866" spans="1:7" x14ac:dyDescent="0.25">
      <c r="A3866" s="10"/>
      <c r="B3866" s="10"/>
      <c r="C3866" s="10"/>
      <c r="D3866" s="12"/>
      <c r="E3866" s="10"/>
      <c r="F3866" s="10"/>
      <c r="G3866" s="10"/>
    </row>
    <row r="3867" spans="1:7" x14ac:dyDescent="0.25">
      <c r="A3867" s="10"/>
      <c r="B3867" s="10"/>
      <c r="C3867" s="10"/>
      <c r="D3867" s="12"/>
      <c r="E3867" s="10"/>
      <c r="F3867" s="10"/>
      <c r="G3867" s="10"/>
    </row>
    <row r="3868" spans="1:7" x14ac:dyDescent="0.25">
      <c r="A3868" s="10"/>
      <c r="B3868" s="10"/>
      <c r="C3868" s="10"/>
      <c r="D3868" s="12"/>
      <c r="E3868" s="10"/>
      <c r="F3868" s="10"/>
      <c r="G3868" s="10"/>
    </row>
    <row r="3869" spans="1:7" x14ac:dyDescent="0.25">
      <c r="A3869" s="10"/>
      <c r="B3869" s="10"/>
      <c r="C3869" s="10"/>
      <c r="D3869" s="12"/>
      <c r="E3869" s="10"/>
      <c r="F3869" s="10"/>
      <c r="G3869" s="10"/>
    </row>
    <row r="3870" spans="1:7" x14ac:dyDescent="0.25">
      <c r="A3870" s="10"/>
      <c r="B3870" s="10"/>
      <c r="C3870" s="10"/>
      <c r="D3870" s="12"/>
      <c r="E3870" s="10"/>
      <c r="F3870" s="10"/>
      <c r="G3870" s="10"/>
    </row>
    <row r="3871" spans="1:7" x14ac:dyDescent="0.25">
      <c r="A3871" s="10"/>
      <c r="B3871" s="10"/>
      <c r="C3871" s="10"/>
      <c r="D3871" s="12"/>
      <c r="E3871" s="10"/>
      <c r="F3871" s="10"/>
      <c r="G3871" s="10"/>
    </row>
    <row r="3872" spans="1:7" x14ac:dyDescent="0.25">
      <c r="A3872" s="10"/>
      <c r="B3872" s="10"/>
      <c r="C3872" s="10"/>
      <c r="D3872" s="12"/>
      <c r="E3872" s="10"/>
      <c r="F3872" s="10"/>
      <c r="G3872" s="10"/>
    </row>
    <row r="3873" spans="1:7" x14ac:dyDescent="0.25">
      <c r="A3873" s="10"/>
      <c r="B3873" s="10"/>
      <c r="C3873" s="10"/>
      <c r="D3873" s="12"/>
      <c r="E3873" s="10"/>
      <c r="F3873" s="10"/>
      <c r="G3873" s="10"/>
    </row>
    <row r="3874" spans="1:7" x14ac:dyDescent="0.25">
      <c r="A3874" s="10"/>
      <c r="B3874" s="10"/>
      <c r="C3874" s="10"/>
      <c r="D3874" s="12"/>
      <c r="E3874" s="10"/>
      <c r="F3874" s="10"/>
      <c r="G3874" s="10"/>
    </row>
    <row r="3875" spans="1:7" x14ac:dyDescent="0.25">
      <c r="A3875" s="10"/>
      <c r="B3875" s="10"/>
      <c r="C3875" s="10"/>
      <c r="D3875" s="12"/>
      <c r="E3875" s="10"/>
      <c r="F3875" s="10"/>
      <c r="G3875" s="10"/>
    </row>
    <row r="3876" spans="1:7" x14ac:dyDescent="0.25">
      <c r="A3876" s="10"/>
      <c r="B3876" s="10"/>
      <c r="C3876" s="10"/>
      <c r="D3876" s="12"/>
      <c r="E3876" s="10"/>
      <c r="F3876" s="10"/>
      <c r="G3876" s="10"/>
    </row>
    <row r="3877" spans="1:7" x14ac:dyDescent="0.25">
      <c r="A3877" s="10"/>
      <c r="B3877" s="10"/>
      <c r="C3877" s="10"/>
      <c r="D3877" s="12"/>
      <c r="E3877" s="10"/>
      <c r="F3877" s="10"/>
      <c r="G3877" s="10"/>
    </row>
    <row r="3878" spans="1:7" x14ac:dyDescent="0.25">
      <c r="A3878" s="10"/>
      <c r="B3878" s="10"/>
      <c r="C3878" s="10"/>
      <c r="D3878" s="12"/>
      <c r="E3878" s="10"/>
      <c r="F3878" s="10"/>
      <c r="G3878" s="10"/>
    </row>
    <row r="3879" spans="1:7" x14ac:dyDescent="0.25">
      <c r="A3879" s="10"/>
      <c r="B3879" s="10"/>
      <c r="C3879" s="10"/>
      <c r="D3879" s="12"/>
      <c r="E3879" s="10"/>
      <c r="F3879" s="10"/>
      <c r="G3879" s="10"/>
    </row>
    <row r="3880" spans="1:7" x14ac:dyDescent="0.25">
      <c r="A3880" s="10"/>
      <c r="B3880" s="10"/>
      <c r="C3880" s="10"/>
      <c r="D3880" s="12"/>
      <c r="E3880" s="10"/>
      <c r="F3880" s="10"/>
      <c r="G3880" s="10"/>
    </row>
    <row r="3881" spans="1:7" x14ac:dyDescent="0.25">
      <c r="A3881" s="10"/>
      <c r="B3881" s="10"/>
      <c r="C3881" s="10"/>
      <c r="D3881" s="12"/>
      <c r="E3881" s="10"/>
      <c r="F3881" s="10"/>
      <c r="G3881" s="10"/>
    </row>
    <row r="3882" spans="1:7" x14ac:dyDescent="0.25">
      <c r="A3882" s="10"/>
      <c r="B3882" s="10"/>
      <c r="C3882" s="10"/>
      <c r="D3882" s="12"/>
      <c r="E3882" s="10"/>
      <c r="F3882" s="10"/>
      <c r="G3882" s="10"/>
    </row>
    <row r="3883" spans="1:7" x14ac:dyDescent="0.25">
      <c r="A3883" s="10"/>
      <c r="B3883" s="10"/>
      <c r="C3883" s="10"/>
      <c r="D3883" s="12"/>
      <c r="E3883" s="10"/>
      <c r="F3883" s="10"/>
      <c r="G3883" s="10"/>
    </row>
    <row r="3884" spans="1:7" x14ac:dyDescent="0.25">
      <c r="A3884" s="10"/>
      <c r="B3884" s="10"/>
      <c r="C3884" s="10"/>
      <c r="D3884" s="12"/>
      <c r="E3884" s="10"/>
      <c r="F3884" s="10"/>
      <c r="G3884" s="10"/>
    </row>
    <row r="3885" spans="1:7" x14ac:dyDescent="0.25">
      <c r="A3885" s="10"/>
      <c r="B3885" s="10"/>
      <c r="C3885" s="10"/>
      <c r="D3885" s="12"/>
      <c r="E3885" s="10"/>
      <c r="F3885" s="10"/>
      <c r="G3885" s="10"/>
    </row>
    <row r="3886" spans="1:7" x14ac:dyDescent="0.25">
      <c r="A3886" s="10"/>
      <c r="B3886" s="10"/>
      <c r="C3886" s="10"/>
      <c r="D3886" s="12"/>
      <c r="E3886" s="10"/>
      <c r="F3886" s="10"/>
      <c r="G3886" s="10"/>
    </row>
    <row r="3887" spans="1:7" x14ac:dyDescent="0.25">
      <c r="A3887" s="10"/>
      <c r="B3887" s="10"/>
      <c r="C3887" s="10"/>
      <c r="D3887" s="12"/>
      <c r="E3887" s="10"/>
      <c r="F3887" s="10"/>
      <c r="G3887" s="10"/>
    </row>
    <row r="3888" spans="1:7" x14ac:dyDescent="0.25">
      <c r="A3888" s="10"/>
      <c r="B3888" s="10"/>
      <c r="C3888" s="10"/>
      <c r="D3888" s="12"/>
      <c r="E3888" s="10"/>
      <c r="F3888" s="10"/>
      <c r="G3888" s="10"/>
    </row>
    <row r="3889" spans="1:7" x14ac:dyDescent="0.25">
      <c r="A3889" s="10"/>
      <c r="B3889" s="10"/>
      <c r="C3889" s="10"/>
      <c r="D3889" s="12"/>
      <c r="E3889" s="10"/>
      <c r="F3889" s="10"/>
      <c r="G3889" s="10"/>
    </row>
    <row r="3890" spans="1:7" x14ac:dyDescent="0.25">
      <c r="A3890" s="10"/>
      <c r="B3890" s="10"/>
      <c r="C3890" s="10"/>
      <c r="D3890" s="12"/>
      <c r="E3890" s="10"/>
      <c r="F3890" s="10"/>
      <c r="G3890" s="10"/>
    </row>
    <row r="3891" spans="1:7" x14ac:dyDescent="0.25">
      <c r="A3891" s="10"/>
      <c r="B3891" s="10"/>
      <c r="C3891" s="10"/>
      <c r="D3891" s="12"/>
      <c r="E3891" s="10"/>
      <c r="F3891" s="10"/>
      <c r="G3891" s="10"/>
    </row>
    <row r="3892" spans="1:7" x14ac:dyDescent="0.25">
      <c r="A3892" s="10"/>
      <c r="B3892" s="10"/>
      <c r="C3892" s="10"/>
      <c r="D3892" s="12"/>
      <c r="E3892" s="10"/>
      <c r="F3892" s="10"/>
      <c r="G3892" s="10"/>
    </row>
    <row r="3893" spans="1:7" x14ac:dyDescent="0.25">
      <c r="A3893" s="10"/>
      <c r="B3893" s="10"/>
      <c r="C3893" s="10"/>
      <c r="D3893" s="12"/>
      <c r="E3893" s="10"/>
      <c r="F3893" s="10"/>
      <c r="G3893" s="10"/>
    </row>
    <row r="3894" spans="1:7" x14ac:dyDescent="0.25">
      <c r="A3894" s="10"/>
      <c r="B3894" s="10"/>
      <c r="C3894" s="10"/>
      <c r="D3894" s="12"/>
      <c r="E3894" s="10"/>
      <c r="F3894" s="10"/>
      <c r="G3894" s="10"/>
    </row>
    <row r="3895" spans="1:7" x14ac:dyDescent="0.25">
      <c r="A3895" s="10"/>
      <c r="B3895" s="10"/>
      <c r="C3895" s="10"/>
      <c r="D3895" s="12"/>
      <c r="E3895" s="10"/>
      <c r="F3895" s="10"/>
      <c r="G3895" s="10"/>
    </row>
    <row r="3896" spans="1:7" x14ac:dyDescent="0.25">
      <c r="A3896" s="10"/>
      <c r="B3896" s="10"/>
      <c r="C3896" s="10"/>
      <c r="D3896" s="12"/>
      <c r="E3896" s="10"/>
      <c r="F3896" s="10"/>
      <c r="G3896" s="10"/>
    </row>
    <row r="3897" spans="1:7" x14ac:dyDescent="0.25">
      <c r="A3897" s="10"/>
      <c r="B3897" s="10"/>
      <c r="C3897" s="10"/>
      <c r="D3897" s="12"/>
      <c r="E3897" s="10"/>
      <c r="F3897" s="10"/>
      <c r="G3897" s="10"/>
    </row>
    <row r="3898" spans="1:7" x14ac:dyDescent="0.25">
      <c r="A3898" s="10"/>
      <c r="B3898" s="10"/>
      <c r="C3898" s="10"/>
      <c r="D3898" s="12"/>
      <c r="E3898" s="10"/>
      <c r="F3898" s="10"/>
      <c r="G3898" s="10"/>
    </row>
    <row r="3899" spans="1:7" x14ac:dyDescent="0.25">
      <c r="A3899" s="10"/>
      <c r="B3899" s="10"/>
      <c r="C3899" s="10"/>
      <c r="D3899" s="12"/>
      <c r="E3899" s="10"/>
      <c r="F3899" s="10"/>
      <c r="G3899" s="10"/>
    </row>
    <row r="3900" spans="1:7" x14ac:dyDescent="0.25">
      <c r="A3900" s="10"/>
      <c r="B3900" s="10"/>
      <c r="C3900" s="10"/>
      <c r="D3900" s="12"/>
      <c r="E3900" s="10"/>
      <c r="F3900" s="10"/>
      <c r="G3900" s="10"/>
    </row>
    <row r="3901" spans="1:7" x14ac:dyDescent="0.25">
      <c r="A3901" s="10"/>
      <c r="B3901" s="10"/>
      <c r="C3901" s="10"/>
      <c r="D3901" s="12"/>
      <c r="E3901" s="10"/>
      <c r="F3901" s="10"/>
      <c r="G3901" s="10"/>
    </row>
    <row r="3902" spans="1:7" x14ac:dyDescent="0.25">
      <c r="A3902" s="10"/>
      <c r="B3902" s="10"/>
      <c r="C3902" s="10"/>
      <c r="D3902" s="12"/>
      <c r="E3902" s="10"/>
      <c r="F3902" s="10"/>
      <c r="G3902" s="10"/>
    </row>
    <row r="3903" spans="1:7" x14ac:dyDescent="0.25">
      <c r="A3903" s="10"/>
      <c r="B3903" s="10"/>
      <c r="C3903" s="10"/>
      <c r="D3903" s="12"/>
      <c r="E3903" s="10"/>
      <c r="F3903" s="10"/>
      <c r="G3903" s="10"/>
    </row>
    <row r="3904" spans="1:7" x14ac:dyDescent="0.25">
      <c r="A3904" s="10"/>
      <c r="B3904" s="10"/>
      <c r="C3904" s="10"/>
      <c r="D3904" s="12"/>
      <c r="E3904" s="10"/>
      <c r="F3904" s="10"/>
      <c r="G3904" s="10"/>
    </row>
    <row r="3905" spans="1:7" x14ac:dyDescent="0.25">
      <c r="A3905" s="10"/>
      <c r="B3905" s="10"/>
      <c r="C3905" s="10"/>
      <c r="D3905" s="12"/>
      <c r="E3905" s="10"/>
      <c r="F3905" s="10"/>
      <c r="G3905" s="10"/>
    </row>
    <row r="3906" spans="1:7" x14ac:dyDescent="0.25">
      <c r="A3906" s="10"/>
      <c r="B3906" s="10"/>
      <c r="C3906" s="10"/>
      <c r="D3906" s="12"/>
      <c r="E3906" s="10"/>
      <c r="F3906" s="10"/>
      <c r="G3906" s="10"/>
    </row>
    <row r="3907" spans="1:7" x14ac:dyDescent="0.25">
      <c r="A3907" s="10"/>
      <c r="B3907" s="10"/>
      <c r="C3907" s="10"/>
      <c r="D3907" s="12"/>
      <c r="E3907" s="10"/>
      <c r="F3907" s="10"/>
      <c r="G3907" s="10"/>
    </row>
    <row r="3908" spans="1:7" x14ac:dyDescent="0.25">
      <c r="A3908" s="10"/>
      <c r="B3908" s="10"/>
      <c r="C3908" s="10"/>
      <c r="D3908" s="12"/>
      <c r="E3908" s="10"/>
      <c r="F3908" s="10"/>
      <c r="G3908" s="10"/>
    </row>
    <row r="3909" spans="1:7" x14ac:dyDescent="0.25">
      <c r="A3909" s="10"/>
      <c r="B3909" s="10"/>
      <c r="C3909" s="10"/>
      <c r="D3909" s="12"/>
      <c r="E3909" s="10"/>
      <c r="F3909" s="10"/>
      <c r="G3909" s="10"/>
    </row>
    <row r="3910" spans="1:7" x14ac:dyDescent="0.25">
      <c r="A3910" s="10"/>
      <c r="B3910" s="10"/>
      <c r="C3910" s="10"/>
      <c r="D3910" s="12"/>
      <c r="E3910" s="10"/>
      <c r="F3910" s="10"/>
      <c r="G3910" s="10"/>
    </row>
    <row r="3911" spans="1:7" x14ac:dyDescent="0.25">
      <c r="A3911" s="10"/>
      <c r="B3911" s="10"/>
      <c r="C3911" s="10"/>
      <c r="D3911" s="12"/>
      <c r="E3911" s="10"/>
      <c r="F3911" s="10"/>
      <c r="G3911" s="10"/>
    </row>
    <row r="3912" spans="1:7" x14ac:dyDescent="0.25">
      <c r="A3912" s="10"/>
      <c r="B3912" s="10"/>
      <c r="C3912" s="10"/>
      <c r="D3912" s="12"/>
      <c r="E3912" s="10"/>
      <c r="F3912" s="10"/>
      <c r="G3912" s="10"/>
    </row>
    <row r="3913" spans="1:7" x14ac:dyDescent="0.25">
      <c r="A3913" s="10"/>
      <c r="B3913" s="10"/>
      <c r="C3913" s="10"/>
      <c r="D3913" s="12"/>
      <c r="E3913" s="10"/>
      <c r="F3913" s="10"/>
      <c r="G3913" s="10"/>
    </row>
    <row r="3914" spans="1:7" x14ac:dyDescent="0.25">
      <c r="A3914" s="10"/>
      <c r="B3914" s="10"/>
      <c r="C3914" s="10"/>
      <c r="D3914" s="12"/>
      <c r="E3914" s="10"/>
      <c r="F3914" s="10"/>
      <c r="G3914" s="10"/>
    </row>
    <row r="3915" spans="1:7" x14ac:dyDescent="0.25">
      <c r="A3915" s="10"/>
      <c r="B3915" s="10"/>
      <c r="C3915" s="10"/>
      <c r="D3915" s="12"/>
      <c r="E3915" s="10"/>
      <c r="F3915" s="10"/>
      <c r="G3915" s="10"/>
    </row>
    <row r="3916" spans="1:7" x14ac:dyDescent="0.25">
      <c r="A3916" s="10"/>
      <c r="B3916" s="10"/>
      <c r="C3916" s="10"/>
      <c r="D3916" s="12"/>
      <c r="E3916" s="10"/>
      <c r="F3916" s="10"/>
      <c r="G3916" s="10"/>
    </row>
    <row r="3917" spans="1:7" x14ac:dyDescent="0.25">
      <c r="A3917" s="10"/>
      <c r="B3917" s="10"/>
      <c r="C3917" s="10"/>
      <c r="D3917" s="12"/>
      <c r="E3917" s="10"/>
      <c r="F3917" s="10"/>
      <c r="G3917" s="10"/>
    </row>
    <row r="3918" spans="1:7" x14ac:dyDescent="0.25">
      <c r="A3918" s="10"/>
      <c r="B3918" s="10"/>
      <c r="C3918" s="10"/>
      <c r="D3918" s="12"/>
      <c r="E3918" s="10"/>
      <c r="F3918" s="10"/>
      <c r="G3918" s="10"/>
    </row>
    <row r="3919" spans="1:7" x14ac:dyDescent="0.25">
      <c r="A3919" s="10"/>
      <c r="B3919" s="10"/>
      <c r="C3919" s="10"/>
      <c r="D3919" s="12"/>
      <c r="E3919" s="10"/>
      <c r="F3919" s="10"/>
      <c r="G3919" s="10"/>
    </row>
    <row r="3920" spans="1:7" x14ac:dyDescent="0.25">
      <c r="A3920" s="10"/>
      <c r="B3920" s="10"/>
      <c r="C3920" s="10"/>
      <c r="D3920" s="12"/>
      <c r="E3920" s="10"/>
      <c r="F3920" s="10"/>
      <c r="G3920" s="10"/>
    </row>
    <row r="3921" spans="1:7" x14ac:dyDescent="0.25">
      <c r="A3921" s="10"/>
      <c r="B3921" s="10"/>
      <c r="C3921" s="10"/>
      <c r="D3921" s="12"/>
      <c r="E3921" s="10"/>
      <c r="F3921" s="10"/>
      <c r="G3921" s="10"/>
    </row>
    <row r="3922" spans="1:7" x14ac:dyDescent="0.25">
      <c r="A3922" s="10"/>
      <c r="B3922" s="10"/>
      <c r="C3922" s="10"/>
      <c r="D3922" s="12"/>
      <c r="E3922" s="10"/>
      <c r="F3922" s="10"/>
      <c r="G3922" s="10"/>
    </row>
    <row r="3923" spans="1:7" x14ac:dyDescent="0.25">
      <c r="A3923" s="10"/>
      <c r="B3923" s="10"/>
      <c r="C3923" s="10"/>
      <c r="D3923" s="12"/>
      <c r="E3923" s="10"/>
      <c r="F3923" s="10"/>
      <c r="G3923" s="10"/>
    </row>
    <row r="3924" spans="1:7" x14ac:dyDescent="0.25">
      <c r="A3924" s="10"/>
      <c r="B3924" s="10"/>
      <c r="C3924" s="10"/>
      <c r="D3924" s="12"/>
      <c r="E3924" s="10"/>
      <c r="F3924" s="10"/>
      <c r="G3924" s="10"/>
    </row>
    <row r="3925" spans="1:7" x14ac:dyDescent="0.25">
      <c r="A3925" s="10"/>
      <c r="B3925" s="10"/>
      <c r="C3925" s="10"/>
      <c r="D3925" s="12"/>
      <c r="E3925" s="10"/>
      <c r="F3925" s="10"/>
      <c r="G3925" s="10"/>
    </row>
    <row r="3926" spans="1:7" x14ac:dyDescent="0.25">
      <c r="A3926" s="10"/>
      <c r="B3926" s="10"/>
      <c r="C3926" s="10"/>
      <c r="D3926" s="12"/>
      <c r="E3926" s="10"/>
      <c r="F3926" s="10"/>
      <c r="G3926" s="10"/>
    </row>
    <row r="3927" spans="1:7" x14ac:dyDescent="0.25">
      <c r="A3927" s="10"/>
      <c r="B3927" s="10"/>
      <c r="C3927" s="10"/>
      <c r="D3927" s="12"/>
      <c r="E3927" s="10"/>
      <c r="F3927" s="10"/>
      <c r="G3927" s="10"/>
    </row>
    <row r="3928" spans="1:7" x14ac:dyDescent="0.25">
      <c r="A3928" s="10"/>
      <c r="B3928" s="10"/>
      <c r="C3928" s="10"/>
      <c r="D3928" s="12"/>
      <c r="E3928" s="10"/>
      <c r="F3928" s="10"/>
      <c r="G3928" s="10"/>
    </row>
    <row r="3929" spans="1:7" x14ac:dyDescent="0.25">
      <c r="A3929" s="10"/>
      <c r="B3929" s="10"/>
      <c r="C3929" s="10"/>
      <c r="D3929" s="12"/>
      <c r="E3929" s="10"/>
      <c r="F3929" s="10"/>
      <c r="G3929" s="10"/>
    </row>
    <row r="3930" spans="1:7" x14ac:dyDescent="0.25">
      <c r="A3930" s="10"/>
      <c r="B3930" s="10"/>
      <c r="C3930" s="10"/>
      <c r="D3930" s="12"/>
      <c r="E3930" s="10"/>
      <c r="F3930" s="10"/>
      <c r="G3930" s="10"/>
    </row>
    <row r="3931" spans="1:7" x14ac:dyDescent="0.25">
      <c r="A3931" s="10"/>
      <c r="B3931" s="10"/>
      <c r="C3931" s="10"/>
      <c r="D3931" s="12"/>
      <c r="E3931" s="10"/>
      <c r="F3931" s="10"/>
      <c r="G3931" s="10"/>
    </row>
    <row r="3932" spans="1:7" x14ac:dyDescent="0.25">
      <c r="A3932" s="10"/>
      <c r="B3932" s="10"/>
      <c r="C3932" s="10"/>
      <c r="D3932" s="12"/>
      <c r="E3932" s="10"/>
      <c r="F3932" s="10"/>
      <c r="G3932" s="10"/>
    </row>
    <row r="3933" spans="1:7" x14ac:dyDescent="0.25">
      <c r="A3933" s="10"/>
      <c r="B3933" s="10"/>
      <c r="C3933" s="10"/>
      <c r="D3933" s="12"/>
      <c r="E3933" s="10"/>
      <c r="F3933" s="10"/>
      <c r="G3933" s="10"/>
    </row>
    <row r="3934" spans="1:7" x14ac:dyDescent="0.25">
      <c r="A3934" s="10"/>
      <c r="B3934" s="10"/>
      <c r="C3934" s="10"/>
      <c r="D3934" s="12"/>
      <c r="E3934" s="10"/>
      <c r="F3934" s="10"/>
      <c r="G3934" s="10"/>
    </row>
    <row r="3935" spans="1:7" x14ac:dyDescent="0.25">
      <c r="A3935" s="10"/>
      <c r="B3935" s="10"/>
      <c r="C3935" s="10"/>
      <c r="D3935" s="12"/>
      <c r="E3935" s="10"/>
      <c r="F3935" s="10"/>
      <c r="G3935" s="10"/>
    </row>
    <row r="3936" spans="1:7" x14ac:dyDescent="0.25">
      <c r="A3936" s="10"/>
      <c r="B3936" s="10"/>
      <c r="C3936" s="10"/>
      <c r="D3936" s="12"/>
      <c r="E3936" s="10"/>
      <c r="F3936" s="10"/>
      <c r="G3936" s="10"/>
    </row>
    <row r="3937" spans="1:7" x14ac:dyDescent="0.25">
      <c r="A3937" s="10"/>
      <c r="B3937" s="10"/>
      <c r="C3937" s="10"/>
      <c r="D3937" s="12"/>
      <c r="E3937" s="10"/>
      <c r="F3937" s="10"/>
      <c r="G3937" s="10"/>
    </row>
    <row r="3938" spans="1:7" x14ac:dyDescent="0.25">
      <c r="A3938" s="10"/>
      <c r="B3938" s="10"/>
      <c r="C3938" s="10"/>
      <c r="D3938" s="12"/>
      <c r="E3938" s="10"/>
      <c r="F3938" s="10"/>
      <c r="G3938" s="10"/>
    </row>
    <row r="3939" spans="1:7" x14ac:dyDescent="0.25">
      <c r="A3939" s="10"/>
      <c r="B3939" s="10"/>
      <c r="C3939" s="10"/>
      <c r="D3939" s="12"/>
      <c r="E3939" s="10"/>
      <c r="F3939" s="10"/>
      <c r="G3939" s="10"/>
    </row>
    <row r="3940" spans="1:7" x14ac:dyDescent="0.25">
      <c r="A3940" s="10"/>
      <c r="B3940" s="10"/>
      <c r="C3940" s="10"/>
      <c r="D3940" s="12"/>
      <c r="E3940" s="10"/>
      <c r="F3940" s="10"/>
      <c r="G3940" s="10"/>
    </row>
    <row r="3941" spans="1:7" x14ac:dyDescent="0.25">
      <c r="A3941" s="10"/>
      <c r="B3941" s="10"/>
      <c r="C3941" s="10"/>
      <c r="D3941" s="12"/>
      <c r="E3941" s="10"/>
      <c r="F3941" s="10"/>
      <c r="G3941" s="10"/>
    </row>
    <row r="3942" spans="1:7" x14ac:dyDescent="0.25">
      <c r="A3942" s="10"/>
      <c r="B3942" s="10"/>
      <c r="C3942" s="10"/>
      <c r="D3942" s="12"/>
      <c r="E3942" s="10"/>
      <c r="F3942" s="10"/>
      <c r="G3942" s="10"/>
    </row>
    <row r="3943" spans="1:7" x14ac:dyDescent="0.25">
      <c r="A3943" s="10"/>
      <c r="B3943" s="10"/>
      <c r="C3943" s="10"/>
      <c r="D3943" s="12"/>
      <c r="E3943" s="10"/>
      <c r="F3943" s="10"/>
      <c r="G3943" s="10"/>
    </row>
    <row r="3944" spans="1:7" x14ac:dyDescent="0.25">
      <c r="A3944" s="10"/>
      <c r="B3944" s="10"/>
      <c r="C3944" s="10"/>
      <c r="D3944" s="12"/>
      <c r="E3944" s="10"/>
      <c r="F3944" s="10"/>
      <c r="G3944" s="10"/>
    </row>
    <row r="3945" spans="1:7" x14ac:dyDescent="0.25">
      <c r="A3945" s="10"/>
      <c r="B3945" s="10"/>
      <c r="C3945" s="10"/>
      <c r="D3945" s="12"/>
      <c r="E3945" s="10"/>
      <c r="F3945" s="10"/>
      <c r="G3945" s="10"/>
    </row>
    <row r="3946" spans="1:7" x14ac:dyDescent="0.25">
      <c r="A3946" s="10"/>
      <c r="B3946" s="10"/>
      <c r="C3946" s="10"/>
      <c r="D3946" s="12"/>
      <c r="E3946" s="10"/>
      <c r="F3946" s="10"/>
      <c r="G3946" s="10"/>
    </row>
    <row r="3947" spans="1:7" x14ac:dyDescent="0.25">
      <c r="A3947" s="10"/>
      <c r="B3947" s="10"/>
      <c r="C3947" s="10"/>
      <c r="D3947" s="12"/>
      <c r="E3947" s="10"/>
      <c r="F3947" s="10"/>
      <c r="G3947" s="10"/>
    </row>
    <row r="3948" spans="1:7" x14ac:dyDescent="0.25">
      <c r="A3948" s="10"/>
      <c r="B3948" s="10"/>
      <c r="C3948" s="10"/>
      <c r="D3948" s="12"/>
      <c r="E3948" s="10"/>
      <c r="F3948" s="10"/>
      <c r="G3948" s="10"/>
    </row>
    <row r="3949" spans="1:7" x14ac:dyDescent="0.25">
      <c r="A3949" s="10"/>
      <c r="B3949" s="10"/>
      <c r="C3949" s="10"/>
      <c r="D3949" s="12"/>
      <c r="E3949" s="10"/>
      <c r="F3949" s="10"/>
      <c r="G3949" s="10"/>
    </row>
    <row r="3950" spans="1:7" x14ac:dyDescent="0.25">
      <c r="A3950" s="10"/>
      <c r="B3950" s="10"/>
      <c r="C3950" s="10"/>
      <c r="D3950" s="12"/>
      <c r="E3950" s="10"/>
      <c r="F3950" s="10"/>
      <c r="G3950" s="10"/>
    </row>
    <row r="3951" spans="1:7" x14ac:dyDescent="0.25">
      <c r="A3951" s="10"/>
      <c r="B3951" s="10"/>
      <c r="C3951" s="10"/>
      <c r="D3951" s="12"/>
      <c r="E3951" s="10"/>
      <c r="F3951" s="10"/>
      <c r="G3951" s="10"/>
    </row>
    <row r="3952" spans="1:7" x14ac:dyDescent="0.25">
      <c r="A3952" s="10"/>
      <c r="B3952" s="10"/>
      <c r="C3952" s="10"/>
      <c r="D3952" s="12"/>
      <c r="E3952" s="10"/>
      <c r="F3952" s="10"/>
      <c r="G3952" s="10"/>
    </row>
    <row r="3953" spans="1:7" x14ac:dyDescent="0.25">
      <c r="A3953" s="10"/>
      <c r="B3953" s="10"/>
      <c r="C3953" s="10"/>
      <c r="D3953" s="12"/>
      <c r="E3953" s="10"/>
      <c r="F3953" s="10"/>
      <c r="G3953" s="10"/>
    </row>
    <row r="3954" spans="1:7" x14ac:dyDescent="0.25">
      <c r="A3954" s="10"/>
      <c r="B3954" s="10"/>
      <c r="C3954" s="10"/>
      <c r="D3954" s="12"/>
      <c r="E3954" s="10"/>
      <c r="F3954" s="10"/>
      <c r="G3954" s="10"/>
    </row>
    <row r="3955" spans="1:7" x14ac:dyDescent="0.25">
      <c r="A3955" s="10"/>
      <c r="B3955" s="10"/>
      <c r="C3955" s="10"/>
      <c r="D3955" s="12"/>
      <c r="E3955" s="10"/>
      <c r="F3955" s="10"/>
      <c r="G3955" s="10"/>
    </row>
    <row r="3956" spans="1:7" x14ac:dyDescent="0.25">
      <c r="A3956" s="10"/>
      <c r="B3956" s="10"/>
      <c r="C3956" s="10"/>
      <c r="D3956" s="12"/>
      <c r="E3956" s="10"/>
      <c r="F3956" s="10"/>
      <c r="G3956" s="10"/>
    </row>
    <row r="3957" spans="1:7" x14ac:dyDescent="0.25">
      <c r="A3957" s="10"/>
      <c r="B3957" s="10"/>
      <c r="C3957" s="10"/>
      <c r="D3957" s="12"/>
      <c r="E3957" s="10"/>
      <c r="F3957" s="10"/>
      <c r="G3957" s="10"/>
    </row>
    <row r="3958" spans="1:7" x14ac:dyDescent="0.25">
      <c r="A3958" s="10"/>
      <c r="B3958" s="10"/>
      <c r="C3958" s="10"/>
      <c r="D3958" s="12"/>
      <c r="E3958" s="10"/>
      <c r="F3958" s="10"/>
      <c r="G3958" s="10"/>
    </row>
    <row r="3959" spans="1:7" x14ac:dyDescent="0.25">
      <c r="A3959" s="10"/>
      <c r="B3959" s="10"/>
      <c r="C3959" s="10"/>
      <c r="D3959" s="12"/>
      <c r="E3959" s="10"/>
      <c r="F3959" s="10"/>
      <c r="G3959" s="10"/>
    </row>
    <row r="3960" spans="1:7" x14ac:dyDescent="0.25">
      <c r="A3960" s="10"/>
      <c r="B3960" s="10"/>
      <c r="C3960" s="10"/>
      <c r="D3960" s="12"/>
      <c r="E3960" s="10"/>
      <c r="F3960" s="10"/>
      <c r="G3960" s="10"/>
    </row>
    <row r="3961" spans="1:7" x14ac:dyDescent="0.25">
      <c r="A3961" s="10"/>
      <c r="B3961" s="10"/>
      <c r="C3961" s="10"/>
      <c r="D3961" s="12"/>
      <c r="E3961" s="10"/>
      <c r="F3961" s="10"/>
      <c r="G3961" s="10"/>
    </row>
    <row r="3962" spans="1:7" x14ac:dyDescent="0.25">
      <c r="A3962" s="10"/>
      <c r="B3962" s="10"/>
      <c r="C3962" s="10"/>
      <c r="D3962" s="12"/>
      <c r="E3962" s="10"/>
      <c r="F3962" s="10"/>
      <c r="G3962" s="10"/>
    </row>
    <row r="3963" spans="1:7" x14ac:dyDescent="0.25">
      <c r="A3963" s="10"/>
      <c r="B3963" s="10"/>
      <c r="C3963" s="10"/>
      <c r="D3963" s="12"/>
      <c r="E3963" s="10"/>
      <c r="F3963" s="10"/>
      <c r="G3963" s="10"/>
    </row>
    <row r="3964" spans="1:7" x14ac:dyDescent="0.25">
      <c r="A3964" s="10"/>
      <c r="B3964" s="10"/>
      <c r="C3964" s="10"/>
      <c r="D3964" s="12"/>
      <c r="E3964" s="10"/>
      <c r="F3964" s="10"/>
      <c r="G3964" s="10"/>
    </row>
    <row r="3965" spans="1:7" x14ac:dyDescent="0.25">
      <c r="A3965" s="10"/>
      <c r="B3965" s="10"/>
      <c r="C3965" s="10"/>
      <c r="D3965" s="12"/>
      <c r="E3965" s="10"/>
      <c r="F3965" s="10"/>
      <c r="G3965" s="10"/>
    </row>
    <row r="3966" spans="1:7" x14ac:dyDescent="0.25">
      <c r="A3966" s="10"/>
      <c r="B3966" s="10"/>
      <c r="C3966" s="10"/>
      <c r="D3966" s="12"/>
      <c r="E3966" s="10"/>
      <c r="F3966" s="10"/>
      <c r="G3966" s="10"/>
    </row>
    <row r="3967" spans="1:7" x14ac:dyDescent="0.25">
      <c r="A3967" s="10"/>
      <c r="B3967" s="10"/>
      <c r="C3967" s="10"/>
      <c r="D3967" s="12"/>
      <c r="E3967" s="10"/>
      <c r="F3967" s="10"/>
      <c r="G3967" s="10"/>
    </row>
    <row r="3968" spans="1:7" x14ac:dyDescent="0.25">
      <c r="A3968" s="10"/>
      <c r="B3968" s="10"/>
      <c r="C3968" s="10"/>
      <c r="D3968" s="12"/>
      <c r="E3968" s="10"/>
      <c r="F3968" s="10"/>
      <c r="G3968" s="10"/>
    </row>
    <row r="3969" spans="1:7" x14ac:dyDescent="0.25">
      <c r="A3969" s="10"/>
      <c r="B3969" s="10"/>
      <c r="C3969" s="10"/>
      <c r="D3969" s="12"/>
      <c r="E3969" s="10"/>
      <c r="F3969" s="10"/>
      <c r="G3969" s="10"/>
    </row>
    <row r="3970" spans="1:7" x14ac:dyDescent="0.25">
      <c r="A3970" s="10"/>
      <c r="B3970" s="10"/>
      <c r="C3970" s="10"/>
      <c r="D3970" s="12"/>
      <c r="E3970" s="10"/>
      <c r="F3970" s="10"/>
      <c r="G3970" s="10"/>
    </row>
    <row r="3971" spans="1:7" x14ac:dyDescent="0.25">
      <c r="A3971" s="10"/>
      <c r="B3971" s="10"/>
      <c r="C3971" s="10"/>
      <c r="D3971" s="12"/>
      <c r="E3971" s="10"/>
      <c r="F3971" s="10"/>
      <c r="G3971" s="10"/>
    </row>
    <row r="3972" spans="1:7" x14ac:dyDescent="0.25">
      <c r="A3972" s="10"/>
      <c r="B3972" s="10"/>
      <c r="C3972" s="10"/>
      <c r="D3972" s="12"/>
      <c r="E3972" s="10"/>
      <c r="F3972" s="10"/>
      <c r="G3972" s="10"/>
    </row>
    <row r="3973" spans="1:7" x14ac:dyDescent="0.25">
      <c r="A3973" s="10"/>
      <c r="B3973" s="10"/>
      <c r="C3973" s="10"/>
      <c r="D3973" s="12"/>
      <c r="E3973" s="10"/>
      <c r="F3973" s="10"/>
      <c r="G3973" s="10"/>
    </row>
    <row r="3974" spans="1:7" x14ac:dyDescent="0.25">
      <c r="A3974" s="10"/>
      <c r="B3974" s="10"/>
      <c r="C3974" s="10"/>
      <c r="D3974" s="12"/>
      <c r="E3974" s="10"/>
      <c r="F3974" s="10"/>
      <c r="G3974" s="10"/>
    </row>
    <row r="3975" spans="1:7" x14ac:dyDescent="0.25">
      <c r="A3975" s="10"/>
      <c r="B3975" s="10"/>
      <c r="C3975" s="10"/>
      <c r="D3975" s="12"/>
      <c r="E3975" s="10"/>
      <c r="F3975" s="10"/>
      <c r="G3975" s="10"/>
    </row>
    <row r="3976" spans="1:7" x14ac:dyDescent="0.25">
      <c r="A3976" s="10"/>
      <c r="B3976" s="10"/>
      <c r="C3976" s="10"/>
      <c r="D3976" s="12"/>
      <c r="E3976" s="10"/>
      <c r="F3976" s="10"/>
      <c r="G3976" s="10"/>
    </row>
    <row r="3977" spans="1:7" x14ac:dyDescent="0.25">
      <c r="A3977" s="10"/>
      <c r="B3977" s="10"/>
      <c r="C3977" s="10"/>
      <c r="D3977" s="12"/>
      <c r="E3977" s="10"/>
      <c r="F3977" s="10"/>
      <c r="G3977" s="10"/>
    </row>
    <row r="3978" spans="1:7" x14ac:dyDescent="0.25">
      <c r="A3978" s="10"/>
      <c r="B3978" s="10"/>
      <c r="C3978" s="10"/>
      <c r="D3978" s="12"/>
      <c r="E3978" s="10"/>
      <c r="F3978" s="10"/>
      <c r="G3978" s="10"/>
    </row>
    <row r="3979" spans="1:7" x14ac:dyDescent="0.25">
      <c r="A3979" s="10"/>
      <c r="B3979" s="10"/>
      <c r="C3979" s="10"/>
      <c r="D3979" s="12"/>
      <c r="E3979" s="10"/>
      <c r="F3979" s="10"/>
      <c r="G3979" s="10"/>
    </row>
    <row r="3980" spans="1:7" x14ac:dyDescent="0.25">
      <c r="A3980" s="10"/>
      <c r="B3980" s="10"/>
      <c r="C3980" s="10"/>
      <c r="D3980" s="12"/>
      <c r="E3980" s="10"/>
      <c r="F3980" s="10"/>
      <c r="G3980" s="10"/>
    </row>
    <row r="3981" spans="1:7" x14ac:dyDescent="0.25">
      <c r="A3981" s="10"/>
      <c r="B3981" s="10"/>
      <c r="C3981" s="10"/>
      <c r="D3981" s="12"/>
      <c r="E3981" s="10"/>
      <c r="F3981" s="10"/>
      <c r="G3981" s="10"/>
    </row>
    <row r="3982" spans="1:7" x14ac:dyDescent="0.25">
      <c r="A3982" s="10"/>
      <c r="B3982" s="10"/>
      <c r="C3982" s="10"/>
      <c r="D3982" s="12"/>
      <c r="E3982" s="10"/>
      <c r="F3982" s="10"/>
      <c r="G3982" s="10"/>
    </row>
    <row r="3983" spans="1:7" x14ac:dyDescent="0.25">
      <c r="A3983" s="10"/>
      <c r="B3983" s="10"/>
      <c r="C3983" s="10"/>
      <c r="D3983" s="12"/>
      <c r="E3983" s="10"/>
      <c r="F3983" s="10"/>
      <c r="G3983" s="10"/>
    </row>
    <row r="3984" spans="1:7" x14ac:dyDescent="0.25">
      <c r="A3984" s="10"/>
      <c r="B3984" s="10"/>
      <c r="C3984" s="10"/>
      <c r="D3984" s="12"/>
      <c r="E3984" s="10"/>
      <c r="F3984" s="10"/>
      <c r="G3984" s="10"/>
    </row>
    <row r="3985" spans="1:7" x14ac:dyDescent="0.25">
      <c r="A3985" s="10"/>
      <c r="B3985" s="10"/>
      <c r="C3985" s="10"/>
      <c r="D3985" s="12"/>
      <c r="E3985" s="10"/>
      <c r="F3985" s="10"/>
      <c r="G3985" s="10"/>
    </row>
    <row r="3986" spans="1:7" x14ac:dyDescent="0.25">
      <c r="A3986" s="10"/>
      <c r="B3986" s="10"/>
      <c r="C3986" s="10"/>
      <c r="D3986" s="12"/>
      <c r="E3986" s="10"/>
      <c r="F3986" s="10"/>
      <c r="G3986" s="10"/>
    </row>
    <row r="3987" spans="1:7" x14ac:dyDescent="0.25">
      <c r="A3987" s="10"/>
      <c r="B3987" s="10"/>
      <c r="C3987" s="10"/>
      <c r="D3987" s="12"/>
      <c r="E3987" s="10"/>
      <c r="F3987" s="10"/>
      <c r="G3987" s="10"/>
    </row>
    <row r="3988" spans="1:7" x14ac:dyDescent="0.25">
      <c r="A3988" s="10"/>
      <c r="B3988" s="10"/>
      <c r="C3988" s="10"/>
      <c r="D3988" s="12"/>
      <c r="E3988" s="10"/>
      <c r="F3988" s="10"/>
      <c r="G3988" s="10"/>
    </row>
    <row r="3989" spans="1:7" x14ac:dyDescent="0.25">
      <c r="A3989" s="10"/>
      <c r="B3989" s="10"/>
      <c r="C3989" s="10"/>
      <c r="D3989" s="12"/>
      <c r="E3989" s="10"/>
      <c r="F3989" s="10"/>
      <c r="G3989" s="10"/>
    </row>
    <row r="3990" spans="1:7" x14ac:dyDescent="0.25">
      <c r="A3990" s="10"/>
      <c r="B3990" s="10"/>
      <c r="C3990" s="10"/>
      <c r="D3990" s="12"/>
      <c r="E3990" s="10"/>
      <c r="F3990" s="10"/>
      <c r="G3990" s="10"/>
    </row>
    <row r="3991" spans="1:7" x14ac:dyDescent="0.25">
      <c r="A3991" s="10"/>
      <c r="B3991" s="10"/>
      <c r="C3991" s="10"/>
      <c r="D3991" s="12"/>
      <c r="E3991" s="10"/>
      <c r="F3991" s="10"/>
      <c r="G3991" s="10"/>
    </row>
    <row r="3992" spans="1:7" x14ac:dyDescent="0.25">
      <c r="A3992" s="10"/>
      <c r="B3992" s="10"/>
      <c r="C3992" s="10"/>
      <c r="D3992" s="12"/>
      <c r="E3992" s="10"/>
      <c r="F3992" s="10"/>
      <c r="G3992" s="10"/>
    </row>
    <row r="3993" spans="1:7" x14ac:dyDescent="0.25">
      <c r="A3993" s="10"/>
      <c r="B3993" s="10"/>
      <c r="C3993" s="10"/>
      <c r="D3993" s="12"/>
      <c r="E3993" s="10"/>
      <c r="F3993" s="10"/>
      <c r="G3993" s="10"/>
    </row>
    <row r="3994" spans="1:7" x14ac:dyDescent="0.25">
      <c r="A3994" s="10"/>
      <c r="B3994" s="10"/>
      <c r="C3994" s="10"/>
      <c r="D3994" s="12"/>
      <c r="E3994" s="10"/>
      <c r="F3994" s="10"/>
      <c r="G3994" s="10"/>
    </row>
    <row r="3995" spans="1:7" x14ac:dyDescent="0.25">
      <c r="A3995" s="10"/>
      <c r="B3995" s="10"/>
      <c r="C3995" s="10"/>
      <c r="D3995" s="12"/>
      <c r="E3995" s="10"/>
      <c r="F3995" s="10"/>
      <c r="G3995" s="10"/>
    </row>
    <row r="3996" spans="1:7" x14ac:dyDescent="0.25">
      <c r="A3996" s="10"/>
      <c r="B3996" s="10"/>
      <c r="C3996" s="10"/>
      <c r="D3996" s="12"/>
      <c r="E3996" s="10"/>
      <c r="F3996" s="10"/>
      <c r="G3996" s="10"/>
    </row>
    <row r="3997" spans="1:7" x14ac:dyDescent="0.25">
      <c r="A3997" s="10"/>
      <c r="B3997" s="10"/>
      <c r="C3997" s="10"/>
      <c r="D3997" s="12"/>
      <c r="E3997" s="10"/>
      <c r="F3997" s="10"/>
      <c r="G3997" s="10"/>
    </row>
    <row r="3998" spans="1:7" x14ac:dyDescent="0.25">
      <c r="A3998" s="10"/>
      <c r="B3998" s="10"/>
      <c r="C3998" s="10"/>
      <c r="D3998" s="12"/>
      <c r="E3998" s="10"/>
      <c r="F3998" s="10"/>
      <c r="G3998" s="10"/>
    </row>
    <row r="3999" spans="1:7" x14ac:dyDescent="0.25">
      <c r="A3999" s="10"/>
      <c r="B3999" s="10"/>
      <c r="C3999" s="10"/>
      <c r="D3999" s="12"/>
      <c r="E3999" s="10"/>
      <c r="F3999" s="10"/>
      <c r="G3999" s="10"/>
    </row>
    <row r="4000" spans="1:7" x14ac:dyDescent="0.25">
      <c r="A4000" s="10"/>
      <c r="B4000" s="10"/>
      <c r="C4000" s="10"/>
      <c r="D4000" s="12"/>
      <c r="E4000" s="10"/>
      <c r="F4000" s="10"/>
      <c r="G4000" s="10"/>
    </row>
    <row r="4001" spans="1:7" x14ac:dyDescent="0.25">
      <c r="A4001" s="10"/>
      <c r="B4001" s="10"/>
      <c r="C4001" s="10"/>
      <c r="D4001" s="12"/>
      <c r="E4001" s="10"/>
      <c r="F4001" s="10"/>
      <c r="G4001" s="10"/>
    </row>
    <row r="4002" spans="1:7" x14ac:dyDescent="0.25">
      <c r="A4002" s="10"/>
      <c r="B4002" s="10"/>
      <c r="C4002" s="10"/>
      <c r="D4002" s="12"/>
      <c r="E4002" s="10"/>
      <c r="F4002" s="10"/>
      <c r="G4002" s="10"/>
    </row>
    <row r="4003" spans="1:7" x14ac:dyDescent="0.25">
      <c r="A4003" s="10"/>
      <c r="B4003" s="10"/>
      <c r="C4003" s="10"/>
      <c r="D4003" s="12"/>
      <c r="E4003" s="10"/>
      <c r="F4003" s="10"/>
      <c r="G4003" s="10"/>
    </row>
    <row r="4004" spans="1:7" x14ac:dyDescent="0.25">
      <c r="A4004" s="10"/>
      <c r="B4004" s="10"/>
      <c r="C4004" s="10"/>
      <c r="D4004" s="12"/>
      <c r="E4004" s="10"/>
      <c r="F4004" s="10"/>
      <c r="G4004" s="10"/>
    </row>
    <row r="4005" spans="1:7" x14ac:dyDescent="0.25">
      <c r="A4005" s="10"/>
      <c r="B4005" s="10"/>
      <c r="C4005" s="10"/>
      <c r="D4005" s="12"/>
      <c r="E4005" s="10"/>
      <c r="F4005" s="10"/>
      <c r="G4005" s="10"/>
    </row>
    <row r="4006" spans="1:7" x14ac:dyDescent="0.25">
      <c r="A4006" s="10"/>
      <c r="B4006" s="10"/>
      <c r="C4006" s="10"/>
      <c r="D4006" s="12"/>
      <c r="E4006" s="10"/>
      <c r="F4006" s="10"/>
      <c r="G4006" s="10"/>
    </row>
    <row r="4007" spans="1:7" x14ac:dyDescent="0.25">
      <c r="A4007" s="10"/>
      <c r="B4007" s="10"/>
      <c r="C4007" s="10"/>
      <c r="D4007" s="12"/>
      <c r="E4007" s="10"/>
      <c r="F4007" s="10"/>
      <c r="G4007" s="10"/>
    </row>
    <row r="4008" spans="1:7" x14ac:dyDescent="0.25">
      <c r="A4008" s="10"/>
      <c r="B4008" s="10"/>
      <c r="C4008" s="10"/>
      <c r="D4008" s="12"/>
      <c r="E4008" s="10"/>
      <c r="F4008" s="10"/>
      <c r="G4008" s="10"/>
    </row>
    <row r="4009" spans="1:7" x14ac:dyDescent="0.25">
      <c r="A4009" s="10"/>
      <c r="B4009" s="10"/>
      <c r="C4009" s="10"/>
      <c r="D4009" s="12"/>
      <c r="E4009" s="10"/>
      <c r="F4009" s="10"/>
      <c r="G4009" s="10"/>
    </row>
    <row r="4010" spans="1:7" x14ac:dyDescent="0.25">
      <c r="A4010" s="10"/>
      <c r="B4010" s="10"/>
      <c r="C4010" s="10"/>
      <c r="D4010" s="12"/>
      <c r="E4010" s="10"/>
      <c r="F4010" s="10"/>
      <c r="G4010" s="10"/>
    </row>
    <row r="4011" spans="1:7" x14ac:dyDescent="0.25">
      <c r="A4011" s="10"/>
      <c r="B4011" s="10"/>
      <c r="C4011" s="10"/>
      <c r="D4011" s="12"/>
      <c r="E4011" s="10"/>
      <c r="F4011" s="10"/>
      <c r="G4011" s="10"/>
    </row>
    <row r="4012" spans="1:7" x14ac:dyDescent="0.25">
      <c r="A4012" s="10"/>
      <c r="B4012" s="10"/>
      <c r="C4012" s="10"/>
      <c r="D4012" s="12"/>
      <c r="E4012" s="10"/>
      <c r="F4012" s="10"/>
      <c r="G4012" s="10"/>
    </row>
    <row r="4013" spans="1:7" x14ac:dyDescent="0.25">
      <c r="A4013" s="10"/>
      <c r="B4013" s="10"/>
      <c r="C4013" s="10"/>
      <c r="D4013" s="12"/>
      <c r="E4013" s="10"/>
      <c r="F4013" s="10"/>
      <c r="G4013" s="10"/>
    </row>
    <row r="4014" spans="1:7" x14ac:dyDescent="0.25">
      <c r="A4014" s="10"/>
      <c r="B4014" s="10"/>
      <c r="C4014" s="10"/>
      <c r="D4014" s="12"/>
      <c r="E4014" s="10"/>
      <c r="F4014" s="10"/>
      <c r="G4014" s="10"/>
    </row>
    <row r="4015" spans="1:7" x14ac:dyDescent="0.25">
      <c r="A4015" s="10"/>
      <c r="B4015" s="10"/>
      <c r="C4015" s="10"/>
      <c r="D4015" s="12"/>
      <c r="E4015" s="10"/>
      <c r="F4015" s="10"/>
      <c r="G4015" s="10"/>
    </row>
    <row r="4016" spans="1:7" x14ac:dyDescent="0.25">
      <c r="A4016" s="10"/>
      <c r="B4016" s="10"/>
      <c r="C4016" s="10"/>
      <c r="D4016" s="12"/>
      <c r="E4016" s="10"/>
      <c r="F4016" s="10"/>
      <c r="G4016" s="10"/>
    </row>
    <row r="4017" spans="1:7" x14ac:dyDescent="0.25">
      <c r="A4017" s="10"/>
      <c r="B4017" s="10"/>
      <c r="C4017" s="10"/>
      <c r="D4017" s="12"/>
      <c r="E4017" s="10"/>
      <c r="F4017" s="10"/>
      <c r="G4017" s="10"/>
    </row>
    <row r="4018" spans="1:7" x14ac:dyDescent="0.25">
      <c r="A4018" s="10"/>
      <c r="B4018" s="10"/>
      <c r="C4018" s="10"/>
      <c r="D4018" s="12"/>
      <c r="E4018" s="10"/>
      <c r="F4018" s="10"/>
      <c r="G4018" s="10"/>
    </row>
    <row r="4019" spans="1:7" x14ac:dyDescent="0.25">
      <c r="A4019" s="10"/>
      <c r="B4019" s="10"/>
      <c r="C4019" s="10"/>
      <c r="D4019" s="12"/>
      <c r="E4019" s="10"/>
      <c r="F4019" s="10"/>
      <c r="G4019" s="10"/>
    </row>
    <row r="4020" spans="1:7" x14ac:dyDescent="0.25">
      <c r="A4020" s="10"/>
      <c r="B4020" s="10"/>
      <c r="C4020" s="10"/>
      <c r="D4020" s="12"/>
      <c r="E4020" s="10"/>
      <c r="F4020" s="10"/>
      <c r="G4020" s="10"/>
    </row>
    <row r="4021" spans="1:7" x14ac:dyDescent="0.25">
      <c r="A4021" s="10"/>
      <c r="B4021" s="10"/>
      <c r="C4021" s="10"/>
      <c r="D4021" s="12"/>
      <c r="E4021" s="10"/>
      <c r="F4021" s="10"/>
      <c r="G4021" s="10"/>
    </row>
    <row r="4022" spans="1:7" x14ac:dyDescent="0.25">
      <c r="A4022" s="10"/>
      <c r="B4022" s="10"/>
      <c r="C4022" s="10"/>
      <c r="D4022" s="12"/>
      <c r="E4022" s="10"/>
      <c r="F4022" s="10"/>
      <c r="G4022" s="10"/>
    </row>
    <row r="4023" spans="1:7" x14ac:dyDescent="0.25">
      <c r="A4023" s="10"/>
      <c r="B4023" s="10"/>
      <c r="C4023" s="10"/>
      <c r="D4023" s="12"/>
      <c r="E4023" s="10"/>
      <c r="F4023" s="10"/>
      <c r="G4023" s="10"/>
    </row>
    <row r="4024" spans="1:7" x14ac:dyDescent="0.25">
      <c r="A4024" s="10"/>
      <c r="B4024" s="10"/>
      <c r="C4024" s="10"/>
      <c r="D4024" s="12"/>
      <c r="E4024" s="10"/>
      <c r="F4024" s="10"/>
      <c r="G4024" s="10"/>
    </row>
    <row r="4025" spans="1:7" x14ac:dyDescent="0.25">
      <c r="A4025" s="10"/>
      <c r="B4025" s="10"/>
      <c r="C4025" s="10"/>
      <c r="D4025" s="12"/>
      <c r="E4025" s="10"/>
      <c r="F4025" s="10"/>
      <c r="G4025" s="10"/>
    </row>
    <row r="4026" spans="1:7" x14ac:dyDescent="0.25">
      <c r="A4026" s="10"/>
      <c r="B4026" s="10"/>
      <c r="C4026" s="10"/>
      <c r="D4026" s="12"/>
      <c r="E4026" s="10"/>
      <c r="F4026" s="10"/>
      <c r="G4026" s="10"/>
    </row>
    <row r="4027" spans="1:7" x14ac:dyDescent="0.25">
      <c r="A4027" s="10"/>
      <c r="B4027" s="10"/>
      <c r="C4027" s="10"/>
      <c r="D4027" s="12"/>
      <c r="E4027" s="10"/>
      <c r="F4027" s="10"/>
      <c r="G4027" s="10"/>
    </row>
    <row r="4028" spans="1:7" x14ac:dyDescent="0.25">
      <c r="A4028" s="10"/>
      <c r="B4028" s="10"/>
      <c r="C4028" s="10"/>
      <c r="D4028" s="12"/>
      <c r="E4028" s="10"/>
      <c r="F4028" s="10"/>
      <c r="G4028" s="10"/>
    </row>
    <row r="4029" spans="1:7" x14ac:dyDescent="0.25">
      <c r="A4029" s="10"/>
      <c r="B4029" s="10"/>
      <c r="C4029" s="10"/>
      <c r="D4029" s="12"/>
      <c r="E4029" s="10"/>
      <c r="F4029" s="10"/>
      <c r="G4029" s="10"/>
    </row>
    <row r="4030" spans="1:7" x14ac:dyDescent="0.25">
      <c r="A4030" s="10"/>
      <c r="B4030" s="10"/>
      <c r="C4030" s="10"/>
      <c r="D4030" s="12"/>
      <c r="E4030" s="10"/>
      <c r="F4030" s="10"/>
      <c r="G4030" s="10"/>
    </row>
    <row r="4031" spans="1:7" x14ac:dyDescent="0.25">
      <c r="A4031" s="10"/>
      <c r="B4031" s="10"/>
      <c r="C4031" s="10"/>
      <c r="D4031" s="12"/>
      <c r="E4031" s="10"/>
      <c r="F4031" s="10"/>
      <c r="G4031" s="10"/>
    </row>
    <row r="4032" spans="1:7" x14ac:dyDescent="0.25">
      <c r="A4032" s="10"/>
      <c r="B4032" s="10"/>
      <c r="C4032" s="10"/>
      <c r="D4032" s="12"/>
      <c r="E4032" s="10"/>
      <c r="F4032" s="10"/>
      <c r="G4032" s="10"/>
    </row>
    <row r="4033" spans="1:7" x14ac:dyDescent="0.25">
      <c r="A4033" s="10"/>
      <c r="B4033" s="10"/>
      <c r="C4033" s="10"/>
      <c r="D4033" s="12"/>
      <c r="E4033" s="10"/>
      <c r="F4033" s="10"/>
      <c r="G4033" s="10"/>
    </row>
    <row r="4034" spans="1:7" x14ac:dyDescent="0.25">
      <c r="A4034" s="10"/>
      <c r="B4034" s="10"/>
      <c r="C4034" s="10"/>
      <c r="D4034" s="12"/>
      <c r="E4034" s="10"/>
      <c r="F4034" s="10"/>
      <c r="G4034" s="10"/>
    </row>
    <row r="4035" spans="1:7" x14ac:dyDescent="0.25">
      <c r="A4035" s="10"/>
      <c r="B4035" s="10"/>
      <c r="C4035" s="10"/>
      <c r="D4035" s="12"/>
      <c r="E4035" s="10"/>
      <c r="F4035" s="10"/>
      <c r="G4035" s="10"/>
    </row>
    <row r="4036" spans="1:7" x14ac:dyDescent="0.25">
      <c r="A4036" s="10"/>
      <c r="B4036" s="10"/>
      <c r="C4036" s="10"/>
      <c r="D4036" s="12"/>
      <c r="E4036" s="10"/>
      <c r="F4036" s="10"/>
      <c r="G4036" s="10"/>
    </row>
    <row r="4037" spans="1:7" x14ac:dyDescent="0.25">
      <c r="A4037" s="10"/>
      <c r="B4037" s="10"/>
      <c r="C4037" s="10"/>
      <c r="D4037" s="12"/>
      <c r="E4037" s="10"/>
      <c r="F4037" s="10"/>
      <c r="G4037" s="10"/>
    </row>
    <row r="4038" spans="1:7" x14ac:dyDescent="0.25">
      <c r="A4038" s="10"/>
      <c r="B4038" s="10"/>
      <c r="C4038" s="10"/>
      <c r="D4038" s="12"/>
      <c r="E4038" s="10"/>
      <c r="F4038" s="10"/>
      <c r="G4038" s="10"/>
    </row>
    <row r="4039" spans="1:7" x14ac:dyDescent="0.25">
      <c r="A4039" s="10"/>
      <c r="B4039" s="10"/>
      <c r="C4039" s="10"/>
      <c r="D4039" s="12"/>
      <c r="E4039" s="10"/>
      <c r="F4039" s="10"/>
      <c r="G4039" s="10"/>
    </row>
    <row r="4040" spans="1:7" x14ac:dyDescent="0.25">
      <c r="A4040" s="10"/>
      <c r="B4040" s="10"/>
      <c r="C4040" s="10"/>
      <c r="D4040" s="12"/>
      <c r="E4040" s="10"/>
      <c r="F4040" s="10"/>
      <c r="G4040" s="10"/>
    </row>
    <row r="4041" spans="1:7" x14ac:dyDescent="0.25">
      <c r="A4041" s="10"/>
      <c r="B4041" s="10"/>
      <c r="C4041" s="10"/>
      <c r="D4041" s="12"/>
      <c r="E4041" s="10"/>
      <c r="F4041" s="10"/>
      <c r="G4041" s="10"/>
    </row>
    <row r="4042" spans="1:7" x14ac:dyDescent="0.25">
      <c r="A4042" s="10"/>
      <c r="B4042" s="10"/>
      <c r="C4042" s="10"/>
      <c r="D4042" s="12"/>
      <c r="E4042" s="10"/>
      <c r="F4042" s="10"/>
      <c r="G4042" s="10"/>
    </row>
    <row r="4043" spans="1:7" x14ac:dyDescent="0.25">
      <c r="A4043" s="10"/>
      <c r="B4043" s="10"/>
      <c r="C4043" s="10"/>
      <c r="D4043" s="12"/>
      <c r="E4043" s="10"/>
      <c r="F4043" s="10"/>
      <c r="G4043" s="10"/>
    </row>
    <row r="4044" spans="1:7" x14ac:dyDescent="0.25">
      <c r="A4044" s="10"/>
      <c r="B4044" s="10"/>
      <c r="C4044" s="10"/>
      <c r="D4044" s="12"/>
      <c r="E4044" s="10"/>
      <c r="F4044" s="10"/>
      <c r="G4044" s="10"/>
    </row>
    <row r="4045" spans="1:7" x14ac:dyDescent="0.25">
      <c r="A4045" s="10"/>
      <c r="B4045" s="10"/>
      <c r="C4045" s="10"/>
      <c r="D4045" s="12"/>
      <c r="E4045" s="10"/>
      <c r="F4045" s="10"/>
      <c r="G4045" s="10"/>
    </row>
    <row r="4046" spans="1:7" x14ac:dyDescent="0.25">
      <c r="A4046" s="10"/>
      <c r="B4046" s="10"/>
      <c r="C4046" s="10"/>
      <c r="D4046" s="12"/>
      <c r="E4046" s="10"/>
      <c r="F4046" s="10"/>
      <c r="G4046" s="10"/>
    </row>
    <row r="4047" spans="1:7" x14ac:dyDescent="0.25">
      <c r="A4047" s="10"/>
      <c r="B4047" s="10"/>
      <c r="C4047" s="10"/>
      <c r="D4047" s="12"/>
      <c r="E4047" s="10"/>
      <c r="F4047" s="10"/>
      <c r="G4047" s="10"/>
    </row>
    <row r="4048" spans="1:7" x14ac:dyDescent="0.25">
      <c r="A4048" s="10"/>
      <c r="B4048" s="10"/>
      <c r="C4048" s="10"/>
      <c r="D4048" s="12"/>
      <c r="E4048" s="10"/>
      <c r="F4048" s="10"/>
      <c r="G4048" s="10"/>
    </row>
    <row r="4049" spans="1:7" x14ac:dyDescent="0.25">
      <c r="A4049" s="10"/>
      <c r="B4049" s="10"/>
      <c r="C4049" s="10"/>
      <c r="D4049" s="12"/>
      <c r="E4049" s="10"/>
      <c r="F4049" s="10"/>
      <c r="G4049" s="10"/>
    </row>
    <row r="4050" spans="1:7" x14ac:dyDescent="0.25">
      <c r="A4050" s="10"/>
      <c r="B4050" s="10"/>
      <c r="C4050" s="10"/>
      <c r="D4050" s="12"/>
      <c r="E4050" s="10"/>
      <c r="F4050" s="10"/>
      <c r="G4050" s="10"/>
    </row>
    <row r="4051" spans="1:7" x14ac:dyDescent="0.25">
      <c r="A4051" s="10"/>
      <c r="B4051" s="10"/>
      <c r="C4051" s="10"/>
      <c r="D4051" s="12"/>
      <c r="E4051" s="10"/>
      <c r="F4051" s="10"/>
      <c r="G4051" s="10"/>
    </row>
    <row r="4052" spans="1:7" x14ac:dyDescent="0.25">
      <c r="A4052" s="10"/>
      <c r="B4052" s="10"/>
      <c r="C4052" s="10"/>
      <c r="D4052" s="12"/>
      <c r="E4052" s="10"/>
      <c r="F4052" s="10"/>
      <c r="G4052" s="10"/>
    </row>
    <row r="4053" spans="1:7" x14ac:dyDescent="0.25">
      <c r="A4053" s="10"/>
      <c r="B4053" s="10"/>
      <c r="C4053" s="10"/>
      <c r="D4053" s="12"/>
      <c r="E4053" s="10"/>
      <c r="F4053" s="10"/>
      <c r="G4053" s="10"/>
    </row>
    <row r="4054" spans="1:7" x14ac:dyDescent="0.25">
      <c r="A4054" s="10"/>
      <c r="B4054" s="10"/>
      <c r="C4054" s="10"/>
      <c r="D4054" s="12"/>
      <c r="E4054" s="10"/>
      <c r="F4054" s="10"/>
      <c r="G4054" s="10"/>
    </row>
    <row r="4055" spans="1:7" x14ac:dyDescent="0.25">
      <c r="A4055" s="10"/>
      <c r="B4055" s="10"/>
      <c r="C4055" s="10"/>
      <c r="D4055" s="12"/>
      <c r="E4055" s="10"/>
      <c r="F4055" s="10"/>
      <c r="G4055" s="10"/>
    </row>
    <row r="4056" spans="1:7" x14ac:dyDescent="0.25">
      <c r="A4056" s="10"/>
      <c r="B4056" s="10"/>
      <c r="C4056" s="10"/>
      <c r="D4056" s="12"/>
      <c r="E4056" s="10"/>
      <c r="F4056" s="10"/>
      <c r="G4056" s="10"/>
    </row>
    <row r="4057" spans="1:7" x14ac:dyDescent="0.25">
      <c r="A4057" s="10"/>
      <c r="B4057" s="10"/>
      <c r="C4057" s="10"/>
      <c r="D4057" s="12"/>
      <c r="E4057" s="10"/>
      <c r="F4057" s="10"/>
      <c r="G4057" s="10"/>
    </row>
    <row r="4058" spans="1:7" x14ac:dyDescent="0.25">
      <c r="A4058" s="10"/>
      <c r="B4058" s="10"/>
      <c r="C4058" s="10"/>
      <c r="D4058" s="12"/>
      <c r="E4058" s="10"/>
      <c r="F4058" s="10"/>
      <c r="G4058" s="10"/>
    </row>
    <row r="4059" spans="1:7" x14ac:dyDescent="0.25">
      <c r="A4059" s="10"/>
      <c r="B4059" s="10"/>
      <c r="C4059" s="10"/>
      <c r="D4059" s="12"/>
      <c r="E4059" s="10"/>
      <c r="F4059" s="10"/>
      <c r="G4059" s="10"/>
    </row>
    <row r="4060" spans="1:7" x14ac:dyDescent="0.25">
      <c r="A4060" s="10"/>
      <c r="B4060" s="10"/>
      <c r="C4060" s="10"/>
      <c r="D4060" s="12"/>
      <c r="E4060" s="10"/>
      <c r="F4060" s="10"/>
      <c r="G4060" s="10"/>
    </row>
    <row r="4061" spans="1:7" x14ac:dyDescent="0.25">
      <c r="A4061" s="10"/>
      <c r="B4061" s="10"/>
      <c r="C4061" s="10"/>
      <c r="D4061" s="12"/>
      <c r="E4061" s="10"/>
      <c r="F4061" s="10"/>
      <c r="G4061" s="10"/>
    </row>
    <row r="4062" spans="1:7" x14ac:dyDescent="0.25">
      <c r="A4062" s="10"/>
      <c r="B4062" s="10"/>
      <c r="C4062" s="10"/>
      <c r="D4062" s="12"/>
      <c r="E4062" s="10"/>
      <c r="F4062" s="10"/>
      <c r="G4062" s="10"/>
    </row>
    <row r="4063" spans="1:7" x14ac:dyDescent="0.25">
      <c r="A4063" s="10"/>
      <c r="B4063" s="10"/>
      <c r="C4063" s="10"/>
      <c r="D4063" s="12"/>
      <c r="E4063" s="10"/>
      <c r="F4063" s="10"/>
      <c r="G4063" s="10"/>
    </row>
    <row r="4064" spans="1:7" x14ac:dyDescent="0.25">
      <c r="A4064" s="10"/>
      <c r="B4064" s="10"/>
      <c r="C4064" s="10"/>
      <c r="D4064" s="12"/>
      <c r="E4064" s="10"/>
      <c r="F4064" s="10"/>
      <c r="G4064" s="10"/>
    </row>
    <row r="4065" spans="1:7" x14ac:dyDescent="0.25">
      <c r="A4065" s="10"/>
      <c r="B4065" s="10"/>
      <c r="C4065" s="10"/>
      <c r="D4065" s="12"/>
      <c r="E4065" s="10"/>
      <c r="F4065" s="10"/>
      <c r="G4065" s="10"/>
    </row>
    <row r="4066" spans="1:7" x14ac:dyDescent="0.25">
      <c r="A4066" s="10"/>
      <c r="B4066" s="10"/>
      <c r="C4066" s="10"/>
      <c r="D4066" s="12"/>
      <c r="E4066" s="10"/>
      <c r="F4066" s="10"/>
      <c r="G4066" s="10"/>
    </row>
    <row r="4067" spans="1:7" x14ac:dyDescent="0.25">
      <c r="A4067" s="10"/>
      <c r="B4067" s="10"/>
      <c r="C4067" s="10"/>
      <c r="D4067" s="12"/>
      <c r="E4067" s="10"/>
      <c r="F4067" s="10"/>
      <c r="G4067" s="10"/>
    </row>
    <row r="4068" spans="1:7" x14ac:dyDescent="0.25">
      <c r="A4068" s="10"/>
      <c r="B4068" s="10"/>
      <c r="C4068" s="10"/>
      <c r="D4068" s="12"/>
      <c r="E4068" s="10"/>
      <c r="F4068" s="10"/>
      <c r="G4068" s="10"/>
    </row>
    <row r="4069" spans="1:7" x14ac:dyDescent="0.25">
      <c r="A4069" s="10"/>
      <c r="B4069" s="10"/>
      <c r="C4069" s="10"/>
      <c r="D4069" s="12"/>
      <c r="E4069" s="10"/>
      <c r="F4069" s="10"/>
      <c r="G4069" s="10"/>
    </row>
    <row r="4070" spans="1:7" x14ac:dyDescent="0.25">
      <c r="A4070" s="10"/>
      <c r="B4070" s="10"/>
      <c r="C4070" s="10"/>
      <c r="D4070" s="12"/>
      <c r="E4070" s="10"/>
      <c r="F4070" s="10"/>
      <c r="G4070" s="10"/>
    </row>
    <row r="4071" spans="1:7" x14ac:dyDescent="0.25">
      <c r="A4071" s="10"/>
      <c r="B4071" s="10"/>
      <c r="C4071" s="10"/>
      <c r="D4071" s="12"/>
      <c r="E4071" s="10"/>
      <c r="F4071" s="10"/>
      <c r="G4071" s="10"/>
    </row>
    <row r="4072" spans="1:7" x14ac:dyDescent="0.25">
      <c r="A4072" s="10"/>
      <c r="B4072" s="10"/>
      <c r="C4072" s="10"/>
      <c r="D4072" s="12"/>
      <c r="E4072" s="10"/>
      <c r="F4072" s="10"/>
      <c r="G4072" s="10"/>
    </row>
    <row r="4073" spans="1:7" x14ac:dyDescent="0.25">
      <c r="A4073" s="10"/>
      <c r="B4073" s="10"/>
      <c r="C4073" s="10"/>
      <c r="D4073" s="12"/>
      <c r="E4073" s="10"/>
      <c r="F4073" s="10"/>
      <c r="G4073" s="10"/>
    </row>
    <row r="4074" spans="1:7" x14ac:dyDescent="0.25">
      <c r="A4074" s="10"/>
      <c r="B4074" s="10"/>
      <c r="C4074" s="10"/>
      <c r="D4074" s="12"/>
      <c r="E4074" s="10"/>
      <c r="F4074" s="10"/>
      <c r="G4074" s="10"/>
    </row>
    <row r="4075" spans="1:7" x14ac:dyDescent="0.25">
      <c r="A4075" s="10"/>
      <c r="B4075" s="10"/>
      <c r="C4075" s="10"/>
      <c r="D4075" s="12"/>
      <c r="E4075" s="10"/>
      <c r="F4075" s="10"/>
      <c r="G4075" s="10"/>
    </row>
    <row r="4076" spans="1:7" x14ac:dyDescent="0.25">
      <c r="A4076" s="10"/>
      <c r="B4076" s="10"/>
      <c r="C4076" s="10"/>
      <c r="D4076" s="12"/>
      <c r="E4076" s="10"/>
      <c r="F4076" s="10"/>
      <c r="G4076" s="10"/>
    </row>
    <row r="4077" spans="1:7" x14ac:dyDescent="0.25">
      <c r="A4077" s="10"/>
      <c r="B4077" s="10"/>
      <c r="C4077" s="10"/>
      <c r="D4077" s="12"/>
      <c r="E4077" s="10"/>
      <c r="F4077" s="10"/>
      <c r="G4077" s="10"/>
    </row>
    <row r="4078" spans="1:7" x14ac:dyDescent="0.25">
      <c r="A4078" s="10"/>
      <c r="B4078" s="10"/>
      <c r="C4078" s="10"/>
      <c r="D4078" s="12"/>
      <c r="E4078" s="10"/>
      <c r="F4078" s="10"/>
      <c r="G4078" s="10"/>
    </row>
    <row r="4079" spans="1:7" x14ac:dyDescent="0.25">
      <c r="A4079" s="10"/>
      <c r="B4079" s="10"/>
      <c r="C4079" s="10"/>
      <c r="D4079" s="12"/>
      <c r="E4079" s="10"/>
      <c r="F4079" s="10"/>
      <c r="G4079" s="10"/>
    </row>
    <row r="4080" spans="1:7" x14ac:dyDescent="0.25">
      <c r="A4080" s="10"/>
      <c r="B4080" s="10"/>
      <c r="C4080" s="10"/>
      <c r="D4080" s="12"/>
      <c r="E4080" s="10"/>
      <c r="F4080" s="10"/>
      <c r="G4080" s="10"/>
    </row>
    <row r="4081" spans="1:7" x14ac:dyDescent="0.25">
      <c r="A4081" s="10"/>
      <c r="B4081" s="10"/>
      <c r="C4081" s="10"/>
      <c r="D4081" s="12"/>
      <c r="E4081" s="10"/>
      <c r="F4081" s="10"/>
      <c r="G4081" s="10"/>
    </row>
    <row r="4082" spans="1:7" x14ac:dyDescent="0.25">
      <c r="A4082" s="10"/>
      <c r="B4082" s="10"/>
      <c r="C4082" s="10"/>
      <c r="D4082" s="12"/>
      <c r="E4082" s="10"/>
      <c r="F4082" s="10"/>
      <c r="G4082" s="10"/>
    </row>
    <row r="4083" spans="1:7" x14ac:dyDescent="0.25">
      <c r="A4083" s="10"/>
      <c r="B4083" s="10"/>
      <c r="C4083" s="10"/>
      <c r="D4083" s="12"/>
      <c r="E4083" s="10"/>
      <c r="F4083" s="10"/>
      <c r="G4083" s="10"/>
    </row>
    <row r="4084" spans="1:7" x14ac:dyDescent="0.25">
      <c r="A4084" s="10"/>
      <c r="B4084" s="10"/>
      <c r="C4084" s="10"/>
      <c r="D4084" s="12"/>
      <c r="E4084" s="10"/>
      <c r="F4084" s="10"/>
      <c r="G4084" s="10"/>
    </row>
    <row r="4085" spans="1:7" x14ac:dyDescent="0.25">
      <c r="A4085" s="10"/>
      <c r="B4085" s="10"/>
      <c r="C4085" s="10"/>
      <c r="D4085" s="12"/>
      <c r="E4085" s="10"/>
      <c r="F4085" s="10"/>
      <c r="G4085" s="10"/>
    </row>
    <row r="4086" spans="1:7" x14ac:dyDescent="0.25">
      <c r="A4086" s="10"/>
      <c r="B4086" s="10"/>
      <c r="C4086" s="10"/>
      <c r="D4086" s="12"/>
      <c r="E4086" s="10"/>
      <c r="F4086" s="10"/>
      <c r="G4086" s="10"/>
    </row>
    <row r="4087" spans="1:7" x14ac:dyDescent="0.25">
      <c r="A4087" s="10"/>
      <c r="B4087" s="10"/>
      <c r="C4087" s="10"/>
      <c r="D4087" s="12"/>
      <c r="E4087" s="10"/>
      <c r="F4087" s="10"/>
      <c r="G4087" s="10"/>
    </row>
    <row r="4088" spans="1:7" x14ac:dyDescent="0.25">
      <c r="A4088" s="10"/>
      <c r="B4088" s="10"/>
      <c r="C4088" s="10"/>
      <c r="D4088" s="12"/>
      <c r="E4088" s="10"/>
      <c r="F4088" s="10"/>
      <c r="G4088" s="10"/>
    </row>
    <row r="4089" spans="1:7" x14ac:dyDescent="0.25">
      <c r="A4089" s="10"/>
      <c r="B4089" s="10"/>
      <c r="C4089" s="10"/>
      <c r="D4089" s="12"/>
      <c r="E4089" s="10"/>
      <c r="F4089" s="10"/>
      <c r="G4089" s="10"/>
    </row>
    <row r="4090" spans="1:7" x14ac:dyDescent="0.25">
      <c r="A4090" s="10"/>
      <c r="B4090" s="10"/>
      <c r="C4090" s="10"/>
      <c r="D4090" s="12"/>
      <c r="E4090" s="10"/>
      <c r="F4090" s="10"/>
      <c r="G4090" s="10"/>
    </row>
    <row r="4091" spans="1:7" x14ac:dyDescent="0.25">
      <c r="A4091" s="10"/>
      <c r="B4091" s="10"/>
      <c r="C4091" s="10"/>
      <c r="D4091" s="12"/>
      <c r="E4091" s="10"/>
      <c r="F4091" s="10"/>
      <c r="G4091" s="10"/>
    </row>
    <row r="4092" spans="1:7" x14ac:dyDescent="0.25">
      <c r="A4092" s="10"/>
      <c r="B4092" s="10"/>
      <c r="C4092" s="10"/>
      <c r="D4092" s="12"/>
      <c r="E4092" s="10"/>
      <c r="F4092" s="10"/>
      <c r="G4092" s="10"/>
    </row>
    <row r="4093" spans="1:7" x14ac:dyDescent="0.25">
      <c r="A4093" s="10"/>
      <c r="B4093" s="10"/>
      <c r="C4093" s="10"/>
      <c r="D4093" s="12"/>
      <c r="E4093" s="10"/>
      <c r="F4093" s="10"/>
      <c r="G4093" s="10"/>
    </row>
    <row r="4094" spans="1:7" x14ac:dyDescent="0.25">
      <c r="A4094" s="10"/>
      <c r="B4094" s="10"/>
      <c r="C4094" s="10"/>
      <c r="D4094" s="12"/>
      <c r="E4094" s="10"/>
      <c r="F4094" s="10"/>
      <c r="G4094" s="10"/>
    </row>
    <row r="4095" spans="1:7" x14ac:dyDescent="0.25">
      <c r="A4095" s="10"/>
      <c r="B4095" s="10"/>
      <c r="C4095" s="10"/>
      <c r="D4095" s="12"/>
      <c r="E4095" s="10"/>
      <c r="F4095" s="10"/>
      <c r="G4095" s="10"/>
    </row>
    <row r="4096" spans="1:7" x14ac:dyDescent="0.25">
      <c r="A4096" s="10"/>
      <c r="B4096" s="10"/>
      <c r="C4096" s="10"/>
      <c r="D4096" s="12"/>
      <c r="E4096" s="10"/>
      <c r="F4096" s="10"/>
      <c r="G4096" s="10"/>
    </row>
    <row r="4097" spans="1:7" x14ac:dyDescent="0.25">
      <c r="A4097" s="10"/>
      <c r="B4097" s="10"/>
      <c r="C4097" s="10"/>
      <c r="D4097" s="12"/>
      <c r="E4097" s="10"/>
      <c r="F4097" s="10"/>
      <c r="G4097" s="10"/>
    </row>
    <row r="4098" spans="1:7" x14ac:dyDescent="0.25">
      <c r="A4098" s="10"/>
      <c r="B4098" s="10"/>
      <c r="C4098" s="10"/>
      <c r="D4098" s="12"/>
      <c r="E4098" s="10"/>
      <c r="F4098" s="10"/>
      <c r="G4098" s="10"/>
    </row>
    <row r="4099" spans="1:7" x14ac:dyDescent="0.25">
      <c r="A4099" s="10"/>
      <c r="B4099" s="10"/>
      <c r="C4099" s="10"/>
      <c r="D4099" s="12"/>
      <c r="E4099" s="10"/>
      <c r="F4099" s="10"/>
      <c r="G4099" s="10"/>
    </row>
    <row r="4100" spans="1:7" x14ac:dyDescent="0.25">
      <c r="A4100" s="10"/>
      <c r="B4100" s="10"/>
      <c r="C4100" s="10"/>
      <c r="D4100" s="12"/>
      <c r="E4100" s="10"/>
      <c r="F4100" s="10"/>
      <c r="G4100" s="10"/>
    </row>
    <row r="4101" spans="1:7" x14ac:dyDescent="0.25">
      <c r="A4101" s="10"/>
      <c r="B4101" s="10"/>
      <c r="C4101" s="10"/>
      <c r="D4101" s="12"/>
      <c r="E4101" s="10"/>
      <c r="F4101" s="10"/>
      <c r="G4101" s="10"/>
    </row>
    <row r="4102" spans="1:7" x14ac:dyDescent="0.25">
      <c r="A4102" s="10"/>
      <c r="B4102" s="10"/>
      <c r="C4102" s="10"/>
      <c r="D4102" s="12"/>
      <c r="E4102" s="10"/>
      <c r="F4102" s="10"/>
      <c r="G4102" s="10"/>
    </row>
    <row r="4103" spans="1:7" x14ac:dyDescent="0.25">
      <c r="A4103" s="10"/>
      <c r="B4103" s="10"/>
      <c r="C4103" s="10"/>
      <c r="D4103" s="12"/>
      <c r="E4103" s="10"/>
      <c r="F4103" s="10"/>
      <c r="G4103" s="10"/>
    </row>
    <row r="4104" spans="1:7" x14ac:dyDescent="0.25">
      <c r="A4104" s="10"/>
      <c r="B4104" s="10"/>
      <c r="C4104" s="10"/>
      <c r="D4104" s="12"/>
      <c r="E4104" s="10"/>
      <c r="F4104" s="10"/>
      <c r="G4104" s="10"/>
    </row>
    <row r="4105" spans="1:7" x14ac:dyDescent="0.25">
      <c r="A4105" s="10"/>
      <c r="B4105" s="10"/>
      <c r="C4105" s="10"/>
      <c r="D4105" s="12"/>
      <c r="E4105" s="10"/>
      <c r="F4105" s="10"/>
      <c r="G4105" s="10"/>
    </row>
    <row r="4106" spans="1:7" x14ac:dyDescent="0.25">
      <c r="A4106" s="10"/>
      <c r="B4106" s="10"/>
      <c r="C4106" s="10"/>
      <c r="D4106" s="12"/>
      <c r="E4106" s="10"/>
      <c r="F4106" s="10"/>
      <c r="G4106" s="10"/>
    </row>
    <row r="4107" spans="1:7" x14ac:dyDescent="0.25">
      <c r="A4107" s="10"/>
      <c r="B4107" s="10"/>
      <c r="C4107" s="10"/>
      <c r="D4107" s="12"/>
      <c r="E4107" s="10"/>
      <c r="F4107" s="10"/>
      <c r="G4107" s="10"/>
    </row>
    <row r="4108" spans="1:7" x14ac:dyDescent="0.25">
      <c r="A4108" s="10"/>
      <c r="B4108" s="10"/>
      <c r="C4108" s="10"/>
      <c r="D4108" s="12"/>
      <c r="E4108" s="10"/>
      <c r="F4108" s="10"/>
      <c r="G4108" s="10"/>
    </row>
    <row r="4109" spans="1:7" x14ac:dyDescent="0.25">
      <c r="A4109" s="10"/>
      <c r="B4109" s="10"/>
      <c r="C4109" s="10"/>
      <c r="D4109" s="12"/>
      <c r="E4109" s="10"/>
      <c r="F4109" s="10"/>
      <c r="G4109" s="10"/>
    </row>
    <row r="4110" spans="1:7" x14ac:dyDescent="0.25">
      <c r="A4110" s="10"/>
      <c r="B4110" s="10"/>
      <c r="C4110" s="10"/>
      <c r="D4110" s="12"/>
      <c r="E4110" s="10"/>
      <c r="F4110" s="10"/>
      <c r="G4110" s="10"/>
    </row>
    <row r="4111" spans="1:7" x14ac:dyDescent="0.25">
      <c r="A4111" s="10"/>
      <c r="B4111" s="10"/>
      <c r="C4111" s="10"/>
      <c r="D4111" s="12"/>
      <c r="E4111" s="10"/>
      <c r="F4111" s="10"/>
      <c r="G4111" s="10"/>
    </row>
    <row r="4112" spans="1:7" x14ac:dyDescent="0.25">
      <c r="A4112" s="10"/>
      <c r="B4112" s="10"/>
      <c r="C4112" s="10"/>
      <c r="D4112" s="12"/>
      <c r="E4112" s="10"/>
      <c r="F4112" s="10"/>
      <c r="G4112" s="10"/>
    </row>
    <row r="4113" spans="1:7" x14ac:dyDescent="0.25">
      <c r="A4113" s="10"/>
      <c r="B4113" s="10"/>
      <c r="C4113" s="10"/>
      <c r="D4113" s="12"/>
      <c r="E4113" s="10"/>
      <c r="F4113" s="10"/>
      <c r="G4113" s="10"/>
    </row>
    <row r="4114" spans="1:7" x14ac:dyDescent="0.25">
      <c r="A4114" s="10"/>
      <c r="B4114" s="10"/>
      <c r="C4114" s="10"/>
      <c r="D4114" s="12"/>
      <c r="E4114" s="10"/>
      <c r="F4114" s="10"/>
      <c r="G4114" s="10"/>
    </row>
    <row r="4115" spans="1:7" x14ac:dyDescent="0.25">
      <c r="A4115" s="10"/>
      <c r="B4115" s="10"/>
      <c r="C4115" s="10"/>
      <c r="D4115" s="12"/>
      <c r="E4115" s="10"/>
      <c r="F4115" s="10"/>
      <c r="G4115" s="10"/>
    </row>
    <row r="4116" spans="1:7" x14ac:dyDescent="0.25">
      <c r="A4116" s="10"/>
      <c r="B4116" s="10"/>
      <c r="C4116" s="10"/>
      <c r="D4116" s="12"/>
      <c r="E4116" s="10"/>
      <c r="F4116" s="10"/>
      <c r="G4116" s="10"/>
    </row>
    <row r="4117" spans="1:7" x14ac:dyDescent="0.25">
      <c r="A4117" s="10"/>
      <c r="B4117" s="10"/>
      <c r="C4117" s="10"/>
      <c r="D4117" s="12"/>
      <c r="E4117" s="10"/>
      <c r="F4117" s="10"/>
      <c r="G4117" s="10"/>
    </row>
    <row r="4118" spans="1:7" x14ac:dyDescent="0.25">
      <c r="A4118" s="10"/>
      <c r="B4118" s="10"/>
      <c r="C4118" s="10"/>
      <c r="D4118" s="12"/>
      <c r="E4118" s="10"/>
      <c r="F4118" s="10"/>
      <c r="G4118" s="10"/>
    </row>
    <row r="4119" spans="1:7" x14ac:dyDescent="0.25">
      <c r="A4119" s="10"/>
      <c r="B4119" s="10"/>
      <c r="C4119" s="10"/>
      <c r="D4119" s="12"/>
      <c r="E4119" s="10"/>
      <c r="F4119" s="10"/>
      <c r="G4119" s="10"/>
    </row>
    <row r="4120" spans="1:7" x14ac:dyDescent="0.25">
      <c r="A4120" s="10"/>
      <c r="B4120" s="10"/>
      <c r="C4120" s="10"/>
      <c r="D4120" s="12"/>
      <c r="E4120" s="10"/>
      <c r="F4120" s="10"/>
      <c r="G4120" s="10"/>
    </row>
    <row r="4121" spans="1:7" x14ac:dyDescent="0.25">
      <c r="A4121" s="10"/>
      <c r="B4121" s="10"/>
      <c r="C4121" s="10"/>
      <c r="D4121" s="12"/>
      <c r="E4121" s="10"/>
      <c r="F4121" s="10"/>
      <c r="G4121" s="10"/>
    </row>
    <row r="4122" spans="1:7" x14ac:dyDescent="0.25">
      <c r="A4122" s="10"/>
      <c r="B4122" s="10"/>
      <c r="C4122" s="10"/>
      <c r="D4122" s="12"/>
      <c r="E4122" s="10"/>
      <c r="F4122" s="10"/>
      <c r="G4122" s="10"/>
    </row>
    <row r="4123" spans="1:7" x14ac:dyDescent="0.25">
      <c r="A4123" s="10"/>
      <c r="B4123" s="10"/>
      <c r="C4123" s="10"/>
      <c r="D4123" s="12"/>
      <c r="E4123" s="10"/>
      <c r="F4123" s="10"/>
      <c r="G4123" s="10"/>
    </row>
    <row r="4124" spans="1:7" x14ac:dyDescent="0.25">
      <c r="A4124" s="10"/>
      <c r="B4124" s="10"/>
      <c r="C4124" s="10"/>
      <c r="D4124" s="12"/>
      <c r="E4124" s="10"/>
      <c r="F4124" s="10"/>
      <c r="G4124" s="10"/>
    </row>
    <row r="4125" spans="1:7" x14ac:dyDescent="0.25">
      <c r="A4125" s="10"/>
      <c r="B4125" s="10"/>
      <c r="C4125" s="10"/>
      <c r="D4125" s="12"/>
      <c r="E4125" s="10"/>
      <c r="F4125" s="10"/>
      <c r="G4125" s="10"/>
    </row>
    <row r="4126" spans="1:7" x14ac:dyDescent="0.25">
      <c r="A4126" s="10"/>
      <c r="B4126" s="10"/>
      <c r="C4126" s="10"/>
      <c r="D4126" s="12"/>
      <c r="E4126" s="10"/>
      <c r="F4126" s="10"/>
      <c r="G4126" s="10"/>
    </row>
    <row r="4127" spans="1:7" x14ac:dyDescent="0.25">
      <c r="A4127" s="10"/>
      <c r="B4127" s="10"/>
      <c r="C4127" s="10"/>
      <c r="D4127" s="12"/>
      <c r="E4127" s="10"/>
      <c r="F4127" s="10"/>
      <c r="G4127" s="10"/>
    </row>
    <row r="4128" spans="1:7" x14ac:dyDescent="0.25">
      <c r="A4128" s="10"/>
      <c r="B4128" s="10"/>
      <c r="C4128" s="10"/>
      <c r="D4128" s="12"/>
      <c r="E4128" s="10"/>
      <c r="F4128" s="10"/>
      <c r="G4128" s="10"/>
    </row>
    <row r="4129" spans="1:7" x14ac:dyDescent="0.25">
      <c r="A4129" s="10"/>
      <c r="B4129" s="10"/>
      <c r="C4129" s="10"/>
      <c r="D4129" s="12"/>
      <c r="E4129" s="10"/>
      <c r="F4129" s="10"/>
      <c r="G4129" s="10"/>
    </row>
    <row r="4130" spans="1:7" x14ac:dyDescent="0.25">
      <c r="A4130" s="10"/>
      <c r="B4130" s="10"/>
      <c r="C4130" s="10"/>
      <c r="D4130" s="12"/>
      <c r="E4130" s="10"/>
      <c r="F4130" s="10"/>
      <c r="G4130" s="10"/>
    </row>
    <row r="4131" spans="1:7" x14ac:dyDescent="0.25">
      <c r="A4131" s="10"/>
      <c r="B4131" s="10"/>
      <c r="C4131" s="10"/>
      <c r="D4131" s="12"/>
      <c r="E4131" s="10"/>
      <c r="F4131" s="10"/>
      <c r="G4131" s="10"/>
    </row>
    <row r="4132" spans="1:7" x14ac:dyDescent="0.25">
      <c r="A4132" s="10"/>
      <c r="B4132" s="10"/>
      <c r="C4132" s="10"/>
      <c r="D4132" s="12"/>
      <c r="E4132" s="10"/>
      <c r="F4132" s="10"/>
      <c r="G4132" s="10"/>
    </row>
    <row r="4133" spans="1:7" x14ac:dyDescent="0.25">
      <c r="A4133" s="10"/>
      <c r="B4133" s="10"/>
      <c r="C4133" s="10"/>
      <c r="D4133" s="12"/>
      <c r="E4133" s="10"/>
      <c r="F4133" s="10"/>
      <c r="G4133" s="10"/>
    </row>
    <row r="4134" spans="1:7" x14ac:dyDescent="0.25">
      <c r="A4134" s="10"/>
      <c r="B4134" s="10"/>
      <c r="C4134" s="10"/>
      <c r="D4134" s="12"/>
      <c r="E4134" s="10"/>
      <c r="F4134" s="10"/>
      <c r="G4134" s="10"/>
    </row>
    <row r="4135" spans="1:7" x14ac:dyDescent="0.25">
      <c r="A4135" s="10"/>
      <c r="B4135" s="10"/>
      <c r="C4135" s="10"/>
      <c r="D4135" s="12"/>
      <c r="E4135" s="10"/>
      <c r="F4135" s="10"/>
      <c r="G4135" s="10"/>
    </row>
    <row r="4136" spans="1:7" x14ac:dyDescent="0.25">
      <c r="A4136" s="10"/>
      <c r="B4136" s="10"/>
      <c r="C4136" s="10"/>
      <c r="D4136" s="12"/>
      <c r="E4136" s="10"/>
      <c r="F4136" s="10"/>
      <c r="G4136" s="10"/>
    </row>
    <row r="4137" spans="1:7" x14ac:dyDescent="0.25">
      <c r="A4137" s="10"/>
      <c r="B4137" s="10"/>
      <c r="C4137" s="10"/>
      <c r="D4137" s="12"/>
      <c r="E4137" s="10"/>
      <c r="F4137" s="10"/>
      <c r="G4137" s="10"/>
    </row>
    <row r="4138" spans="1:7" x14ac:dyDescent="0.25">
      <c r="A4138" s="10"/>
      <c r="B4138" s="10"/>
      <c r="C4138" s="10"/>
      <c r="D4138" s="12"/>
      <c r="E4138" s="10"/>
      <c r="F4138" s="10"/>
      <c r="G4138" s="10"/>
    </row>
    <row r="4139" spans="1:7" x14ac:dyDescent="0.25">
      <c r="A4139" s="10"/>
      <c r="B4139" s="10"/>
      <c r="C4139" s="10"/>
      <c r="D4139" s="12"/>
      <c r="E4139" s="10"/>
      <c r="F4139" s="10"/>
      <c r="G4139" s="10"/>
    </row>
    <row r="4140" spans="1:7" x14ac:dyDescent="0.25">
      <c r="A4140" s="10"/>
      <c r="B4140" s="10"/>
      <c r="C4140" s="10"/>
      <c r="D4140" s="12"/>
      <c r="E4140" s="10"/>
      <c r="F4140" s="10"/>
      <c r="G4140" s="10"/>
    </row>
    <row r="4141" spans="1:7" x14ac:dyDescent="0.25">
      <c r="A4141" s="10"/>
      <c r="B4141" s="10"/>
      <c r="C4141" s="10"/>
      <c r="D4141" s="12"/>
      <c r="E4141" s="10"/>
      <c r="F4141" s="10"/>
      <c r="G4141" s="10"/>
    </row>
    <row r="4142" spans="1:7" x14ac:dyDescent="0.25">
      <c r="A4142" s="10"/>
      <c r="B4142" s="10"/>
      <c r="C4142" s="10"/>
      <c r="D4142" s="12"/>
      <c r="E4142" s="10"/>
      <c r="F4142" s="10"/>
      <c r="G4142" s="10"/>
    </row>
    <row r="4143" spans="1:7" x14ac:dyDescent="0.25">
      <c r="A4143" s="10"/>
      <c r="B4143" s="10"/>
      <c r="C4143" s="10"/>
      <c r="D4143" s="12"/>
      <c r="E4143" s="10"/>
      <c r="F4143" s="10"/>
      <c r="G4143" s="10"/>
    </row>
    <row r="4144" spans="1:7" x14ac:dyDescent="0.25">
      <c r="A4144" s="10"/>
      <c r="B4144" s="10"/>
      <c r="C4144" s="10"/>
      <c r="D4144" s="12"/>
      <c r="E4144" s="10"/>
      <c r="F4144" s="10"/>
      <c r="G4144" s="10"/>
    </row>
    <row r="4145" spans="1:7" x14ac:dyDescent="0.25">
      <c r="A4145" s="10"/>
      <c r="B4145" s="10"/>
      <c r="C4145" s="10"/>
      <c r="D4145" s="12"/>
      <c r="E4145" s="10"/>
      <c r="F4145" s="10"/>
      <c r="G4145" s="10"/>
    </row>
    <row r="4146" spans="1:7" x14ac:dyDescent="0.25">
      <c r="A4146" s="10"/>
      <c r="B4146" s="10"/>
      <c r="C4146" s="10"/>
      <c r="D4146" s="12"/>
      <c r="E4146" s="10"/>
      <c r="F4146" s="10"/>
      <c r="G4146" s="10"/>
    </row>
    <row r="4147" spans="1:7" x14ac:dyDescent="0.25">
      <c r="A4147" s="10"/>
      <c r="B4147" s="10"/>
      <c r="C4147" s="10"/>
      <c r="D4147" s="12"/>
      <c r="E4147" s="10"/>
      <c r="F4147" s="10"/>
      <c r="G4147" s="10"/>
    </row>
    <row r="4148" spans="1:7" x14ac:dyDescent="0.25">
      <c r="A4148" s="10"/>
      <c r="B4148" s="10"/>
      <c r="C4148" s="10"/>
      <c r="D4148" s="12"/>
      <c r="E4148" s="10"/>
      <c r="F4148" s="10"/>
      <c r="G4148" s="10"/>
    </row>
    <row r="4149" spans="1:7" x14ac:dyDescent="0.25">
      <c r="A4149" s="10"/>
      <c r="B4149" s="10"/>
      <c r="C4149" s="10"/>
      <c r="D4149" s="12"/>
      <c r="E4149" s="10"/>
      <c r="F4149" s="10"/>
      <c r="G4149" s="10"/>
    </row>
    <row r="4150" spans="1:7" x14ac:dyDescent="0.25">
      <c r="A4150" s="10"/>
      <c r="B4150" s="10"/>
      <c r="C4150" s="10"/>
      <c r="D4150" s="12"/>
      <c r="E4150" s="10"/>
      <c r="F4150" s="10"/>
      <c r="G4150" s="10"/>
    </row>
    <row r="4151" spans="1:7" x14ac:dyDescent="0.25">
      <c r="A4151" s="10"/>
      <c r="B4151" s="10"/>
      <c r="C4151" s="10"/>
      <c r="D4151" s="12"/>
      <c r="E4151" s="10"/>
      <c r="F4151" s="10"/>
      <c r="G4151" s="10"/>
    </row>
    <row r="4152" spans="1:7" x14ac:dyDescent="0.25">
      <c r="A4152" s="10"/>
      <c r="B4152" s="10"/>
      <c r="C4152" s="10"/>
      <c r="D4152" s="12"/>
      <c r="E4152" s="10"/>
      <c r="F4152" s="10"/>
      <c r="G4152" s="10"/>
    </row>
    <row r="4153" spans="1:7" x14ac:dyDescent="0.25">
      <c r="A4153" s="10"/>
      <c r="B4153" s="10"/>
      <c r="C4153" s="10"/>
      <c r="D4153" s="12"/>
      <c r="E4153" s="10"/>
      <c r="F4153" s="10"/>
      <c r="G4153" s="10"/>
    </row>
    <row r="4154" spans="1:7" x14ac:dyDescent="0.25">
      <c r="A4154" s="10"/>
      <c r="B4154" s="10"/>
      <c r="C4154" s="10"/>
      <c r="D4154" s="12"/>
      <c r="E4154" s="10"/>
      <c r="F4154" s="10"/>
      <c r="G4154" s="10"/>
    </row>
    <row r="4155" spans="1:7" x14ac:dyDescent="0.25">
      <c r="A4155" s="10"/>
      <c r="B4155" s="10"/>
      <c r="C4155" s="10"/>
      <c r="D4155" s="12"/>
      <c r="E4155" s="10"/>
      <c r="F4155" s="10"/>
      <c r="G4155" s="10"/>
    </row>
    <row r="4156" spans="1:7" x14ac:dyDescent="0.25">
      <c r="A4156" s="10"/>
      <c r="B4156" s="10"/>
      <c r="C4156" s="10"/>
      <c r="D4156" s="12"/>
      <c r="E4156" s="10"/>
      <c r="F4156" s="10"/>
      <c r="G4156" s="10"/>
    </row>
    <row r="4157" spans="1:7" x14ac:dyDescent="0.25">
      <c r="A4157" s="10"/>
      <c r="B4157" s="10"/>
      <c r="C4157" s="10"/>
      <c r="D4157" s="12"/>
      <c r="E4157" s="10"/>
      <c r="F4157" s="10"/>
      <c r="G4157" s="10"/>
    </row>
    <row r="4158" spans="1:7" x14ac:dyDescent="0.25">
      <c r="A4158" s="10"/>
      <c r="B4158" s="10"/>
      <c r="C4158" s="10"/>
      <c r="D4158" s="12"/>
      <c r="E4158" s="10"/>
      <c r="F4158" s="10"/>
      <c r="G4158" s="10"/>
    </row>
    <row r="4159" spans="1:7" x14ac:dyDescent="0.25">
      <c r="A4159" s="10"/>
      <c r="B4159" s="10"/>
      <c r="C4159" s="10"/>
      <c r="D4159" s="12"/>
      <c r="E4159" s="10"/>
      <c r="F4159" s="10"/>
      <c r="G4159" s="10"/>
    </row>
    <row r="4160" spans="1:7" x14ac:dyDescent="0.25">
      <c r="A4160" s="10"/>
      <c r="B4160" s="10"/>
      <c r="C4160" s="10"/>
      <c r="D4160" s="12"/>
      <c r="E4160" s="10"/>
      <c r="F4160" s="10"/>
      <c r="G4160" s="10"/>
    </row>
    <row r="4161" spans="1:7" x14ac:dyDescent="0.25">
      <c r="A4161" s="10"/>
      <c r="B4161" s="10"/>
      <c r="C4161" s="10"/>
      <c r="D4161" s="12"/>
      <c r="E4161" s="10"/>
      <c r="F4161" s="10"/>
      <c r="G4161" s="10"/>
    </row>
    <row r="4162" spans="1:7" x14ac:dyDescent="0.25">
      <c r="A4162" s="10"/>
      <c r="B4162" s="10"/>
      <c r="C4162" s="10"/>
      <c r="D4162" s="12"/>
      <c r="E4162" s="10"/>
      <c r="F4162" s="10"/>
      <c r="G4162" s="10"/>
    </row>
    <row r="4163" spans="1:7" x14ac:dyDescent="0.25">
      <c r="A4163" s="10"/>
      <c r="B4163" s="10"/>
      <c r="C4163" s="10"/>
      <c r="D4163" s="12"/>
      <c r="E4163" s="10"/>
      <c r="F4163" s="10"/>
      <c r="G4163" s="10"/>
    </row>
    <row r="4164" spans="1:7" x14ac:dyDescent="0.25">
      <c r="A4164" s="10"/>
      <c r="B4164" s="10"/>
      <c r="C4164" s="10"/>
      <c r="D4164" s="12"/>
      <c r="E4164" s="10"/>
      <c r="F4164" s="10"/>
      <c r="G4164" s="10"/>
    </row>
    <row r="4165" spans="1:7" x14ac:dyDescent="0.25">
      <c r="A4165" s="10"/>
      <c r="B4165" s="10"/>
      <c r="C4165" s="10"/>
      <c r="D4165" s="12"/>
      <c r="E4165" s="10"/>
      <c r="F4165" s="10"/>
      <c r="G4165" s="10"/>
    </row>
    <row r="4166" spans="1:7" x14ac:dyDescent="0.25">
      <c r="A4166" s="10"/>
      <c r="B4166" s="10"/>
      <c r="C4166" s="10"/>
      <c r="D4166" s="12"/>
      <c r="E4166" s="10"/>
      <c r="F4166" s="10"/>
      <c r="G4166" s="10"/>
    </row>
    <row r="4167" spans="1:7" x14ac:dyDescent="0.25">
      <c r="A4167" s="10"/>
      <c r="B4167" s="10"/>
      <c r="C4167" s="10"/>
      <c r="D4167" s="12"/>
      <c r="E4167" s="10"/>
      <c r="F4167" s="10"/>
      <c r="G4167" s="10"/>
    </row>
    <row r="4168" spans="1:7" x14ac:dyDescent="0.25">
      <c r="A4168" s="10"/>
      <c r="B4168" s="10"/>
      <c r="C4168" s="10"/>
      <c r="D4168" s="12"/>
      <c r="E4168" s="10"/>
      <c r="F4168" s="10"/>
      <c r="G4168" s="10"/>
    </row>
    <row r="4169" spans="1:7" x14ac:dyDescent="0.25">
      <c r="A4169" s="10"/>
      <c r="B4169" s="10"/>
      <c r="C4169" s="10"/>
      <c r="D4169" s="12"/>
      <c r="E4169" s="10"/>
      <c r="F4169" s="10"/>
      <c r="G4169" s="10"/>
    </row>
    <row r="4170" spans="1:7" x14ac:dyDescent="0.25">
      <c r="A4170" s="10"/>
      <c r="B4170" s="10"/>
      <c r="C4170" s="10"/>
      <c r="D4170" s="12"/>
      <c r="E4170" s="10"/>
      <c r="F4170" s="10"/>
      <c r="G4170" s="10"/>
    </row>
    <row r="4171" spans="1:7" x14ac:dyDescent="0.25">
      <c r="A4171" s="10"/>
      <c r="B4171" s="10"/>
      <c r="C4171" s="10"/>
      <c r="D4171" s="12"/>
      <c r="E4171" s="10"/>
      <c r="F4171" s="10"/>
      <c r="G4171" s="10"/>
    </row>
    <row r="4172" spans="1:7" x14ac:dyDescent="0.25">
      <c r="A4172" s="10"/>
      <c r="B4172" s="10"/>
      <c r="C4172" s="10"/>
      <c r="D4172" s="12"/>
      <c r="E4172" s="10"/>
      <c r="F4172" s="10"/>
      <c r="G4172" s="10"/>
    </row>
    <row r="4173" spans="1:7" x14ac:dyDescent="0.25">
      <c r="A4173" s="10"/>
      <c r="B4173" s="10"/>
      <c r="C4173" s="10"/>
      <c r="D4173" s="12"/>
      <c r="E4173" s="10"/>
      <c r="F4173" s="10"/>
      <c r="G4173" s="10"/>
    </row>
    <row r="4174" spans="1:7" x14ac:dyDescent="0.25">
      <c r="A4174" s="10"/>
      <c r="B4174" s="10"/>
      <c r="C4174" s="10"/>
      <c r="D4174" s="12"/>
      <c r="E4174" s="10"/>
      <c r="F4174" s="10"/>
      <c r="G4174" s="10"/>
    </row>
    <row r="4175" spans="1:7" x14ac:dyDescent="0.25">
      <c r="A4175" s="10"/>
      <c r="B4175" s="10"/>
      <c r="C4175" s="10"/>
      <c r="D4175" s="12"/>
      <c r="E4175" s="10"/>
      <c r="F4175" s="10"/>
      <c r="G4175" s="10"/>
    </row>
    <row r="4176" spans="1:7" x14ac:dyDescent="0.25">
      <c r="A4176" s="10"/>
      <c r="B4176" s="10"/>
      <c r="C4176" s="10"/>
      <c r="D4176" s="12"/>
      <c r="E4176" s="10"/>
      <c r="F4176" s="10"/>
      <c r="G4176" s="10"/>
    </row>
    <row r="4177" spans="1:7" x14ac:dyDescent="0.25">
      <c r="A4177" s="10"/>
      <c r="B4177" s="10"/>
      <c r="C4177" s="10"/>
      <c r="D4177" s="12"/>
      <c r="E4177" s="10"/>
      <c r="F4177" s="10"/>
      <c r="G4177" s="10"/>
    </row>
    <row r="4178" spans="1:7" x14ac:dyDescent="0.25">
      <c r="A4178" s="10"/>
      <c r="B4178" s="10"/>
      <c r="C4178" s="10"/>
      <c r="D4178" s="12"/>
      <c r="E4178" s="10"/>
      <c r="F4178" s="10"/>
      <c r="G4178" s="10"/>
    </row>
    <row r="4179" spans="1:7" x14ac:dyDescent="0.25">
      <c r="A4179" s="10"/>
      <c r="B4179" s="10"/>
      <c r="C4179" s="10"/>
      <c r="D4179" s="12"/>
      <c r="E4179" s="10"/>
      <c r="F4179" s="10"/>
      <c r="G4179" s="10"/>
    </row>
    <row r="4180" spans="1:7" x14ac:dyDescent="0.25">
      <c r="A4180" s="10"/>
      <c r="B4180" s="10"/>
      <c r="C4180" s="10"/>
      <c r="D4180" s="12"/>
      <c r="E4180" s="10"/>
      <c r="F4180" s="10"/>
      <c r="G4180" s="10"/>
    </row>
    <row r="4181" spans="1:7" x14ac:dyDescent="0.25">
      <c r="A4181" s="10"/>
      <c r="B4181" s="10"/>
      <c r="C4181" s="10"/>
      <c r="D4181" s="12"/>
      <c r="E4181" s="10"/>
      <c r="F4181" s="10"/>
      <c r="G4181" s="10"/>
    </row>
    <row r="4182" spans="1:7" x14ac:dyDescent="0.25">
      <c r="A4182" s="10"/>
      <c r="B4182" s="10"/>
      <c r="C4182" s="10"/>
      <c r="D4182" s="12"/>
      <c r="E4182" s="10"/>
      <c r="F4182" s="10"/>
      <c r="G4182" s="10"/>
    </row>
    <row r="4183" spans="1:7" x14ac:dyDescent="0.25">
      <c r="A4183" s="10"/>
      <c r="B4183" s="10"/>
      <c r="C4183" s="10"/>
      <c r="D4183" s="12"/>
      <c r="E4183" s="10"/>
      <c r="F4183" s="10"/>
      <c r="G4183" s="10"/>
    </row>
    <row r="4184" spans="1:7" x14ac:dyDescent="0.25">
      <c r="A4184" s="10"/>
      <c r="B4184" s="10"/>
      <c r="C4184" s="10"/>
      <c r="D4184" s="12"/>
      <c r="E4184" s="10"/>
      <c r="F4184" s="10"/>
      <c r="G4184" s="10"/>
    </row>
    <row r="4185" spans="1:7" x14ac:dyDescent="0.25">
      <c r="A4185" s="10"/>
      <c r="B4185" s="10"/>
      <c r="C4185" s="10"/>
      <c r="D4185" s="12"/>
      <c r="E4185" s="10"/>
      <c r="F4185" s="10"/>
      <c r="G4185" s="10"/>
    </row>
    <row r="4186" spans="1:7" x14ac:dyDescent="0.25">
      <c r="A4186" s="10"/>
      <c r="B4186" s="10"/>
      <c r="C4186" s="10"/>
      <c r="D4186" s="12"/>
      <c r="E4186" s="10"/>
      <c r="F4186" s="10"/>
      <c r="G4186" s="10"/>
    </row>
    <row r="4187" spans="1:7" x14ac:dyDescent="0.25">
      <c r="A4187" s="10"/>
      <c r="B4187" s="10"/>
      <c r="C4187" s="10"/>
      <c r="D4187" s="12"/>
      <c r="E4187" s="10"/>
      <c r="F4187" s="10"/>
      <c r="G4187" s="10"/>
    </row>
    <row r="4188" spans="1:7" x14ac:dyDescent="0.25">
      <c r="A4188" s="10"/>
      <c r="B4188" s="10"/>
      <c r="C4188" s="10"/>
      <c r="D4188" s="12"/>
      <c r="E4188" s="10"/>
      <c r="F4188" s="10"/>
      <c r="G4188" s="10"/>
    </row>
    <row r="4189" spans="1:7" x14ac:dyDescent="0.25">
      <c r="A4189" s="10"/>
      <c r="B4189" s="10"/>
      <c r="C4189" s="10"/>
      <c r="D4189" s="12"/>
      <c r="E4189" s="10"/>
      <c r="F4189" s="10"/>
      <c r="G4189" s="10"/>
    </row>
    <row r="4190" spans="1:7" x14ac:dyDescent="0.25">
      <c r="A4190" s="10"/>
      <c r="B4190" s="10"/>
      <c r="C4190" s="10"/>
      <c r="D4190" s="12"/>
      <c r="E4190" s="10"/>
      <c r="F4190" s="10"/>
      <c r="G4190" s="10"/>
    </row>
    <row r="4191" spans="1:7" x14ac:dyDescent="0.25">
      <c r="A4191" s="10"/>
      <c r="B4191" s="10"/>
      <c r="C4191" s="10"/>
      <c r="D4191" s="12"/>
      <c r="E4191" s="10"/>
      <c r="F4191" s="10"/>
      <c r="G4191" s="10"/>
    </row>
    <row r="4192" spans="1:7" x14ac:dyDescent="0.25">
      <c r="A4192" s="10"/>
      <c r="B4192" s="10"/>
      <c r="C4192" s="10"/>
      <c r="D4192" s="12"/>
      <c r="E4192" s="10"/>
      <c r="F4192" s="10"/>
      <c r="G4192" s="10"/>
    </row>
    <row r="4193" spans="1:7" x14ac:dyDescent="0.25">
      <c r="A4193" s="10"/>
      <c r="B4193" s="10"/>
      <c r="C4193" s="10"/>
      <c r="D4193" s="12"/>
      <c r="E4193" s="10"/>
      <c r="F4193" s="10"/>
      <c r="G4193" s="10"/>
    </row>
    <row r="4194" spans="1:7" x14ac:dyDescent="0.25">
      <c r="A4194" s="10"/>
      <c r="B4194" s="10"/>
      <c r="C4194" s="10"/>
      <c r="D4194" s="12"/>
      <c r="E4194" s="10"/>
      <c r="F4194" s="10"/>
      <c r="G4194" s="10"/>
    </row>
    <row r="4195" spans="1:7" x14ac:dyDescent="0.25">
      <c r="A4195" s="10"/>
      <c r="B4195" s="10"/>
      <c r="C4195" s="10"/>
      <c r="D4195" s="12"/>
      <c r="E4195" s="10"/>
      <c r="F4195" s="10"/>
      <c r="G4195" s="10"/>
    </row>
    <row r="4196" spans="1:7" x14ac:dyDescent="0.25">
      <c r="A4196" s="10"/>
      <c r="B4196" s="10"/>
      <c r="C4196" s="10"/>
      <c r="D4196" s="12"/>
      <c r="E4196" s="10"/>
      <c r="F4196" s="10"/>
      <c r="G4196" s="10"/>
    </row>
    <row r="4197" spans="1:7" x14ac:dyDescent="0.25">
      <c r="A4197" s="10"/>
      <c r="B4197" s="10"/>
      <c r="C4197" s="10"/>
      <c r="D4197" s="12"/>
      <c r="E4197" s="10"/>
      <c r="F4197" s="10"/>
      <c r="G4197" s="10"/>
    </row>
    <row r="4198" spans="1:7" x14ac:dyDescent="0.25">
      <c r="A4198" s="10"/>
      <c r="B4198" s="10"/>
      <c r="C4198" s="10"/>
      <c r="D4198" s="12"/>
      <c r="E4198" s="10"/>
      <c r="F4198" s="10"/>
      <c r="G4198" s="10"/>
    </row>
    <row r="4199" spans="1:7" x14ac:dyDescent="0.25">
      <c r="A4199" s="10"/>
      <c r="B4199" s="10"/>
      <c r="C4199" s="10"/>
      <c r="D4199" s="12"/>
      <c r="E4199" s="10"/>
      <c r="F4199" s="10"/>
      <c r="G4199" s="10"/>
    </row>
    <row r="4200" spans="1:7" x14ac:dyDescent="0.25">
      <c r="A4200" s="10"/>
      <c r="B4200" s="10"/>
      <c r="C4200" s="10"/>
      <c r="D4200" s="12"/>
      <c r="E4200" s="10"/>
      <c r="F4200" s="10"/>
      <c r="G4200" s="10"/>
    </row>
    <row r="4201" spans="1:7" x14ac:dyDescent="0.25">
      <c r="A4201" s="10"/>
      <c r="B4201" s="10"/>
      <c r="C4201" s="10"/>
      <c r="D4201" s="12"/>
      <c r="E4201" s="10"/>
      <c r="F4201" s="10"/>
      <c r="G4201" s="10"/>
    </row>
    <row r="4202" spans="1:7" x14ac:dyDescent="0.25">
      <c r="A4202" s="10"/>
      <c r="B4202" s="10"/>
      <c r="C4202" s="10"/>
      <c r="D4202" s="12"/>
      <c r="E4202" s="10"/>
      <c r="F4202" s="10"/>
      <c r="G4202" s="10"/>
    </row>
    <row r="4203" spans="1:7" x14ac:dyDescent="0.25">
      <c r="A4203" s="10"/>
      <c r="B4203" s="10"/>
      <c r="C4203" s="10"/>
      <c r="D4203" s="12"/>
      <c r="E4203" s="10"/>
      <c r="F4203" s="10"/>
      <c r="G4203" s="10"/>
    </row>
    <row r="4204" spans="1:7" x14ac:dyDescent="0.25">
      <c r="A4204" s="10"/>
      <c r="B4204" s="10"/>
      <c r="C4204" s="10"/>
      <c r="D4204" s="12"/>
      <c r="E4204" s="10"/>
      <c r="F4204" s="10"/>
      <c r="G4204" s="10"/>
    </row>
    <row r="4205" spans="1:7" x14ac:dyDescent="0.25">
      <c r="A4205" s="10"/>
      <c r="B4205" s="10"/>
      <c r="C4205" s="10"/>
      <c r="D4205" s="12"/>
      <c r="E4205" s="10"/>
      <c r="F4205" s="10"/>
      <c r="G4205" s="10"/>
    </row>
    <row r="4206" spans="1:7" x14ac:dyDescent="0.25">
      <c r="A4206" s="10"/>
      <c r="B4206" s="10"/>
      <c r="C4206" s="10"/>
      <c r="D4206" s="12"/>
      <c r="E4206" s="10"/>
      <c r="F4206" s="10"/>
      <c r="G4206" s="10"/>
    </row>
    <row r="4207" spans="1:7" x14ac:dyDescent="0.25">
      <c r="A4207" s="10"/>
      <c r="B4207" s="10"/>
      <c r="C4207" s="10"/>
      <c r="D4207" s="12"/>
      <c r="E4207" s="10"/>
      <c r="F4207" s="10"/>
      <c r="G4207" s="10"/>
    </row>
    <row r="4208" spans="1:7" x14ac:dyDescent="0.25">
      <c r="A4208" s="10"/>
      <c r="B4208" s="10"/>
      <c r="C4208" s="10"/>
      <c r="D4208" s="12"/>
      <c r="E4208" s="10"/>
      <c r="F4208" s="10"/>
      <c r="G4208" s="10"/>
    </row>
    <row r="4209" spans="1:7" x14ac:dyDescent="0.25">
      <c r="A4209" s="10"/>
      <c r="B4209" s="10"/>
      <c r="C4209" s="10"/>
      <c r="D4209" s="12"/>
      <c r="E4209" s="10"/>
      <c r="F4209" s="10"/>
      <c r="G4209" s="10"/>
    </row>
    <row r="4210" spans="1:7" x14ac:dyDescent="0.25">
      <c r="A4210" s="10"/>
      <c r="B4210" s="10"/>
      <c r="C4210" s="10"/>
      <c r="D4210" s="12"/>
      <c r="E4210" s="10"/>
      <c r="F4210" s="10"/>
      <c r="G4210" s="10"/>
    </row>
    <row r="4211" spans="1:7" x14ac:dyDescent="0.25">
      <c r="A4211" s="10"/>
      <c r="B4211" s="10"/>
      <c r="C4211" s="10"/>
      <c r="D4211" s="12"/>
      <c r="E4211" s="10"/>
      <c r="F4211" s="10"/>
      <c r="G4211" s="10"/>
    </row>
    <row r="4212" spans="1:7" x14ac:dyDescent="0.25">
      <c r="A4212" s="10"/>
      <c r="B4212" s="10"/>
      <c r="C4212" s="10"/>
      <c r="D4212" s="12"/>
      <c r="E4212" s="10"/>
      <c r="F4212" s="10"/>
      <c r="G4212" s="10"/>
    </row>
    <row r="4213" spans="1:7" x14ac:dyDescent="0.25">
      <c r="A4213" s="10"/>
      <c r="B4213" s="10"/>
      <c r="C4213" s="10"/>
      <c r="D4213" s="12"/>
      <c r="E4213" s="10"/>
      <c r="F4213" s="10"/>
      <c r="G4213" s="10"/>
    </row>
    <row r="4214" spans="1:7" x14ac:dyDescent="0.25">
      <c r="A4214" s="10"/>
      <c r="B4214" s="10"/>
      <c r="C4214" s="10"/>
      <c r="D4214" s="12"/>
      <c r="E4214" s="10"/>
      <c r="F4214" s="10"/>
      <c r="G4214" s="10"/>
    </row>
    <row r="4215" spans="1:7" x14ac:dyDescent="0.25">
      <c r="A4215" s="10"/>
      <c r="B4215" s="10"/>
      <c r="C4215" s="10"/>
      <c r="D4215" s="12"/>
      <c r="E4215" s="10"/>
      <c r="F4215" s="10"/>
      <c r="G4215" s="10"/>
    </row>
    <row r="4216" spans="1:7" x14ac:dyDescent="0.25">
      <c r="A4216" s="10"/>
      <c r="B4216" s="10"/>
      <c r="C4216" s="10"/>
      <c r="D4216" s="12"/>
      <c r="E4216" s="10"/>
      <c r="F4216" s="10"/>
      <c r="G4216" s="10"/>
    </row>
    <row r="4217" spans="1:7" x14ac:dyDescent="0.25">
      <c r="A4217" s="10"/>
      <c r="B4217" s="10"/>
      <c r="C4217" s="10"/>
      <c r="D4217" s="12"/>
      <c r="E4217" s="10"/>
      <c r="F4217" s="10"/>
      <c r="G4217" s="10"/>
    </row>
    <row r="4218" spans="1:7" x14ac:dyDescent="0.25">
      <c r="A4218" s="10"/>
      <c r="B4218" s="10"/>
      <c r="C4218" s="10"/>
      <c r="D4218" s="12"/>
      <c r="E4218" s="10"/>
      <c r="F4218" s="10"/>
      <c r="G4218" s="10"/>
    </row>
    <row r="4219" spans="1:7" x14ac:dyDescent="0.25">
      <c r="A4219" s="10"/>
      <c r="B4219" s="10"/>
      <c r="C4219" s="10"/>
      <c r="D4219" s="12"/>
      <c r="E4219" s="10"/>
      <c r="F4219" s="10"/>
      <c r="G4219" s="10"/>
    </row>
    <row r="4220" spans="1:7" x14ac:dyDescent="0.25">
      <c r="A4220" s="10"/>
      <c r="B4220" s="10"/>
      <c r="C4220" s="10"/>
      <c r="D4220" s="12"/>
      <c r="E4220" s="10"/>
      <c r="F4220" s="10"/>
      <c r="G4220" s="10"/>
    </row>
    <row r="4221" spans="1:7" x14ac:dyDescent="0.25">
      <c r="A4221" s="10"/>
      <c r="B4221" s="10"/>
      <c r="C4221" s="10"/>
      <c r="D4221" s="12"/>
      <c r="E4221" s="10"/>
      <c r="F4221" s="10"/>
      <c r="G4221" s="10"/>
    </row>
    <row r="4222" spans="1:7" x14ac:dyDescent="0.25">
      <c r="A4222" s="10"/>
      <c r="B4222" s="10"/>
      <c r="C4222" s="10"/>
      <c r="D4222" s="12"/>
      <c r="E4222" s="10"/>
      <c r="F4222" s="10"/>
      <c r="G4222" s="10"/>
    </row>
    <row r="4223" spans="1:7" x14ac:dyDescent="0.25">
      <c r="A4223" s="10"/>
      <c r="B4223" s="10"/>
      <c r="C4223" s="10"/>
      <c r="D4223" s="12"/>
      <c r="E4223" s="10"/>
      <c r="F4223" s="10"/>
      <c r="G4223" s="10"/>
    </row>
    <row r="4224" spans="1:7" x14ac:dyDescent="0.25">
      <c r="A4224" s="10"/>
      <c r="B4224" s="10"/>
      <c r="C4224" s="10"/>
      <c r="D4224" s="12"/>
      <c r="E4224" s="10"/>
      <c r="F4224" s="10"/>
      <c r="G4224" s="10"/>
    </row>
    <row r="4225" spans="1:7" x14ac:dyDescent="0.25">
      <c r="A4225" s="10"/>
      <c r="B4225" s="10"/>
      <c r="C4225" s="10"/>
      <c r="D4225" s="12"/>
      <c r="E4225" s="10"/>
      <c r="F4225" s="10"/>
      <c r="G4225" s="10"/>
    </row>
    <row r="4226" spans="1:7" x14ac:dyDescent="0.25">
      <c r="A4226" s="10"/>
      <c r="B4226" s="10"/>
      <c r="C4226" s="10"/>
      <c r="D4226" s="12"/>
      <c r="E4226" s="10"/>
      <c r="F4226" s="10"/>
      <c r="G4226" s="10"/>
    </row>
    <row r="4227" spans="1:7" x14ac:dyDescent="0.25">
      <c r="A4227" s="10"/>
      <c r="B4227" s="10"/>
      <c r="C4227" s="10"/>
      <c r="D4227" s="12"/>
      <c r="E4227" s="10"/>
      <c r="F4227" s="10"/>
      <c r="G4227" s="10"/>
    </row>
    <row r="4228" spans="1:7" x14ac:dyDescent="0.25">
      <c r="A4228" s="10"/>
      <c r="B4228" s="10"/>
      <c r="C4228" s="10"/>
      <c r="D4228" s="12"/>
      <c r="E4228" s="10"/>
      <c r="F4228" s="10"/>
      <c r="G4228" s="10"/>
    </row>
    <row r="4229" spans="1:7" x14ac:dyDescent="0.25">
      <c r="A4229" s="10"/>
      <c r="B4229" s="10"/>
      <c r="C4229" s="10"/>
      <c r="D4229" s="12"/>
      <c r="E4229" s="10"/>
      <c r="F4229" s="10"/>
      <c r="G4229" s="10"/>
    </row>
    <row r="4230" spans="1:7" x14ac:dyDescent="0.25">
      <c r="A4230" s="10"/>
      <c r="B4230" s="10"/>
      <c r="C4230" s="10"/>
      <c r="D4230" s="12"/>
      <c r="E4230" s="10"/>
      <c r="F4230" s="10"/>
      <c r="G4230" s="10"/>
    </row>
    <row r="4231" spans="1:7" x14ac:dyDescent="0.25">
      <c r="A4231" s="10"/>
      <c r="B4231" s="10"/>
      <c r="C4231" s="10"/>
      <c r="D4231" s="12"/>
      <c r="E4231" s="10"/>
      <c r="F4231" s="10"/>
      <c r="G4231" s="10"/>
    </row>
    <row r="4232" spans="1:7" x14ac:dyDescent="0.25">
      <c r="A4232" s="10"/>
      <c r="B4232" s="10"/>
      <c r="C4232" s="10"/>
      <c r="D4232" s="12"/>
      <c r="E4232" s="10"/>
      <c r="F4232" s="10"/>
      <c r="G4232" s="10"/>
    </row>
    <row r="4233" spans="1:7" x14ac:dyDescent="0.25">
      <c r="A4233" s="10"/>
      <c r="B4233" s="10"/>
      <c r="C4233" s="10"/>
      <c r="D4233" s="12"/>
      <c r="E4233" s="10"/>
      <c r="F4233" s="10"/>
      <c r="G4233" s="10"/>
    </row>
    <row r="4234" spans="1:7" x14ac:dyDescent="0.25">
      <c r="A4234" s="10"/>
      <c r="B4234" s="10"/>
      <c r="C4234" s="10"/>
      <c r="D4234" s="12"/>
      <c r="E4234" s="10"/>
      <c r="F4234" s="10"/>
      <c r="G4234" s="10"/>
    </row>
    <row r="4235" spans="1:7" x14ac:dyDescent="0.25">
      <c r="A4235" s="10"/>
      <c r="B4235" s="10"/>
      <c r="C4235" s="10"/>
      <c r="D4235" s="12"/>
      <c r="E4235" s="10"/>
      <c r="F4235" s="10"/>
      <c r="G4235" s="10"/>
    </row>
    <row r="4236" spans="1:7" x14ac:dyDescent="0.25">
      <c r="A4236" s="10"/>
      <c r="B4236" s="10"/>
      <c r="C4236" s="10"/>
      <c r="D4236" s="12"/>
      <c r="E4236" s="10"/>
      <c r="F4236" s="10"/>
      <c r="G4236" s="10"/>
    </row>
    <row r="4237" spans="1:7" x14ac:dyDescent="0.25">
      <c r="A4237" s="10"/>
      <c r="B4237" s="10"/>
      <c r="C4237" s="10"/>
      <c r="D4237" s="12"/>
      <c r="E4237" s="10"/>
      <c r="F4237" s="10"/>
      <c r="G4237" s="10"/>
    </row>
    <row r="4238" spans="1:7" x14ac:dyDescent="0.25">
      <c r="A4238" s="10"/>
      <c r="B4238" s="10"/>
      <c r="C4238" s="10"/>
      <c r="D4238" s="12"/>
      <c r="E4238" s="10"/>
      <c r="F4238" s="10"/>
      <c r="G4238" s="10"/>
    </row>
    <row r="4239" spans="1:7" x14ac:dyDescent="0.25">
      <c r="A4239" s="10"/>
      <c r="B4239" s="10"/>
      <c r="C4239" s="10"/>
      <c r="D4239" s="12"/>
      <c r="E4239" s="10"/>
      <c r="F4239" s="10"/>
      <c r="G4239" s="10"/>
    </row>
    <row r="4240" spans="1:7" x14ac:dyDescent="0.25">
      <c r="A4240" s="10"/>
      <c r="B4240" s="10"/>
      <c r="C4240" s="10"/>
      <c r="D4240" s="12"/>
      <c r="E4240" s="10"/>
      <c r="F4240" s="10"/>
      <c r="G4240" s="10"/>
    </row>
    <row r="4241" spans="1:7" x14ac:dyDescent="0.25">
      <c r="A4241" s="10"/>
      <c r="B4241" s="10"/>
      <c r="C4241" s="10"/>
      <c r="D4241" s="12"/>
      <c r="E4241" s="10"/>
      <c r="F4241" s="10"/>
      <c r="G4241" s="10"/>
    </row>
    <row r="4242" spans="1:7" x14ac:dyDescent="0.25">
      <c r="A4242" s="10"/>
      <c r="B4242" s="10"/>
      <c r="C4242" s="10"/>
      <c r="D4242" s="12"/>
      <c r="E4242" s="10"/>
      <c r="F4242" s="10"/>
      <c r="G4242" s="10"/>
    </row>
    <row r="4243" spans="1:7" x14ac:dyDescent="0.25">
      <c r="A4243" s="10"/>
      <c r="B4243" s="10"/>
      <c r="C4243" s="10"/>
      <c r="D4243" s="12"/>
      <c r="E4243" s="10"/>
      <c r="F4243" s="10"/>
      <c r="G4243" s="10"/>
    </row>
    <row r="4244" spans="1:7" x14ac:dyDescent="0.25">
      <c r="A4244" s="10"/>
      <c r="B4244" s="10"/>
      <c r="C4244" s="10"/>
      <c r="D4244" s="12"/>
      <c r="E4244" s="10"/>
      <c r="F4244" s="10"/>
      <c r="G4244" s="10"/>
    </row>
    <row r="4245" spans="1:7" x14ac:dyDescent="0.25">
      <c r="A4245" s="10"/>
      <c r="B4245" s="10"/>
      <c r="C4245" s="10"/>
      <c r="D4245" s="12"/>
      <c r="E4245" s="10"/>
      <c r="F4245" s="10"/>
      <c r="G4245" s="10"/>
    </row>
    <row r="4246" spans="1:7" x14ac:dyDescent="0.25">
      <c r="A4246" s="10"/>
      <c r="B4246" s="10"/>
      <c r="C4246" s="10"/>
      <c r="D4246" s="12"/>
      <c r="E4246" s="10"/>
      <c r="F4246" s="10"/>
      <c r="G4246" s="10"/>
    </row>
    <row r="4247" spans="1:7" x14ac:dyDescent="0.25">
      <c r="A4247" s="10"/>
      <c r="B4247" s="10"/>
      <c r="C4247" s="10"/>
      <c r="D4247" s="12"/>
      <c r="E4247" s="10"/>
      <c r="F4247" s="10"/>
      <c r="G4247" s="10"/>
    </row>
    <row r="4248" spans="1:7" x14ac:dyDescent="0.25">
      <c r="A4248" s="10"/>
      <c r="B4248" s="10"/>
      <c r="C4248" s="10"/>
      <c r="D4248" s="12"/>
      <c r="E4248" s="10"/>
      <c r="F4248" s="10"/>
      <c r="G4248" s="10"/>
    </row>
    <row r="4249" spans="1:7" x14ac:dyDescent="0.25">
      <c r="A4249" s="10"/>
      <c r="B4249" s="10"/>
      <c r="C4249" s="10"/>
      <c r="D4249" s="12"/>
      <c r="E4249" s="10"/>
      <c r="F4249" s="10"/>
      <c r="G4249" s="10"/>
    </row>
    <row r="4250" spans="1:7" x14ac:dyDescent="0.25">
      <c r="A4250" s="10"/>
      <c r="B4250" s="10"/>
      <c r="C4250" s="10"/>
      <c r="D4250" s="12"/>
      <c r="E4250" s="10"/>
      <c r="F4250" s="10"/>
      <c r="G4250" s="10"/>
    </row>
    <row r="4251" spans="1:7" x14ac:dyDescent="0.25">
      <c r="A4251" s="10"/>
      <c r="B4251" s="10"/>
      <c r="C4251" s="10"/>
      <c r="D4251" s="12"/>
      <c r="E4251" s="10"/>
      <c r="F4251" s="10"/>
      <c r="G4251" s="10"/>
    </row>
    <row r="4252" spans="1:7" x14ac:dyDescent="0.25">
      <c r="A4252" s="10"/>
      <c r="B4252" s="10"/>
      <c r="C4252" s="10"/>
      <c r="D4252" s="12"/>
      <c r="E4252" s="10"/>
      <c r="F4252" s="10"/>
      <c r="G4252" s="10"/>
    </row>
    <row r="4253" spans="1:7" x14ac:dyDescent="0.25">
      <c r="A4253" s="10"/>
      <c r="B4253" s="10"/>
      <c r="C4253" s="10"/>
      <c r="D4253" s="12"/>
      <c r="E4253" s="10"/>
      <c r="F4253" s="10"/>
      <c r="G4253" s="10"/>
    </row>
    <row r="4254" spans="1:7" x14ac:dyDescent="0.25">
      <c r="A4254" s="10"/>
      <c r="B4254" s="10"/>
      <c r="C4254" s="10"/>
      <c r="D4254" s="12"/>
      <c r="E4254" s="10"/>
      <c r="F4254" s="10"/>
      <c r="G4254" s="10"/>
    </row>
    <row r="4255" spans="1:7" x14ac:dyDescent="0.25">
      <c r="A4255" s="10"/>
      <c r="B4255" s="10"/>
      <c r="C4255" s="10"/>
      <c r="D4255" s="12"/>
      <c r="E4255" s="10"/>
      <c r="F4255" s="10"/>
      <c r="G4255" s="10"/>
    </row>
    <row r="4256" spans="1:7" x14ac:dyDescent="0.25">
      <c r="A4256" s="10"/>
      <c r="B4256" s="10"/>
      <c r="C4256" s="10"/>
      <c r="D4256" s="12"/>
      <c r="E4256" s="10"/>
      <c r="F4256" s="10"/>
      <c r="G4256" s="10"/>
    </row>
    <row r="4257" spans="1:7" x14ac:dyDescent="0.25">
      <c r="A4257" s="10"/>
      <c r="B4257" s="10"/>
      <c r="C4257" s="10"/>
      <c r="D4257" s="12"/>
      <c r="E4257" s="10"/>
      <c r="F4257" s="10"/>
      <c r="G4257" s="10"/>
    </row>
    <row r="4258" spans="1:7" x14ac:dyDescent="0.25">
      <c r="A4258" s="10"/>
      <c r="B4258" s="10"/>
      <c r="C4258" s="10"/>
      <c r="D4258" s="12"/>
      <c r="E4258" s="10"/>
      <c r="F4258" s="10"/>
      <c r="G4258" s="10"/>
    </row>
    <row r="4259" spans="1:7" x14ac:dyDescent="0.25">
      <c r="A4259" s="10"/>
      <c r="B4259" s="10"/>
      <c r="C4259" s="10"/>
      <c r="D4259" s="12"/>
      <c r="E4259" s="10"/>
      <c r="F4259" s="10"/>
      <c r="G4259" s="10"/>
    </row>
    <row r="4260" spans="1:7" x14ac:dyDescent="0.25">
      <c r="A4260" s="10"/>
      <c r="B4260" s="10"/>
      <c r="C4260" s="10"/>
      <c r="D4260" s="12"/>
      <c r="E4260" s="10"/>
      <c r="F4260" s="10"/>
      <c r="G4260" s="10"/>
    </row>
    <row r="4261" spans="1:7" x14ac:dyDescent="0.25">
      <c r="A4261" s="10"/>
      <c r="B4261" s="10"/>
      <c r="C4261" s="10"/>
      <c r="D4261" s="12"/>
      <c r="E4261" s="10"/>
      <c r="F4261" s="10"/>
      <c r="G4261" s="10"/>
    </row>
    <row r="4262" spans="1:7" x14ac:dyDescent="0.25">
      <c r="A4262" s="10"/>
      <c r="B4262" s="10"/>
      <c r="C4262" s="10"/>
      <c r="D4262" s="12"/>
      <c r="E4262" s="10"/>
      <c r="F4262" s="10"/>
      <c r="G4262" s="10"/>
    </row>
    <row r="4263" spans="1:7" x14ac:dyDescent="0.25">
      <c r="A4263" s="10"/>
      <c r="B4263" s="10"/>
      <c r="C4263" s="10"/>
      <c r="D4263" s="12"/>
      <c r="E4263" s="10"/>
      <c r="F4263" s="10"/>
      <c r="G4263" s="10"/>
    </row>
    <row r="4264" spans="1:7" x14ac:dyDescent="0.25">
      <c r="A4264" s="10"/>
      <c r="B4264" s="10"/>
      <c r="C4264" s="10"/>
      <c r="D4264" s="12"/>
      <c r="E4264" s="10"/>
      <c r="F4264" s="10"/>
      <c r="G4264" s="10"/>
    </row>
    <row r="4265" spans="1:7" x14ac:dyDescent="0.25">
      <c r="A4265" s="10"/>
      <c r="B4265" s="10"/>
      <c r="C4265" s="10"/>
      <c r="D4265" s="12"/>
      <c r="E4265" s="10"/>
      <c r="F4265" s="10"/>
      <c r="G4265" s="10"/>
    </row>
    <row r="4266" spans="1:7" x14ac:dyDescent="0.25">
      <c r="A4266" s="10"/>
      <c r="B4266" s="10"/>
      <c r="C4266" s="10"/>
      <c r="D4266" s="12"/>
      <c r="E4266" s="10"/>
      <c r="F4266" s="10"/>
      <c r="G4266" s="10"/>
    </row>
    <row r="4267" spans="1:7" x14ac:dyDescent="0.25">
      <c r="A4267" s="10"/>
      <c r="B4267" s="10"/>
      <c r="C4267" s="10"/>
      <c r="D4267" s="12"/>
      <c r="E4267" s="10"/>
      <c r="F4267" s="10"/>
      <c r="G4267" s="10"/>
    </row>
    <row r="4268" spans="1:7" x14ac:dyDescent="0.25">
      <c r="A4268" s="10"/>
      <c r="B4268" s="10"/>
      <c r="C4268" s="10"/>
      <c r="D4268" s="12"/>
      <c r="E4268" s="10"/>
      <c r="F4268" s="10"/>
      <c r="G4268" s="10"/>
    </row>
    <row r="4269" spans="1:7" x14ac:dyDescent="0.25">
      <c r="A4269" s="10"/>
      <c r="B4269" s="10"/>
      <c r="C4269" s="10"/>
      <c r="D4269" s="12"/>
      <c r="E4269" s="10"/>
      <c r="F4269" s="10"/>
      <c r="G4269" s="10"/>
    </row>
    <row r="4270" spans="1:7" x14ac:dyDescent="0.25">
      <c r="A4270" s="10"/>
      <c r="B4270" s="10"/>
      <c r="C4270" s="10"/>
      <c r="D4270" s="12"/>
      <c r="E4270" s="10"/>
      <c r="F4270" s="10"/>
      <c r="G4270" s="10"/>
    </row>
    <row r="4271" spans="1:7" x14ac:dyDescent="0.25">
      <c r="A4271" s="10"/>
      <c r="B4271" s="10"/>
      <c r="C4271" s="10"/>
      <c r="D4271" s="12"/>
      <c r="E4271" s="10"/>
      <c r="F4271" s="10"/>
      <c r="G4271" s="10"/>
    </row>
    <row r="4272" spans="1:7" x14ac:dyDescent="0.25">
      <c r="A4272" s="10"/>
      <c r="B4272" s="10"/>
      <c r="C4272" s="10"/>
      <c r="D4272" s="12"/>
      <c r="E4272" s="10"/>
      <c r="F4272" s="10"/>
      <c r="G4272" s="10"/>
    </row>
    <row r="4273" spans="1:7" x14ac:dyDescent="0.25">
      <c r="A4273" s="10"/>
      <c r="B4273" s="10"/>
      <c r="C4273" s="10"/>
      <c r="D4273" s="12"/>
      <c r="E4273" s="10"/>
      <c r="F4273" s="10"/>
      <c r="G4273" s="10"/>
    </row>
    <row r="4274" spans="1:7" x14ac:dyDescent="0.25">
      <c r="A4274" s="10"/>
      <c r="B4274" s="10"/>
      <c r="C4274" s="10"/>
      <c r="D4274" s="12"/>
      <c r="E4274" s="10"/>
      <c r="F4274" s="10"/>
      <c r="G4274" s="10"/>
    </row>
    <row r="4275" spans="1:7" x14ac:dyDescent="0.25">
      <c r="A4275" s="10"/>
      <c r="B4275" s="10"/>
      <c r="C4275" s="10"/>
      <c r="D4275" s="12"/>
      <c r="E4275" s="10"/>
      <c r="F4275" s="10"/>
      <c r="G4275" s="10"/>
    </row>
    <row r="4276" spans="1:7" x14ac:dyDescent="0.25">
      <c r="A4276" s="10"/>
      <c r="B4276" s="10"/>
      <c r="C4276" s="10"/>
      <c r="D4276" s="12"/>
      <c r="E4276" s="10"/>
      <c r="F4276" s="10"/>
      <c r="G4276" s="10"/>
    </row>
    <row r="4277" spans="1:7" x14ac:dyDescent="0.25">
      <c r="A4277" s="10"/>
      <c r="B4277" s="10"/>
      <c r="C4277" s="10"/>
      <c r="D4277" s="12"/>
      <c r="E4277" s="10"/>
      <c r="F4277" s="10"/>
      <c r="G4277" s="10"/>
    </row>
    <row r="4278" spans="1:7" x14ac:dyDescent="0.25">
      <c r="A4278" s="10"/>
      <c r="B4278" s="10"/>
      <c r="C4278" s="10"/>
      <c r="D4278" s="12"/>
      <c r="E4278" s="10"/>
      <c r="F4278" s="10"/>
      <c r="G4278" s="10"/>
    </row>
    <row r="4279" spans="1:7" x14ac:dyDescent="0.25">
      <c r="A4279" s="10"/>
      <c r="B4279" s="10"/>
      <c r="C4279" s="10"/>
      <c r="D4279" s="12"/>
      <c r="E4279" s="10"/>
      <c r="F4279" s="10"/>
      <c r="G4279" s="10"/>
    </row>
    <row r="4280" spans="1:7" x14ac:dyDescent="0.25">
      <c r="A4280" s="10"/>
      <c r="B4280" s="10"/>
      <c r="C4280" s="10"/>
      <c r="D4280" s="12"/>
      <c r="E4280" s="10"/>
      <c r="F4280" s="10"/>
      <c r="G4280" s="10"/>
    </row>
    <row r="4281" spans="1:7" x14ac:dyDescent="0.25">
      <c r="A4281" s="10"/>
      <c r="B4281" s="10"/>
      <c r="C4281" s="10"/>
      <c r="D4281" s="12"/>
      <c r="E4281" s="10"/>
      <c r="F4281" s="10"/>
      <c r="G4281" s="10"/>
    </row>
    <row r="4282" spans="1:7" x14ac:dyDescent="0.25">
      <c r="A4282" s="10"/>
      <c r="B4282" s="10"/>
      <c r="C4282" s="10"/>
      <c r="D4282" s="12"/>
      <c r="E4282" s="10"/>
      <c r="F4282" s="10"/>
      <c r="G4282" s="10"/>
    </row>
    <row r="4283" spans="1:7" x14ac:dyDescent="0.25">
      <c r="A4283" s="10"/>
      <c r="B4283" s="10"/>
      <c r="C4283" s="10"/>
      <c r="D4283" s="12"/>
      <c r="E4283" s="10"/>
      <c r="F4283" s="10"/>
      <c r="G4283" s="10"/>
    </row>
    <row r="4284" spans="1:7" x14ac:dyDescent="0.25">
      <c r="A4284" s="10"/>
      <c r="B4284" s="10"/>
      <c r="C4284" s="10"/>
      <c r="D4284" s="12"/>
      <c r="E4284" s="10"/>
      <c r="F4284" s="10"/>
      <c r="G4284" s="10"/>
    </row>
    <row r="4285" spans="1:7" x14ac:dyDescent="0.25">
      <c r="A4285" s="10"/>
      <c r="B4285" s="10"/>
      <c r="C4285" s="10"/>
      <c r="D4285" s="12"/>
      <c r="E4285" s="10"/>
      <c r="F4285" s="10"/>
      <c r="G4285" s="10"/>
    </row>
    <row r="4286" spans="1:7" x14ac:dyDescent="0.25">
      <c r="A4286" s="10"/>
      <c r="B4286" s="10"/>
      <c r="C4286" s="10"/>
      <c r="D4286" s="12"/>
      <c r="E4286" s="10"/>
      <c r="F4286" s="10"/>
      <c r="G4286" s="10"/>
    </row>
    <row r="4287" spans="1:7" x14ac:dyDescent="0.25">
      <c r="A4287" s="10"/>
      <c r="B4287" s="10"/>
      <c r="C4287" s="10"/>
      <c r="D4287" s="12"/>
      <c r="E4287" s="10"/>
      <c r="F4287" s="10"/>
      <c r="G4287" s="10"/>
    </row>
    <row r="4288" spans="1:7" x14ac:dyDescent="0.25">
      <c r="A4288" s="10"/>
      <c r="B4288" s="10"/>
      <c r="C4288" s="10"/>
      <c r="D4288" s="12"/>
      <c r="E4288" s="10"/>
      <c r="F4288" s="10"/>
      <c r="G4288" s="10"/>
    </row>
    <row r="4289" spans="1:7" x14ac:dyDescent="0.25">
      <c r="A4289" s="10"/>
      <c r="B4289" s="10"/>
      <c r="C4289" s="10"/>
      <c r="D4289" s="12"/>
      <c r="E4289" s="10"/>
      <c r="F4289" s="10"/>
      <c r="G4289" s="10"/>
    </row>
    <row r="4290" spans="1:7" x14ac:dyDescent="0.25">
      <c r="A4290" s="10"/>
      <c r="B4290" s="10"/>
      <c r="C4290" s="10"/>
      <c r="D4290" s="12"/>
      <c r="E4290" s="10"/>
      <c r="F4290" s="10"/>
      <c r="G4290" s="10"/>
    </row>
    <row r="4291" spans="1:7" x14ac:dyDescent="0.25">
      <c r="A4291" s="10"/>
      <c r="B4291" s="10"/>
      <c r="C4291" s="10"/>
      <c r="D4291" s="12"/>
      <c r="E4291" s="10"/>
      <c r="F4291" s="10"/>
      <c r="G4291" s="10"/>
    </row>
    <row r="4292" spans="1:7" x14ac:dyDescent="0.25">
      <c r="A4292" s="10"/>
      <c r="B4292" s="10"/>
      <c r="C4292" s="10"/>
      <c r="D4292" s="12"/>
      <c r="E4292" s="10"/>
      <c r="F4292" s="10"/>
      <c r="G4292" s="10"/>
    </row>
    <row r="4293" spans="1:7" x14ac:dyDescent="0.25">
      <c r="A4293" s="10"/>
      <c r="B4293" s="10"/>
      <c r="C4293" s="10"/>
      <c r="D4293" s="12"/>
      <c r="E4293" s="10"/>
      <c r="F4293" s="10"/>
      <c r="G4293" s="10"/>
    </row>
    <row r="4294" spans="1:7" x14ac:dyDescent="0.25">
      <c r="A4294" s="10"/>
      <c r="B4294" s="10"/>
      <c r="C4294" s="10"/>
      <c r="D4294" s="12"/>
      <c r="E4294" s="10"/>
      <c r="F4294" s="10"/>
      <c r="G4294" s="10"/>
    </row>
    <row r="4295" spans="1:7" x14ac:dyDescent="0.25">
      <c r="A4295" s="10"/>
      <c r="B4295" s="10"/>
      <c r="C4295" s="10"/>
      <c r="D4295" s="12"/>
      <c r="E4295" s="10"/>
      <c r="F4295" s="10"/>
      <c r="G4295" s="10"/>
    </row>
    <row r="4296" spans="1:7" x14ac:dyDescent="0.25">
      <c r="A4296" s="10"/>
      <c r="B4296" s="10"/>
      <c r="C4296" s="10"/>
      <c r="D4296" s="12"/>
      <c r="E4296" s="10"/>
      <c r="F4296" s="10"/>
      <c r="G4296" s="10"/>
    </row>
    <row r="4297" spans="1:7" x14ac:dyDescent="0.25">
      <c r="A4297" s="10"/>
      <c r="B4297" s="10"/>
      <c r="C4297" s="10"/>
      <c r="D4297" s="12"/>
      <c r="E4297" s="10"/>
      <c r="F4297" s="10"/>
      <c r="G4297" s="10"/>
    </row>
    <row r="4298" spans="1:7" x14ac:dyDescent="0.25">
      <c r="A4298" s="10"/>
      <c r="B4298" s="10"/>
      <c r="C4298" s="10"/>
      <c r="D4298" s="12"/>
      <c r="E4298" s="10"/>
      <c r="F4298" s="10"/>
      <c r="G4298" s="10"/>
    </row>
    <row r="4299" spans="1:7" x14ac:dyDescent="0.25">
      <c r="A4299" s="10"/>
      <c r="B4299" s="10"/>
      <c r="C4299" s="10"/>
      <c r="D4299" s="12"/>
      <c r="E4299" s="10"/>
      <c r="F4299" s="10"/>
      <c r="G4299" s="10"/>
    </row>
    <row r="4300" spans="1:7" x14ac:dyDescent="0.25">
      <c r="A4300" s="10"/>
      <c r="B4300" s="10"/>
      <c r="C4300" s="10"/>
      <c r="D4300" s="12"/>
      <c r="E4300" s="10"/>
      <c r="F4300" s="10"/>
      <c r="G4300" s="10"/>
    </row>
    <row r="4301" spans="1:7" x14ac:dyDescent="0.25">
      <c r="A4301" s="10"/>
      <c r="B4301" s="10"/>
      <c r="C4301" s="10"/>
      <c r="D4301" s="12"/>
      <c r="E4301" s="10"/>
      <c r="F4301" s="10"/>
      <c r="G4301" s="10"/>
    </row>
    <row r="4302" spans="1:7" x14ac:dyDescent="0.25">
      <c r="A4302" s="10"/>
      <c r="B4302" s="10"/>
      <c r="C4302" s="10"/>
      <c r="D4302" s="12"/>
      <c r="E4302" s="10"/>
      <c r="F4302" s="10"/>
      <c r="G4302" s="10"/>
    </row>
    <row r="4303" spans="1:7" x14ac:dyDescent="0.25">
      <c r="A4303" s="10"/>
      <c r="B4303" s="10"/>
      <c r="C4303" s="10"/>
      <c r="D4303" s="12"/>
      <c r="E4303" s="10"/>
      <c r="F4303" s="10"/>
      <c r="G4303" s="10"/>
    </row>
    <row r="4304" spans="1:7" x14ac:dyDescent="0.25">
      <c r="A4304" s="10"/>
      <c r="B4304" s="10"/>
      <c r="C4304" s="10"/>
      <c r="D4304" s="12"/>
      <c r="E4304" s="10"/>
      <c r="F4304" s="10"/>
      <c r="G4304" s="10"/>
    </row>
    <row r="4305" spans="1:7" x14ac:dyDescent="0.25">
      <c r="A4305" s="10"/>
      <c r="B4305" s="10"/>
      <c r="C4305" s="10"/>
      <c r="D4305" s="12"/>
      <c r="E4305" s="10"/>
      <c r="F4305" s="10"/>
      <c r="G4305" s="10"/>
    </row>
    <row r="4306" spans="1:7" x14ac:dyDescent="0.25">
      <c r="A4306" s="10"/>
      <c r="B4306" s="10"/>
      <c r="C4306" s="10"/>
      <c r="D4306" s="12"/>
      <c r="E4306" s="10"/>
      <c r="F4306" s="10"/>
      <c r="G4306" s="10"/>
    </row>
    <row r="4307" spans="1:7" x14ac:dyDescent="0.25">
      <c r="A4307" s="10"/>
      <c r="B4307" s="10"/>
      <c r="C4307" s="10"/>
      <c r="D4307" s="12"/>
      <c r="E4307" s="10"/>
      <c r="F4307" s="10"/>
      <c r="G4307" s="10"/>
    </row>
    <row r="4308" spans="1:7" x14ac:dyDescent="0.25">
      <c r="A4308" s="10"/>
      <c r="B4308" s="10"/>
      <c r="C4308" s="10"/>
      <c r="D4308" s="12"/>
      <c r="E4308" s="10"/>
      <c r="F4308" s="10"/>
      <c r="G4308" s="10"/>
    </row>
    <row r="4309" spans="1:7" x14ac:dyDescent="0.25">
      <c r="A4309" s="10"/>
      <c r="B4309" s="10"/>
      <c r="C4309" s="10"/>
      <c r="D4309" s="12"/>
      <c r="E4309" s="10"/>
      <c r="F4309" s="10"/>
      <c r="G4309" s="10"/>
    </row>
    <row r="4310" spans="1:7" x14ac:dyDescent="0.25">
      <c r="A4310" s="10"/>
      <c r="B4310" s="10"/>
      <c r="C4310" s="10"/>
      <c r="D4310" s="12"/>
      <c r="E4310" s="10"/>
      <c r="F4310" s="10"/>
      <c r="G4310" s="10"/>
    </row>
    <row r="4311" spans="1:7" x14ac:dyDescent="0.25">
      <c r="A4311" s="10"/>
      <c r="B4311" s="10"/>
      <c r="C4311" s="10"/>
      <c r="D4311" s="12"/>
      <c r="E4311" s="10"/>
      <c r="F4311" s="10"/>
      <c r="G4311" s="10"/>
    </row>
    <row r="4312" spans="1:7" x14ac:dyDescent="0.25">
      <c r="A4312" s="10"/>
      <c r="B4312" s="10"/>
      <c r="C4312" s="10"/>
      <c r="D4312" s="12"/>
      <c r="E4312" s="10"/>
      <c r="F4312" s="10"/>
      <c r="G4312" s="10"/>
    </row>
    <row r="4313" spans="1:7" x14ac:dyDescent="0.25">
      <c r="A4313" s="10"/>
      <c r="B4313" s="10"/>
      <c r="C4313" s="10"/>
      <c r="D4313" s="12"/>
      <c r="E4313" s="10"/>
      <c r="F4313" s="10"/>
      <c r="G4313" s="10"/>
    </row>
    <row r="4314" spans="1:7" x14ac:dyDescent="0.25">
      <c r="A4314" s="10"/>
      <c r="B4314" s="10"/>
      <c r="C4314" s="10"/>
      <c r="D4314" s="12"/>
      <c r="E4314" s="10"/>
      <c r="F4314" s="10"/>
      <c r="G4314" s="10"/>
    </row>
    <row r="4315" spans="1:7" x14ac:dyDescent="0.25">
      <c r="A4315" s="10"/>
      <c r="B4315" s="10"/>
      <c r="C4315" s="10"/>
      <c r="D4315" s="12"/>
      <c r="E4315" s="10"/>
      <c r="F4315" s="10"/>
      <c r="G4315" s="10"/>
    </row>
    <row r="4316" spans="1:7" x14ac:dyDescent="0.25">
      <c r="A4316" s="10"/>
      <c r="B4316" s="10"/>
      <c r="C4316" s="10"/>
      <c r="D4316" s="12"/>
      <c r="E4316" s="10"/>
      <c r="F4316" s="10"/>
      <c r="G4316" s="10"/>
    </row>
    <row r="4317" spans="1:7" x14ac:dyDescent="0.25">
      <c r="A4317" s="10"/>
      <c r="B4317" s="10"/>
      <c r="C4317" s="10"/>
      <c r="D4317" s="12"/>
      <c r="E4317" s="10"/>
      <c r="F4317" s="10"/>
      <c r="G4317" s="10"/>
    </row>
    <row r="4318" spans="1:7" x14ac:dyDescent="0.25">
      <c r="A4318" s="10"/>
      <c r="B4318" s="10"/>
      <c r="C4318" s="10"/>
      <c r="D4318" s="12"/>
      <c r="E4318" s="10"/>
      <c r="F4318" s="10"/>
      <c r="G4318" s="10"/>
    </row>
    <row r="4319" spans="1:7" x14ac:dyDescent="0.25">
      <c r="A4319" s="10"/>
      <c r="B4319" s="10"/>
      <c r="C4319" s="10"/>
      <c r="D4319" s="12"/>
      <c r="E4319" s="10"/>
      <c r="F4319" s="10"/>
      <c r="G4319" s="10"/>
    </row>
    <row r="4320" spans="1:7" x14ac:dyDescent="0.25">
      <c r="A4320" s="10"/>
      <c r="B4320" s="10"/>
      <c r="C4320" s="10"/>
      <c r="D4320" s="12"/>
      <c r="E4320" s="10"/>
      <c r="F4320" s="10"/>
      <c r="G4320" s="10"/>
    </row>
    <row r="4321" spans="1:7" x14ac:dyDescent="0.25">
      <c r="A4321" s="10"/>
      <c r="B4321" s="10"/>
      <c r="C4321" s="10"/>
      <c r="D4321" s="12"/>
      <c r="E4321" s="10"/>
      <c r="F4321" s="10"/>
      <c r="G4321" s="10"/>
    </row>
    <row r="4322" spans="1:7" x14ac:dyDescent="0.25">
      <c r="A4322" s="10"/>
      <c r="B4322" s="10"/>
      <c r="C4322" s="10"/>
      <c r="D4322" s="12"/>
      <c r="E4322" s="10"/>
      <c r="F4322" s="10"/>
      <c r="G4322" s="10"/>
    </row>
    <row r="4323" spans="1:7" x14ac:dyDescent="0.25">
      <c r="A4323" s="10"/>
      <c r="B4323" s="10"/>
      <c r="C4323" s="10"/>
      <c r="D4323" s="12"/>
      <c r="E4323" s="10"/>
      <c r="F4323" s="10"/>
      <c r="G4323" s="10"/>
    </row>
    <row r="4324" spans="1:7" x14ac:dyDescent="0.25">
      <c r="A4324" s="10"/>
      <c r="B4324" s="10"/>
      <c r="C4324" s="10"/>
      <c r="D4324" s="12"/>
      <c r="E4324" s="10"/>
      <c r="F4324" s="10"/>
      <c r="G4324" s="10"/>
    </row>
    <row r="4325" spans="1:7" x14ac:dyDescent="0.25">
      <c r="A4325" s="10"/>
      <c r="B4325" s="10"/>
      <c r="C4325" s="10"/>
      <c r="D4325" s="12"/>
      <c r="E4325" s="10"/>
      <c r="F4325" s="10"/>
      <c r="G4325" s="10"/>
    </row>
    <row r="4326" spans="1:7" x14ac:dyDescent="0.25">
      <c r="A4326" s="10"/>
      <c r="B4326" s="10"/>
      <c r="C4326" s="10"/>
      <c r="D4326" s="12"/>
      <c r="E4326" s="10"/>
      <c r="F4326" s="10"/>
      <c r="G4326" s="10"/>
    </row>
    <row r="4327" spans="1:7" x14ac:dyDescent="0.25">
      <c r="A4327" s="10"/>
      <c r="B4327" s="10"/>
      <c r="C4327" s="10"/>
      <c r="D4327" s="12"/>
      <c r="E4327" s="10"/>
      <c r="F4327" s="10"/>
      <c r="G4327" s="10"/>
    </row>
    <row r="4328" spans="1:7" x14ac:dyDescent="0.25">
      <c r="A4328" s="10"/>
      <c r="B4328" s="10"/>
      <c r="C4328" s="10"/>
      <c r="D4328" s="12"/>
      <c r="E4328" s="10"/>
      <c r="F4328" s="10"/>
      <c r="G4328" s="10"/>
    </row>
    <row r="4329" spans="1:7" x14ac:dyDescent="0.25">
      <c r="A4329" s="10"/>
      <c r="B4329" s="10"/>
      <c r="C4329" s="10"/>
      <c r="D4329" s="12"/>
      <c r="E4329" s="10"/>
      <c r="F4329" s="10"/>
      <c r="G4329" s="10"/>
    </row>
    <row r="4330" spans="1:7" x14ac:dyDescent="0.25">
      <c r="A4330" s="10"/>
      <c r="B4330" s="10"/>
      <c r="C4330" s="10"/>
      <c r="D4330" s="12"/>
      <c r="E4330" s="10"/>
      <c r="F4330" s="10"/>
      <c r="G4330" s="10"/>
    </row>
    <row r="4331" spans="1:7" x14ac:dyDescent="0.25">
      <c r="A4331" s="10"/>
      <c r="B4331" s="10"/>
      <c r="C4331" s="10"/>
      <c r="D4331" s="12"/>
      <c r="E4331" s="10"/>
      <c r="F4331" s="10"/>
      <c r="G4331" s="10"/>
    </row>
    <row r="4332" spans="1:7" x14ac:dyDescent="0.25">
      <c r="A4332" s="10"/>
      <c r="B4332" s="10"/>
      <c r="C4332" s="10"/>
      <c r="D4332" s="12"/>
      <c r="E4332" s="10"/>
      <c r="F4332" s="10"/>
      <c r="G4332" s="10"/>
    </row>
    <row r="4333" spans="1:7" x14ac:dyDescent="0.25">
      <c r="A4333" s="10"/>
      <c r="B4333" s="10"/>
      <c r="C4333" s="10"/>
      <c r="D4333" s="12"/>
      <c r="E4333" s="10"/>
      <c r="F4333" s="10"/>
      <c r="G4333" s="10"/>
    </row>
    <row r="4334" spans="1:7" x14ac:dyDescent="0.25">
      <c r="A4334" s="10"/>
      <c r="B4334" s="10"/>
      <c r="C4334" s="10"/>
      <c r="D4334" s="12"/>
      <c r="E4334" s="10"/>
      <c r="F4334" s="10"/>
      <c r="G4334" s="10"/>
    </row>
    <row r="4335" spans="1:7" x14ac:dyDescent="0.25">
      <c r="A4335" s="10"/>
      <c r="B4335" s="10"/>
      <c r="C4335" s="10"/>
      <c r="D4335" s="12"/>
      <c r="E4335" s="10"/>
      <c r="F4335" s="10"/>
      <c r="G4335" s="10"/>
    </row>
    <row r="4336" spans="1:7" x14ac:dyDescent="0.25">
      <c r="A4336" s="10"/>
      <c r="B4336" s="10"/>
      <c r="C4336" s="10"/>
      <c r="D4336" s="12"/>
      <c r="E4336" s="10"/>
      <c r="F4336" s="10"/>
      <c r="G4336" s="10"/>
    </row>
    <row r="4337" spans="1:7" x14ac:dyDescent="0.25">
      <c r="A4337" s="10"/>
      <c r="B4337" s="10"/>
      <c r="C4337" s="10"/>
      <c r="D4337" s="12"/>
      <c r="E4337" s="10"/>
      <c r="F4337" s="10"/>
      <c r="G4337" s="10"/>
    </row>
    <row r="4338" spans="1:7" x14ac:dyDescent="0.25">
      <c r="A4338" s="10"/>
      <c r="B4338" s="10"/>
      <c r="C4338" s="10"/>
      <c r="D4338" s="12"/>
      <c r="E4338" s="10"/>
      <c r="F4338" s="10"/>
      <c r="G4338" s="10"/>
    </row>
    <row r="4339" spans="1:7" x14ac:dyDescent="0.25">
      <c r="A4339" s="10"/>
      <c r="B4339" s="10"/>
      <c r="C4339" s="10"/>
      <c r="D4339" s="12"/>
      <c r="E4339" s="10"/>
      <c r="F4339" s="10"/>
      <c r="G4339" s="10"/>
    </row>
    <row r="4340" spans="1:7" x14ac:dyDescent="0.25">
      <c r="A4340" s="10"/>
      <c r="B4340" s="10"/>
      <c r="C4340" s="10"/>
      <c r="D4340" s="12"/>
      <c r="E4340" s="10"/>
      <c r="F4340" s="10"/>
      <c r="G4340" s="10"/>
    </row>
    <row r="4341" spans="1:7" x14ac:dyDescent="0.25">
      <c r="A4341" s="10"/>
      <c r="B4341" s="10"/>
      <c r="C4341" s="10"/>
      <c r="D4341" s="12"/>
      <c r="E4341" s="10"/>
      <c r="F4341" s="10"/>
      <c r="G4341" s="10"/>
    </row>
    <row r="4342" spans="1:7" x14ac:dyDescent="0.25">
      <c r="A4342" s="10"/>
      <c r="B4342" s="10"/>
      <c r="C4342" s="10"/>
      <c r="D4342" s="12"/>
      <c r="E4342" s="10"/>
      <c r="F4342" s="10"/>
      <c r="G4342" s="10"/>
    </row>
    <row r="4343" spans="1:7" x14ac:dyDescent="0.25">
      <c r="A4343" s="10"/>
      <c r="B4343" s="10"/>
      <c r="C4343" s="10"/>
      <c r="D4343" s="12"/>
      <c r="E4343" s="10"/>
      <c r="F4343" s="10"/>
      <c r="G4343" s="10"/>
    </row>
    <row r="4344" spans="1:7" x14ac:dyDescent="0.25">
      <c r="A4344" s="10"/>
      <c r="B4344" s="10"/>
      <c r="C4344" s="10"/>
      <c r="D4344" s="12"/>
      <c r="E4344" s="10"/>
      <c r="F4344" s="10"/>
      <c r="G4344" s="10"/>
    </row>
    <row r="4345" spans="1:7" x14ac:dyDescent="0.25">
      <c r="A4345" s="10"/>
      <c r="B4345" s="10"/>
      <c r="C4345" s="10"/>
      <c r="D4345" s="12"/>
      <c r="E4345" s="10"/>
      <c r="F4345" s="10"/>
      <c r="G4345" s="10"/>
    </row>
    <row r="4346" spans="1:7" x14ac:dyDescent="0.25">
      <c r="A4346" s="10"/>
      <c r="B4346" s="10"/>
      <c r="C4346" s="10"/>
      <c r="D4346" s="12"/>
      <c r="E4346" s="10"/>
      <c r="F4346" s="10"/>
      <c r="G4346" s="10"/>
    </row>
    <row r="4347" spans="1:7" x14ac:dyDescent="0.25">
      <c r="A4347" s="10"/>
      <c r="B4347" s="10"/>
      <c r="C4347" s="10"/>
      <c r="D4347" s="12"/>
      <c r="E4347" s="10"/>
      <c r="F4347" s="10"/>
      <c r="G4347" s="10"/>
    </row>
    <row r="4348" spans="1:7" x14ac:dyDescent="0.25">
      <c r="A4348" s="10"/>
      <c r="B4348" s="10"/>
      <c r="C4348" s="10"/>
      <c r="D4348" s="12"/>
      <c r="E4348" s="10"/>
      <c r="F4348" s="10"/>
      <c r="G4348" s="10"/>
    </row>
    <row r="4349" spans="1:7" x14ac:dyDescent="0.25">
      <c r="A4349" s="10"/>
      <c r="B4349" s="10"/>
      <c r="C4349" s="10"/>
      <c r="D4349" s="12"/>
      <c r="E4349" s="10"/>
      <c r="F4349" s="10"/>
      <c r="G4349" s="10"/>
    </row>
    <row r="4350" spans="1:7" x14ac:dyDescent="0.25">
      <c r="A4350" s="10"/>
      <c r="B4350" s="10"/>
      <c r="C4350" s="10"/>
      <c r="D4350" s="12"/>
      <c r="E4350" s="10"/>
      <c r="F4350" s="10"/>
      <c r="G4350" s="10"/>
    </row>
    <row r="4351" spans="1:7" x14ac:dyDescent="0.25">
      <c r="A4351" s="10"/>
      <c r="B4351" s="10"/>
      <c r="C4351" s="10"/>
      <c r="D4351" s="12"/>
      <c r="E4351" s="10"/>
      <c r="F4351" s="10"/>
      <c r="G4351" s="10"/>
    </row>
    <row r="4352" spans="1:7" x14ac:dyDescent="0.25">
      <c r="A4352" s="10"/>
      <c r="B4352" s="10"/>
      <c r="C4352" s="10"/>
      <c r="D4352" s="12"/>
      <c r="E4352" s="10"/>
      <c r="F4352" s="10"/>
      <c r="G4352" s="10"/>
    </row>
    <row r="4353" spans="1:7" x14ac:dyDescent="0.25">
      <c r="A4353" s="10"/>
      <c r="B4353" s="10"/>
      <c r="C4353" s="10"/>
      <c r="D4353" s="12"/>
      <c r="E4353" s="10"/>
      <c r="F4353" s="10"/>
      <c r="G4353" s="10"/>
    </row>
    <row r="4354" spans="1:7" x14ac:dyDescent="0.25">
      <c r="A4354" s="10"/>
      <c r="B4354" s="10"/>
      <c r="C4354" s="10"/>
      <c r="D4354" s="12"/>
      <c r="E4354" s="10"/>
      <c r="F4354" s="10"/>
      <c r="G4354" s="10"/>
    </row>
    <row r="4355" spans="1:7" x14ac:dyDescent="0.25">
      <c r="A4355" s="10"/>
      <c r="B4355" s="10"/>
      <c r="C4355" s="10"/>
      <c r="D4355" s="12"/>
      <c r="E4355" s="10"/>
      <c r="F4355" s="10"/>
      <c r="G4355" s="10"/>
    </row>
    <row r="4356" spans="1:7" x14ac:dyDescent="0.25">
      <c r="A4356" s="10"/>
      <c r="B4356" s="10"/>
      <c r="C4356" s="10"/>
      <c r="D4356" s="12"/>
      <c r="E4356" s="10"/>
      <c r="F4356" s="10"/>
      <c r="G4356" s="10"/>
    </row>
    <row r="4357" spans="1:7" x14ac:dyDescent="0.25">
      <c r="A4357" s="10"/>
      <c r="B4357" s="10"/>
      <c r="C4357" s="10"/>
      <c r="D4357" s="12"/>
      <c r="E4357" s="10"/>
      <c r="F4357" s="10"/>
      <c r="G4357" s="10"/>
    </row>
    <row r="4358" spans="1:7" x14ac:dyDescent="0.25">
      <c r="A4358" s="10"/>
      <c r="B4358" s="10"/>
      <c r="C4358" s="10"/>
      <c r="D4358" s="12"/>
      <c r="E4358" s="10"/>
      <c r="F4358" s="10"/>
      <c r="G4358" s="10"/>
    </row>
    <row r="4359" spans="1:7" x14ac:dyDescent="0.25">
      <c r="A4359" s="10"/>
      <c r="B4359" s="10"/>
      <c r="C4359" s="10"/>
      <c r="D4359" s="12"/>
      <c r="E4359" s="10"/>
      <c r="F4359" s="10"/>
      <c r="G4359" s="10"/>
    </row>
    <row r="4360" spans="1:7" x14ac:dyDescent="0.25">
      <c r="A4360" s="10"/>
      <c r="B4360" s="10"/>
      <c r="C4360" s="10"/>
      <c r="D4360" s="12"/>
      <c r="E4360" s="10"/>
      <c r="F4360" s="10"/>
      <c r="G4360" s="10"/>
    </row>
    <row r="4361" spans="1:7" x14ac:dyDescent="0.25">
      <c r="A4361" s="10"/>
      <c r="B4361" s="10"/>
      <c r="C4361" s="10"/>
      <c r="D4361" s="12"/>
      <c r="E4361" s="10"/>
      <c r="F4361" s="10"/>
      <c r="G4361" s="10"/>
    </row>
    <row r="4362" spans="1:7" x14ac:dyDescent="0.25">
      <c r="A4362" s="10"/>
      <c r="B4362" s="10"/>
      <c r="C4362" s="10"/>
      <c r="D4362" s="12"/>
      <c r="E4362" s="10"/>
      <c r="F4362" s="10"/>
      <c r="G4362" s="10"/>
    </row>
    <row r="4363" spans="1:7" x14ac:dyDescent="0.25">
      <c r="A4363" s="10"/>
      <c r="B4363" s="10"/>
      <c r="C4363" s="10"/>
      <c r="D4363" s="12"/>
      <c r="E4363" s="10"/>
      <c r="F4363" s="10"/>
      <c r="G4363" s="10"/>
    </row>
    <row r="4364" spans="1:7" x14ac:dyDescent="0.25">
      <c r="A4364" s="10"/>
      <c r="B4364" s="10"/>
      <c r="C4364" s="10"/>
      <c r="D4364" s="12"/>
      <c r="E4364" s="10"/>
      <c r="F4364" s="10"/>
      <c r="G4364" s="10"/>
    </row>
    <row r="4365" spans="1:7" x14ac:dyDescent="0.25">
      <c r="A4365" s="10"/>
      <c r="B4365" s="10"/>
      <c r="C4365" s="10"/>
      <c r="D4365" s="12"/>
      <c r="E4365" s="10"/>
      <c r="F4365" s="10"/>
      <c r="G4365" s="10"/>
    </row>
    <row r="4366" spans="1:7" x14ac:dyDescent="0.25">
      <c r="A4366" s="10"/>
      <c r="B4366" s="10"/>
      <c r="C4366" s="10"/>
      <c r="D4366" s="12"/>
      <c r="E4366" s="10"/>
      <c r="F4366" s="10"/>
      <c r="G4366" s="10"/>
    </row>
    <row r="4367" spans="1:7" x14ac:dyDescent="0.25">
      <c r="A4367" s="10"/>
      <c r="B4367" s="10"/>
      <c r="C4367" s="10"/>
      <c r="D4367" s="12"/>
      <c r="E4367" s="10"/>
      <c r="F4367" s="10"/>
      <c r="G4367" s="10"/>
    </row>
    <row r="4368" spans="1:7" x14ac:dyDescent="0.25">
      <c r="A4368" s="10"/>
      <c r="B4368" s="10"/>
      <c r="C4368" s="10"/>
      <c r="D4368" s="12"/>
      <c r="E4368" s="10"/>
      <c r="F4368" s="10"/>
      <c r="G4368" s="10"/>
    </row>
    <row r="4369" spans="1:7" x14ac:dyDescent="0.25">
      <c r="A4369" s="10"/>
      <c r="B4369" s="10"/>
      <c r="C4369" s="10"/>
      <c r="D4369" s="12"/>
      <c r="E4369" s="10"/>
      <c r="F4369" s="10"/>
      <c r="G4369" s="10"/>
    </row>
    <row r="4370" spans="1:7" x14ac:dyDescent="0.25">
      <c r="A4370" s="10"/>
      <c r="B4370" s="10"/>
      <c r="C4370" s="10"/>
      <c r="D4370" s="12"/>
      <c r="E4370" s="10"/>
      <c r="F4370" s="10"/>
      <c r="G4370" s="10"/>
    </row>
    <row r="4371" spans="1:7" x14ac:dyDescent="0.25">
      <c r="A4371" s="10"/>
      <c r="B4371" s="10"/>
      <c r="C4371" s="10"/>
      <c r="D4371" s="12"/>
      <c r="E4371" s="10"/>
      <c r="F4371" s="10"/>
      <c r="G4371" s="10"/>
    </row>
    <row r="4372" spans="1:7" x14ac:dyDescent="0.25">
      <c r="A4372" s="10"/>
      <c r="B4372" s="10"/>
      <c r="C4372" s="10"/>
      <c r="D4372" s="12"/>
      <c r="E4372" s="10"/>
      <c r="F4372" s="10"/>
      <c r="G4372" s="10"/>
    </row>
    <row r="4373" spans="1:7" x14ac:dyDescent="0.25">
      <c r="A4373" s="10"/>
      <c r="B4373" s="10"/>
      <c r="C4373" s="10"/>
      <c r="D4373" s="12"/>
      <c r="E4373" s="10"/>
      <c r="F4373" s="10"/>
      <c r="G4373" s="10"/>
    </row>
    <row r="4374" spans="1:7" x14ac:dyDescent="0.25">
      <c r="A4374" s="10"/>
      <c r="B4374" s="10"/>
      <c r="C4374" s="10"/>
      <c r="D4374" s="12"/>
      <c r="E4374" s="10"/>
      <c r="F4374" s="10"/>
      <c r="G4374" s="10"/>
    </row>
    <row r="4375" spans="1:7" x14ac:dyDescent="0.25">
      <c r="A4375" s="10"/>
      <c r="B4375" s="10"/>
      <c r="C4375" s="10"/>
      <c r="D4375" s="12"/>
      <c r="E4375" s="10"/>
      <c r="F4375" s="10"/>
      <c r="G4375" s="10"/>
    </row>
    <row r="4376" spans="1:7" x14ac:dyDescent="0.25">
      <c r="A4376" s="10"/>
      <c r="B4376" s="10"/>
      <c r="C4376" s="10"/>
      <c r="D4376" s="12"/>
      <c r="E4376" s="10"/>
      <c r="F4376" s="10"/>
      <c r="G4376" s="10"/>
    </row>
    <row r="4377" spans="1:7" x14ac:dyDescent="0.25">
      <c r="A4377" s="10"/>
      <c r="B4377" s="10"/>
      <c r="C4377" s="10"/>
      <c r="D4377" s="12"/>
      <c r="E4377" s="10"/>
      <c r="F4377" s="10"/>
      <c r="G4377" s="10"/>
    </row>
    <row r="4378" spans="1:7" x14ac:dyDescent="0.25">
      <c r="A4378" s="10"/>
      <c r="B4378" s="10"/>
      <c r="C4378" s="10"/>
      <c r="D4378" s="12"/>
      <c r="E4378" s="10"/>
      <c r="F4378" s="10"/>
      <c r="G4378" s="10"/>
    </row>
    <row r="4379" spans="1:7" x14ac:dyDescent="0.25">
      <c r="A4379" s="10"/>
      <c r="B4379" s="10"/>
      <c r="C4379" s="10"/>
      <c r="D4379" s="12"/>
      <c r="E4379" s="10"/>
      <c r="F4379" s="10"/>
      <c r="G4379" s="10"/>
    </row>
    <row r="4380" spans="1:7" x14ac:dyDescent="0.25">
      <c r="A4380" s="10"/>
      <c r="B4380" s="10"/>
      <c r="C4380" s="10"/>
      <c r="D4380" s="12"/>
      <c r="E4380" s="10"/>
      <c r="F4380" s="10"/>
      <c r="G4380" s="10"/>
    </row>
    <row r="4381" spans="1:7" x14ac:dyDescent="0.25">
      <c r="A4381" s="10"/>
      <c r="B4381" s="10"/>
      <c r="C4381" s="10"/>
      <c r="D4381" s="12"/>
      <c r="E4381" s="10"/>
      <c r="F4381" s="10"/>
      <c r="G4381" s="10"/>
    </row>
    <row r="4382" spans="1:7" x14ac:dyDescent="0.25">
      <c r="A4382" s="10"/>
      <c r="B4382" s="10"/>
      <c r="C4382" s="10"/>
      <c r="D4382" s="12"/>
      <c r="E4382" s="10"/>
      <c r="F4382" s="10"/>
      <c r="G4382" s="10"/>
    </row>
    <row r="4383" spans="1:7" x14ac:dyDescent="0.25">
      <c r="A4383" s="10"/>
      <c r="B4383" s="10"/>
      <c r="C4383" s="10"/>
      <c r="D4383" s="12"/>
      <c r="E4383" s="10"/>
      <c r="F4383" s="10"/>
      <c r="G4383" s="10"/>
    </row>
    <row r="4384" spans="1:7" x14ac:dyDescent="0.25">
      <c r="A4384" s="10"/>
      <c r="B4384" s="10"/>
      <c r="C4384" s="10"/>
      <c r="D4384" s="12"/>
      <c r="E4384" s="10"/>
      <c r="F4384" s="10"/>
      <c r="G4384" s="10"/>
    </row>
    <row r="4385" spans="1:7" x14ac:dyDescent="0.25">
      <c r="A4385" s="10"/>
      <c r="B4385" s="10"/>
      <c r="C4385" s="10"/>
      <c r="D4385" s="12"/>
      <c r="E4385" s="10"/>
      <c r="F4385" s="10"/>
      <c r="G4385" s="10"/>
    </row>
    <row r="4386" spans="1:7" x14ac:dyDescent="0.25">
      <c r="A4386" s="10"/>
      <c r="B4386" s="10"/>
      <c r="C4386" s="10"/>
      <c r="D4386" s="12"/>
      <c r="E4386" s="10"/>
      <c r="F4386" s="10"/>
      <c r="G4386" s="10"/>
    </row>
    <row r="4387" spans="1:7" x14ac:dyDescent="0.25">
      <c r="A4387" s="10"/>
      <c r="B4387" s="10"/>
      <c r="C4387" s="10"/>
      <c r="D4387" s="12"/>
      <c r="E4387" s="10"/>
      <c r="F4387" s="10"/>
      <c r="G4387" s="10"/>
    </row>
    <row r="4388" spans="1:7" x14ac:dyDescent="0.25">
      <c r="A4388" s="10"/>
      <c r="B4388" s="10"/>
      <c r="C4388" s="10"/>
      <c r="D4388" s="12"/>
      <c r="E4388" s="10"/>
      <c r="F4388" s="10"/>
      <c r="G4388" s="10"/>
    </row>
    <row r="4389" spans="1:7" x14ac:dyDescent="0.25">
      <c r="A4389" s="10"/>
      <c r="B4389" s="10"/>
      <c r="C4389" s="10"/>
      <c r="D4389" s="12"/>
      <c r="E4389" s="10"/>
      <c r="F4389" s="10"/>
      <c r="G4389" s="10"/>
    </row>
    <row r="4390" spans="1:7" x14ac:dyDescent="0.25">
      <c r="A4390" s="10"/>
      <c r="B4390" s="10"/>
      <c r="C4390" s="10"/>
      <c r="D4390" s="12"/>
      <c r="E4390" s="10"/>
      <c r="F4390" s="10"/>
      <c r="G4390" s="10"/>
    </row>
    <row r="4391" spans="1:7" x14ac:dyDescent="0.25">
      <c r="A4391" s="10"/>
      <c r="B4391" s="10"/>
      <c r="C4391" s="10"/>
      <c r="D4391" s="12"/>
      <c r="E4391" s="10"/>
      <c r="F4391" s="10"/>
      <c r="G4391" s="10"/>
    </row>
    <row r="4392" spans="1:7" x14ac:dyDescent="0.25">
      <c r="A4392" s="10"/>
      <c r="B4392" s="10"/>
      <c r="C4392" s="10"/>
      <c r="D4392" s="12"/>
      <c r="E4392" s="10"/>
      <c r="F4392" s="10"/>
      <c r="G4392" s="10"/>
    </row>
    <row r="4393" spans="1:7" x14ac:dyDescent="0.25">
      <c r="A4393" s="10"/>
      <c r="B4393" s="10"/>
      <c r="C4393" s="10"/>
      <c r="D4393" s="12"/>
      <c r="E4393" s="10"/>
      <c r="F4393" s="10"/>
      <c r="G4393" s="10"/>
    </row>
    <row r="4394" spans="1:7" x14ac:dyDescent="0.25">
      <c r="A4394" s="10"/>
      <c r="B4394" s="10"/>
      <c r="C4394" s="10"/>
      <c r="D4394" s="12"/>
      <c r="E4394" s="10"/>
      <c r="F4394" s="10"/>
      <c r="G4394" s="10"/>
    </row>
    <row r="4395" spans="1:7" x14ac:dyDescent="0.25">
      <c r="A4395" s="10"/>
      <c r="B4395" s="10"/>
      <c r="C4395" s="10"/>
      <c r="D4395" s="12"/>
      <c r="E4395" s="10"/>
      <c r="F4395" s="10"/>
      <c r="G4395" s="10"/>
    </row>
    <row r="4396" spans="1:7" x14ac:dyDescent="0.25">
      <c r="A4396" s="10"/>
      <c r="B4396" s="10"/>
      <c r="C4396" s="10"/>
      <c r="D4396" s="12"/>
      <c r="E4396" s="10"/>
      <c r="F4396" s="10"/>
      <c r="G4396" s="10"/>
    </row>
    <row r="4397" spans="1:7" x14ac:dyDescent="0.25">
      <c r="A4397" s="10"/>
      <c r="B4397" s="10"/>
      <c r="C4397" s="10"/>
      <c r="D4397" s="12"/>
      <c r="E4397" s="10"/>
      <c r="F4397" s="10"/>
      <c r="G4397" s="10"/>
    </row>
    <row r="4398" spans="1:7" x14ac:dyDescent="0.25">
      <c r="A4398" s="10"/>
      <c r="B4398" s="10"/>
      <c r="C4398" s="10"/>
      <c r="D4398" s="12"/>
      <c r="E4398" s="10"/>
      <c r="F4398" s="10"/>
      <c r="G4398" s="10"/>
    </row>
    <row r="4399" spans="1:7" x14ac:dyDescent="0.25">
      <c r="A4399" s="10"/>
      <c r="B4399" s="10"/>
      <c r="C4399" s="10"/>
      <c r="D4399" s="12"/>
      <c r="E4399" s="10"/>
      <c r="F4399" s="10"/>
      <c r="G4399" s="10"/>
    </row>
    <row r="4400" spans="1:7" x14ac:dyDescent="0.25">
      <c r="A4400" s="10"/>
      <c r="B4400" s="10"/>
      <c r="C4400" s="10"/>
      <c r="D4400" s="12"/>
      <c r="E4400" s="10"/>
      <c r="F4400" s="10"/>
      <c r="G4400" s="10"/>
    </row>
    <row r="4401" spans="1:7" x14ac:dyDescent="0.25">
      <c r="A4401" s="10"/>
      <c r="B4401" s="10"/>
      <c r="C4401" s="10"/>
      <c r="D4401" s="12"/>
      <c r="E4401" s="10"/>
      <c r="F4401" s="10"/>
      <c r="G4401" s="10"/>
    </row>
    <row r="4402" spans="1:7" x14ac:dyDescent="0.25">
      <c r="A4402" s="10"/>
      <c r="B4402" s="10"/>
      <c r="C4402" s="10"/>
      <c r="D4402" s="12"/>
      <c r="E4402" s="10"/>
      <c r="F4402" s="10"/>
      <c r="G4402" s="10"/>
    </row>
    <row r="4403" spans="1:7" x14ac:dyDescent="0.25">
      <c r="A4403" s="10"/>
      <c r="B4403" s="10"/>
      <c r="C4403" s="10"/>
      <c r="D4403" s="12"/>
      <c r="E4403" s="10"/>
      <c r="F4403" s="10"/>
      <c r="G4403" s="10"/>
    </row>
    <row r="4404" spans="1:7" x14ac:dyDescent="0.25">
      <c r="A4404" s="10"/>
      <c r="B4404" s="10"/>
      <c r="C4404" s="10"/>
      <c r="D4404" s="12"/>
      <c r="E4404" s="10"/>
      <c r="F4404" s="10"/>
      <c r="G4404" s="10"/>
    </row>
    <row r="4405" spans="1:7" x14ac:dyDescent="0.25">
      <c r="A4405" s="10"/>
      <c r="B4405" s="10"/>
      <c r="C4405" s="10"/>
      <c r="D4405" s="12"/>
      <c r="E4405" s="10"/>
      <c r="F4405" s="10"/>
      <c r="G4405" s="10"/>
    </row>
    <row r="4406" spans="1:7" x14ac:dyDescent="0.25">
      <c r="A4406" s="10"/>
      <c r="B4406" s="10"/>
      <c r="C4406" s="10"/>
      <c r="D4406" s="12"/>
      <c r="E4406" s="10"/>
      <c r="F4406" s="10"/>
      <c r="G4406" s="10"/>
    </row>
    <row r="4407" spans="1:7" x14ac:dyDescent="0.25">
      <c r="A4407" s="10"/>
      <c r="B4407" s="10"/>
      <c r="C4407" s="10"/>
      <c r="D4407" s="12"/>
      <c r="E4407" s="10"/>
      <c r="F4407" s="10"/>
      <c r="G4407" s="10"/>
    </row>
    <row r="4408" spans="1:7" x14ac:dyDescent="0.25">
      <c r="A4408" s="10"/>
      <c r="B4408" s="10"/>
      <c r="C4408" s="10"/>
      <c r="D4408" s="12"/>
      <c r="E4408" s="10"/>
      <c r="F4408" s="10"/>
      <c r="G4408" s="10"/>
    </row>
    <row r="4409" spans="1:7" x14ac:dyDescent="0.25">
      <c r="A4409" s="10"/>
      <c r="B4409" s="10"/>
      <c r="C4409" s="10"/>
      <c r="D4409" s="12"/>
      <c r="E4409" s="10"/>
      <c r="F4409" s="10"/>
      <c r="G4409" s="10"/>
    </row>
    <row r="4410" spans="1:7" x14ac:dyDescent="0.25">
      <c r="A4410" s="10"/>
      <c r="B4410" s="10"/>
      <c r="C4410" s="10"/>
      <c r="D4410" s="12"/>
      <c r="E4410" s="10"/>
      <c r="F4410" s="10"/>
      <c r="G4410" s="10"/>
    </row>
    <row r="4411" spans="1:7" x14ac:dyDescent="0.25">
      <c r="A4411" s="10"/>
      <c r="B4411" s="10"/>
      <c r="C4411" s="10"/>
      <c r="D4411" s="12"/>
      <c r="E4411" s="10"/>
      <c r="F4411" s="10"/>
      <c r="G4411" s="10"/>
    </row>
    <row r="4412" spans="1:7" x14ac:dyDescent="0.25">
      <c r="A4412" s="10"/>
      <c r="B4412" s="10"/>
      <c r="C4412" s="10"/>
      <c r="D4412" s="12"/>
      <c r="E4412" s="10"/>
      <c r="F4412" s="10"/>
      <c r="G4412" s="10"/>
    </row>
    <row r="4413" spans="1:7" x14ac:dyDescent="0.25">
      <c r="A4413" s="10"/>
      <c r="B4413" s="10"/>
      <c r="C4413" s="10"/>
      <c r="D4413" s="12"/>
      <c r="E4413" s="10"/>
      <c r="F4413" s="10"/>
      <c r="G4413" s="10"/>
    </row>
    <row r="4414" spans="1:7" x14ac:dyDescent="0.25">
      <c r="A4414" s="10"/>
      <c r="B4414" s="10"/>
      <c r="C4414" s="10"/>
      <c r="D4414" s="12"/>
      <c r="E4414" s="10"/>
      <c r="F4414" s="10"/>
      <c r="G4414" s="10"/>
    </row>
    <row r="4415" spans="1:7" x14ac:dyDescent="0.25">
      <c r="A4415" s="10"/>
      <c r="B4415" s="10"/>
      <c r="C4415" s="10"/>
      <c r="D4415" s="12"/>
      <c r="E4415" s="10"/>
      <c r="F4415" s="10"/>
      <c r="G4415" s="10"/>
    </row>
    <row r="4416" spans="1:7" x14ac:dyDescent="0.25">
      <c r="A4416" s="10"/>
      <c r="B4416" s="10"/>
      <c r="C4416" s="10"/>
      <c r="D4416" s="12"/>
      <c r="E4416" s="10"/>
      <c r="F4416" s="10"/>
      <c r="G4416" s="10"/>
    </row>
    <row r="4417" spans="1:7" x14ac:dyDescent="0.25">
      <c r="A4417" s="10"/>
      <c r="B4417" s="10"/>
      <c r="C4417" s="10"/>
      <c r="D4417" s="12"/>
      <c r="E4417" s="10"/>
      <c r="F4417" s="10"/>
      <c r="G4417" s="10"/>
    </row>
    <row r="4418" spans="1:7" x14ac:dyDescent="0.25">
      <c r="A4418" s="10"/>
      <c r="B4418" s="10"/>
      <c r="C4418" s="10"/>
      <c r="D4418" s="12"/>
      <c r="E4418" s="10"/>
      <c r="F4418" s="10"/>
      <c r="G4418" s="10"/>
    </row>
    <row r="4419" spans="1:7" x14ac:dyDescent="0.25">
      <c r="A4419" s="10"/>
      <c r="B4419" s="10"/>
      <c r="C4419" s="10"/>
      <c r="D4419" s="12"/>
      <c r="E4419" s="10"/>
      <c r="F4419" s="10"/>
      <c r="G4419" s="10"/>
    </row>
    <row r="4420" spans="1:7" x14ac:dyDescent="0.25">
      <c r="A4420" s="10"/>
      <c r="B4420" s="10"/>
      <c r="C4420" s="10"/>
      <c r="D4420" s="12"/>
      <c r="E4420" s="10"/>
      <c r="F4420" s="10"/>
      <c r="G4420" s="10"/>
    </row>
    <row r="4421" spans="1:7" x14ac:dyDescent="0.25">
      <c r="A4421" s="10"/>
      <c r="B4421" s="10"/>
      <c r="C4421" s="10"/>
      <c r="D4421" s="12"/>
      <c r="E4421" s="10"/>
      <c r="F4421" s="10"/>
      <c r="G4421" s="10"/>
    </row>
    <row r="4422" spans="1:7" x14ac:dyDescent="0.25">
      <c r="A4422" s="10"/>
      <c r="B4422" s="10"/>
      <c r="C4422" s="10"/>
      <c r="D4422" s="12"/>
      <c r="E4422" s="10"/>
      <c r="F4422" s="10"/>
      <c r="G4422" s="10"/>
    </row>
    <row r="4423" spans="1:7" x14ac:dyDescent="0.25">
      <c r="A4423" s="10"/>
      <c r="B4423" s="10"/>
      <c r="C4423" s="10"/>
      <c r="D4423" s="12"/>
      <c r="E4423" s="10"/>
      <c r="F4423" s="10"/>
      <c r="G4423" s="10"/>
    </row>
    <row r="4424" spans="1:7" x14ac:dyDescent="0.25">
      <c r="A4424" s="10"/>
      <c r="B4424" s="10"/>
      <c r="C4424" s="10"/>
      <c r="D4424" s="12"/>
      <c r="E4424" s="10"/>
      <c r="F4424" s="10"/>
      <c r="G4424" s="10"/>
    </row>
    <row r="4425" spans="1:7" x14ac:dyDescent="0.25">
      <c r="A4425" s="10"/>
      <c r="B4425" s="10"/>
      <c r="C4425" s="10"/>
      <c r="D4425" s="12"/>
      <c r="E4425" s="10"/>
      <c r="F4425" s="10"/>
      <c r="G4425" s="10"/>
    </row>
    <row r="4426" spans="1:7" x14ac:dyDescent="0.25">
      <c r="A4426" s="10"/>
      <c r="B4426" s="10"/>
      <c r="C4426" s="10"/>
      <c r="D4426" s="12"/>
      <c r="E4426" s="10"/>
      <c r="F4426" s="10"/>
      <c r="G4426" s="10"/>
    </row>
    <row r="4427" spans="1:7" x14ac:dyDescent="0.25">
      <c r="A4427" s="10"/>
      <c r="B4427" s="10"/>
      <c r="C4427" s="10"/>
      <c r="D4427" s="12"/>
      <c r="E4427" s="10"/>
      <c r="F4427" s="10"/>
      <c r="G4427" s="10"/>
    </row>
    <row r="4428" spans="1:7" x14ac:dyDescent="0.25">
      <c r="A4428" s="10"/>
      <c r="B4428" s="10"/>
      <c r="C4428" s="10"/>
      <c r="D4428" s="12"/>
      <c r="E4428" s="10"/>
      <c r="F4428" s="10"/>
      <c r="G4428" s="10"/>
    </row>
    <row r="4429" spans="1:7" x14ac:dyDescent="0.25">
      <c r="A4429" s="10"/>
      <c r="B4429" s="10"/>
      <c r="C4429" s="10"/>
      <c r="D4429" s="12"/>
      <c r="E4429" s="10"/>
      <c r="F4429" s="10"/>
      <c r="G4429" s="10"/>
    </row>
    <row r="4430" spans="1:7" x14ac:dyDescent="0.25">
      <c r="A4430" s="10"/>
      <c r="B4430" s="10"/>
      <c r="C4430" s="10"/>
      <c r="D4430" s="12"/>
      <c r="E4430" s="10"/>
      <c r="F4430" s="10"/>
      <c r="G4430" s="10"/>
    </row>
    <row r="4431" spans="1:7" x14ac:dyDescent="0.25">
      <c r="A4431" s="10"/>
      <c r="B4431" s="10"/>
      <c r="C4431" s="10"/>
      <c r="D4431" s="12"/>
      <c r="E4431" s="10"/>
      <c r="F4431" s="10"/>
      <c r="G4431" s="10"/>
    </row>
    <row r="4432" spans="1:7" x14ac:dyDescent="0.25">
      <c r="A4432" s="10"/>
      <c r="B4432" s="10"/>
      <c r="C4432" s="10"/>
      <c r="D4432" s="12"/>
      <c r="E4432" s="10"/>
      <c r="F4432" s="10"/>
      <c r="G4432" s="10"/>
    </row>
    <row r="4433" spans="1:7" x14ac:dyDescent="0.25">
      <c r="A4433" s="10"/>
      <c r="B4433" s="10"/>
      <c r="C4433" s="10"/>
      <c r="D4433" s="12"/>
      <c r="E4433" s="10"/>
      <c r="F4433" s="10"/>
      <c r="G4433" s="10"/>
    </row>
    <row r="4434" spans="1:7" x14ac:dyDescent="0.25">
      <c r="A4434" s="10"/>
      <c r="B4434" s="10"/>
      <c r="C4434" s="10"/>
      <c r="D4434" s="12"/>
      <c r="E4434" s="10"/>
      <c r="F4434" s="10"/>
      <c r="G4434" s="10"/>
    </row>
    <row r="4435" spans="1:7" x14ac:dyDescent="0.25">
      <c r="A4435" s="10"/>
      <c r="B4435" s="10"/>
      <c r="C4435" s="10"/>
      <c r="D4435" s="12"/>
      <c r="E4435" s="10"/>
      <c r="F4435" s="10"/>
      <c r="G4435" s="10"/>
    </row>
    <row r="4436" spans="1:7" x14ac:dyDescent="0.25">
      <c r="A4436" s="10"/>
      <c r="B4436" s="10"/>
      <c r="C4436" s="10"/>
      <c r="D4436" s="12"/>
      <c r="E4436" s="10"/>
      <c r="F4436" s="10"/>
      <c r="G4436" s="10"/>
    </row>
    <row r="4437" spans="1:7" x14ac:dyDescent="0.25">
      <c r="A4437" s="10"/>
      <c r="B4437" s="10"/>
      <c r="C4437" s="10"/>
      <c r="D4437" s="12"/>
      <c r="E4437" s="10"/>
      <c r="F4437" s="10"/>
      <c r="G4437" s="10"/>
    </row>
    <row r="4438" spans="1:7" x14ac:dyDescent="0.25">
      <c r="A4438" s="10"/>
      <c r="B4438" s="10"/>
      <c r="C4438" s="10"/>
      <c r="D4438" s="12"/>
      <c r="E4438" s="10"/>
      <c r="F4438" s="10"/>
      <c r="G4438" s="10"/>
    </row>
    <row r="4439" spans="1:7" x14ac:dyDescent="0.25">
      <c r="A4439" s="10"/>
      <c r="B4439" s="10"/>
      <c r="C4439" s="10"/>
      <c r="D4439" s="12"/>
      <c r="E4439" s="10"/>
      <c r="F4439" s="10"/>
      <c r="G4439" s="10"/>
    </row>
    <row r="4440" spans="1:7" x14ac:dyDescent="0.25">
      <c r="A4440" s="10"/>
      <c r="B4440" s="10"/>
      <c r="C4440" s="10"/>
      <c r="D4440" s="12"/>
      <c r="E4440" s="10"/>
      <c r="F4440" s="10"/>
      <c r="G4440" s="10"/>
    </row>
    <row r="4441" spans="1:7" x14ac:dyDescent="0.25">
      <c r="A4441" s="10"/>
      <c r="B4441" s="10"/>
      <c r="C4441" s="10"/>
      <c r="D4441" s="12"/>
      <c r="E4441" s="10"/>
      <c r="F4441" s="10"/>
      <c r="G4441" s="10"/>
    </row>
    <row r="4442" spans="1:7" x14ac:dyDescent="0.25">
      <c r="A4442" s="10"/>
      <c r="B4442" s="10"/>
      <c r="C4442" s="10"/>
      <c r="D4442" s="12"/>
      <c r="E4442" s="10"/>
      <c r="F4442" s="10"/>
      <c r="G4442" s="10"/>
    </row>
    <row r="4443" spans="1:7" x14ac:dyDescent="0.25">
      <c r="A4443" s="10"/>
      <c r="B4443" s="10"/>
      <c r="C4443" s="10"/>
      <c r="D4443" s="12"/>
      <c r="E4443" s="10"/>
      <c r="F4443" s="10"/>
      <c r="G4443" s="10"/>
    </row>
    <row r="4444" spans="1:7" x14ac:dyDescent="0.25">
      <c r="A4444" s="10"/>
      <c r="B4444" s="10"/>
      <c r="C4444" s="10"/>
      <c r="D4444" s="12"/>
      <c r="E4444" s="10"/>
      <c r="F4444" s="10"/>
      <c r="G4444" s="10"/>
    </row>
    <row r="4445" spans="1:7" x14ac:dyDescent="0.25">
      <c r="A4445" s="10"/>
      <c r="B4445" s="10"/>
      <c r="C4445" s="10"/>
      <c r="D4445" s="12"/>
      <c r="E4445" s="10"/>
      <c r="F4445" s="10"/>
      <c r="G4445" s="10"/>
    </row>
    <row r="4446" spans="1:7" x14ac:dyDescent="0.25">
      <c r="A4446" s="10"/>
      <c r="B4446" s="10"/>
      <c r="C4446" s="10"/>
      <c r="D4446" s="12"/>
      <c r="E4446" s="10"/>
      <c r="F4446" s="10"/>
      <c r="G4446" s="10"/>
    </row>
    <row r="4447" spans="1:7" x14ac:dyDescent="0.25">
      <c r="A4447" s="10"/>
      <c r="B4447" s="10"/>
      <c r="C4447" s="10"/>
      <c r="D4447" s="12"/>
      <c r="E4447" s="10"/>
      <c r="F4447" s="10"/>
      <c r="G4447" s="10"/>
    </row>
    <row r="4448" spans="1:7" x14ac:dyDescent="0.25">
      <c r="A4448" s="10"/>
      <c r="B4448" s="10"/>
      <c r="C4448" s="10"/>
      <c r="D4448" s="12"/>
      <c r="E4448" s="10"/>
      <c r="F4448" s="10"/>
      <c r="G4448" s="10"/>
    </row>
    <row r="4449" spans="1:7" x14ac:dyDescent="0.25">
      <c r="A4449" s="10"/>
      <c r="B4449" s="10"/>
      <c r="C4449" s="10"/>
      <c r="D4449" s="12"/>
      <c r="E4449" s="10"/>
      <c r="F4449" s="10"/>
      <c r="G4449" s="10"/>
    </row>
    <row r="4450" spans="1:7" x14ac:dyDescent="0.25">
      <c r="A4450" s="10"/>
      <c r="B4450" s="10"/>
      <c r="C4450" s="10"/>
      <c r="D4450" s="12"/>
      <c r="E4450" s="10"/>
      <c r="F4450" s="10"/>
      <c r="G4450" s="10"/>
    </row>
    <row r="4451" spans="1:7" x14ac:dyDescent="0.25">
      <c r="A4451" s="10"/>
      <c r="B4451" s="10"/>
      <c r="C4451" s="10"/>
      <c r="D4451" s="12"/>
      <c r="E4451" s="10"/>
      <c r="F4451" s="10"/>
      <c r="G4451" s="10"/>
    </row>
    <row r="4452" spans="1:7" x14ac:dyDescent="0.25">
      <c r="A4452" s="10"/>
      <c r="B4452" s="10"/>
      <c r="C4452" s="10"/>
      <c r="D4452" s="12"/>
      <c r="E4452" s="10"/>
      <c r="F4452" s="10"/>
      <c r="G4452" s="10"/>
    </row>
    <row r="4453" spans="1:7" x14ac:dyDescent="0.25">
      <c r="A4453" s="10"/>
      <c r="B4453" s="10"/>
      <c r="C4453" s="10"/>
      <c r="D4453" s="12"/>
      <c r="E4453" s="10"/>
      <c r="F4453" s="10"/>
      <c r="G4453" s="10"/>
    </row>
    <row r="4454" spans="1:7" x14ac:dyDescent="0.25">
      <c r="A4454" s="10"/>
      <c r="B4454" s="10"/>
      <c r="C4454" s="10"/>
      <c r="D4454" s="12"/>
      <c r="E4454" s="10"/>
      <c r="F4454" s="10"/>
      <c r="G4454" s="10"/>
    </row>
    <row r="4455" spans="1:7" x14ac:dyDescent="0.25">
      <c r="A4455" s="10"/>
      <c r="B4455" s="10"/>
      <c r="C4455" s="10"/>
      <c r="D4455" s="12"/>
      <c r="E4455" s="10"/>
      <c r="F4455" s="10"/>
      <c r="G4455" s="10"/>
    </row>
    <row r="4456" spans="1:7" x14ac:dyDescent="0.25">
      <c r="A4456" s="10"/>
      <c r="B4456" s="10"/>
      <c r="C4456" s="10"/>
      <c r="D4456" s="12"/>
      <c r="E4456" s="10"/>
      <c r="F4456" s="10"/>
      <c r="G4456" s="10"/>
    </row>
    <row r="4457" spans="1:7" x14ac:dyDescent="0.25">
      <c r="A4457" s="10"/>
      <c r="B4457" s="10"/>
      <c r="C4457" s="10"/>
      <c r="D4457" s="12"/>
      <c r="E4457" s="10"/>
      <c r="F4457" s="10"/>
      <c r="G4457" s="10"/>
    </row>
    <row r="4458" spans="1:7" x14ac:dyDescent="0.25">
      <c r="A4458" s="10"/>
      <c r="B4458" s="10"/>
      <c r="C4458" s="10"/>
      <c r="D4458" s="12"/>
      <c r="E4458" s="10"/>
      <c r="F4458" s="10"/>
      <c r="G4458" s="10"/>
    </row>
    <row r="4459" spans="1:7" x14ac:dyDescent="0.25">
      <c r="A4459" s="10"/>
      <c r="B4459" s="10"/>
      <c r="C4459" s="10"/>
      <c r="D4459" s="12"/>
      <c r="E4459" s="10"/>
      <c r="F4459" s="10"/>
      <c r="G4459" s="10"/>
    </row>
    <row r="4460" spans="1:7" x14ac:dyDescent="0.25">
      <c r="A4460" s="10"/>
      <c r="B4460" s="10"/>
      <c r="C4460" s="10"/>
      <c r="D4460" s="12"/>
      <c r="E4460" s="10"/>
      <c r="F4460" s="10"/>
      <c r="G4460" s="10"/>
    </row>
    <row r="4461" spans="1:7" x14ac:dyDescent="0.25">
      <c r="A4461" s="10"/>
      <c r="B4461" s="10"/>
      <c r="C4461" s="10"/>
      <c r="D4461" s="12"/>
      <c r="E4461" s="10"/>
      <c r="F4461" s="10"/>
      <c r="G4461" s="10"/>
    </row>
    <row r="4462" spans="1:7" x14ac:dyDescent="0.25">
      <c r="A4462" s="10"/>
      <c r="B4462" s="10"/>
      <c r="C4462" s="10"/>
      <c r="D4462" s="12"/>
      <c r="E4462" s="10"/>
      <c r="F4462" s="10"/>
      <c r="G4462" s="10"/>
    </row>
    <row r="4463" spans="1:7" x14ac:dyDescent="0.25">
      <c r="A4463" s="10"/>
      <c r="B4463" s="10"/>
      <c r="C4463" s="10"/>
      <c r="D4463" s="12"/>
      <c r="E4463" s="10"/>
      <c r="F4463" s="10"/>
      <c r="G4463" s="10"/>
    </row>
    <row r="4464" spans="1:7" x14ac:dyDescent="0.25">
      <c r="A4464" s="10"/>
      <c r="B4464" s="10"/>
      <c r="C4464" s="10"/>
      <c r="D4464" s="12"/>
      <c r="E4464" s="10"/>
      <c r="F4464" s="10"/>
      <c r="G4464" s="10"/>
    </row>
    <row r="4465" spans="1:7" x14ac:dyDescent="0.25">
      <c r="A4465" s="10"/>
      <c r="B4465" s="10"/>
      <c r="C4465" s="10"/>
      <c r="D4465" s="12"/>
      <c r="E4465" s="10"/>
      <c r="F4465" s="10"/>
      <c r="G4465" s="10"/>
    </row>
    <row r="4466" spans="1:7" x14ac:dyDescent="0.25">
      <c r="A4466" s="10"/>
      <c r="B4466" s="10"/>
      <c r="C4466" s="10"/>
      <c r="D4466" s="12"/>
      <c r="E4466" s="10"/>
      <c r="F4466" s="10"/>
      <c r="G4466" s="10"/>
    </row>
    <row r="4467" spans="1:7" x14ac:dyDescent="0.25">
      <c r="A4467" s="10"/>
      <c r="B4467" s="10"/>
      <c r="C4467" s="10"/>
      <c r="D4467" s="12"/>
      <c r="E4467" s="10"/>
      <c r="F4467" s="10"/>
      <c r="G4467" s="10"/>
    </row>
    <row r="4468" spans="1:7" x14ac:dyDescent="0.25">
      <c r="A4468" s="10"/>
      <c r="B4468" s="10"/>
      <c r="C4468" s="10"/>
      <c r="D4468" s="12"/>
      <c r="E4468" s="10"/>
      <c r="F4468" s="10"/>
      <c r="G4468" s="10"/>
    </row>
    <row r="4469" spans="1:7" x14ac:dyDescent="0.25">
      <c r="A4469" s="10"/>
      <c r="B4469" s="10"/>
      <c r="C4469" s="10"/>
      <c r="D4469" s="12"/>
      <c r="E4469" s="10"/>
      <c r="F4469" s="10"/>
      <c r="G4469" s="10"/>
    </row>
    <row r="4470" spans="1:7" x14ac:dyDescent="0.25">
      <c r="A4470" s="10"/>
      <c r="B4470" s="10"/>
      <c r="C4470" s="10"/>
      <c r="D4470" s="12"/>
      <c r="E4470" s="10"/>
      <c r="F4470" s="10"/>
      <c r="G4470" s="10"/>
    </row>
    <row r="4471" spans="1:7" x14ac:dyDescent="0.25">
      <c r="A4471" s="10"/>
      <c r="B4471" s="10"/>
      <c r="C4471" s="10"/>
      <c r="D4471" s="12"/>
      <c r="E4471" s="10"/>
      <c r="F4471" s="10"/>
      <c r="G4471" s="10"/>
    </row>
    <row r="4472" spans="1:7" x14ac:dyDescent="0.25">
      <c r="A4472" s="10"/>
      <c r="B4472" s="10"/>
      <c r="C4472" s="10"/>
      <c r="D4472" s="12"/>
      <c r="E4472" s="10"/>
      <c r="F4472" s="10"/>
      <c r="G4472" s="10"/>
    </row>
    <row r="4473" spans="1:7" x14ac:dyDescent="0.25">
      <c r="A4473" s="10"/>
      <c r="B4473" s="10"/>
      <c r="C4473" s="10"/>
      <c r="D4473" s="12"/>
      <c r="E4473" s="10"/>
      <c r="F4473" s="10"/>
      <c r="G4473" s="10"/>
    </row>
    <row r="4474" spans="1:7" x14ac:dyDescent="0.25">
      <c r="A4474" s="10"/>
      <c r="B4474" s="10"/>
      <c r="C4474" s="10"/>
      <c r="D4474" s="12"/>
      <c r="E4474" s="10"/>
      <c r="F4474" s="10"/>
      <c r="G4474" s="10"/>
    </row>
    <row r="4475" spans="1:7" x14ac:dyDescent="0.25">
      <c r="A4475" s="10"/>
      <c r="B4475" s="10"/>
      <c r="C4475" s="10"/>
      <c r="D4475" s="12"/>
      <c r="E4475" s="10"/>
      <c r="F4475" s="10"/>
      <c r="G4475" s="10"/>
    </row>
    <row r="4476" spans="1:7" x14ac:dyDescent="0.25">
      <c r="A4476" s="10"/>
      <c r="B4476" s="10"/>
      <c r="C4476" s="10"/>
      <c r="D4476" s="12"/>
      <c r="E4476" s="10"/>
      <c r="F4476" s="10"/>
      <c r="G4476" s="10"/>
    </row>
    <row r="4477" spans="1:7" x14ac:dyDescent="0.25">
      <c r="A4477" s="10"/>
      <c r="B4477" s="10"/>
      <c r="C4477" s="10"/>
      <c r="D4477" s="12"/>
      <c r="E4477" s="10"/>
      <c r="F4477" s="10"/>
      <c r="G4477" s="10"/>
    </row>
    <row r="4478" spans="1:7" x14ac:dyDescent="0.25">
      <c r="A4478" s="10"/>
      <c r="B4478" s="10"/>
      <c r="C4478" s="10"/>
      <c r="D4478" s="12"/>
      <c r="E4478" s="10"/>
      <c r="F4478" s="10"/>
      <c r="G4478" s="10"/>
    </row>
    <row r="4479" spans="1:7" x14ac:dyDescent="0.25">
      <c r="A4479" s="10"/>
      <c r="B4479" s="10"/>
      <c r="C4479" s="10"/>
      <c r="D4479" s="12"/>
      <c r="E4479" s="10"/>
      <c r="F4479" s="10"/>
      <c r="G4479" s="10"/>
    </row>
    <row r="4480" spans="1:7" x14ac:dyDescent="0.25">
      <c r="A4480" s="10"/>
      <c r="B4480" s="10"/>
      <c r="C4480" s="10"/>
      <c r="D4480" s="12"/>
      <c r="E4480" s="10"/>
      <c r="F4480" s="10"/>
      <c r="G4480" s="10"/>
    </row>
    <row r="4481" spans="1:7" x14ac:dyDescent="0.25">
      <c r="A4481" s="10"/>
      <c r="B4481" s="10"/>
      <c r="C4481" s="10"/>
      <c r="D4481" s="12"/>
      <c r="E4481" s="10"/>
      <c r="F4481" s="10"/>
      <c r="G4481" s="10"/>
    </row>
    <row r="4482" spans="1:7" x14ac:dyDescent="0.25">
      <c r="A4482" s="10"/>
      <c r="B4482" s="10"/>
      <c r="C4482" s="10"/>
      <c r="D4482" s="12"/>
      <c r="E4482" s="10"/>
      <c r="F4482" s="10"/>
      <c r="G4482" s="10"/>
    </row>
    <row r="4483" spans="1:7" x14ac:dyDescent="0.25">
      <c r="A4483" s="10"/>
      <c r="B4483" s="10"/>
      <c r="C4483" s="10"/>
      <c r="D4483" s="12"/>
      <c r="E4483" s="10"/>
      <c r="F4483" s="10"/>
      <c r="G4483" s="10"/>
    </row>
    <row r="4484" spans="1:7" x14ac:dyDescent="0.25">
      <c r="A4484" s="10"/>
      <c r="B4484" s="10"/>
      <c r="C4484" s="10"/>
      <c r="D4484" s="12"/>
      <c r="E4484" s="10"/>
      <c r="F4484" s="10"/>
      <c r="G4484" s="10"/>
    </row>
    <row r="4485" spans="1:7" x14ac:dyDescent="0.25">
      <c r="A4485" s="10"/>
      <c r="B4485" s="10"/>
      <c r="C4485" s="10"/>
      <c r="D4485" s="12"/>
      <c r="E4485" s="10"/>
      <c r="F4485" s="10"/>
      <c r="G4485" s="10"/>
    </row>
    <row r="4486" spans="1:7" x14ac:dyDescent="0.25">
      <c r="A4486" s="10"/>
      <c r="B4486" s="10"/>
      <c r="C4486" s="10"/>
      <c r="D4486" s="12"/>
      <c r="E4486" s="10"/>
      <c r="F4486" s="10"/>
      <c r="G4486" s="10"/>
    </row>
    <row r="4487" spans="1:7" x14ac:dyDescent="0.25">
      <c r="A4487" s="10"/>
      <c r="B4487" s="10"/>
      <c r="C4487" s="10"/>
      <c r="D4487" s="12"/>
      <c r="E4487" s="10"/>
      <c r="F4487" s="10"/>
      <c r="G4487" s="10"/>
    </row>
    <row r="4488" spans="1:7" x14ac:dyDescent="0.25">
      <c r="A4488" s="10"/>
      <c r="B4488" s="10"/>
      <c r="C4488" s="10"/>
      <c r="D4488" s="12"/>
      <c r="E4488" s="10"/>
      <c r="F4488" s="10"/>
      <c r="G4488" s="10"/>
    </row>
    <row r="4489" spans="1:7" x14ac:dyDescent="0.25">
      <c r="A4489" s="10"/>
      <c r="B4489" s="10"/>
      <c r="C4489" s="10"/>
      <c r="D4489" s="12"/>
      <c r="E4489" s="10"/>
      <c r="F4489" s="10"/>
      <c r="G4489" s="10"/>
    </row>
    <row r="4490" spans="1:7" x14ac:dyDescent="0.25">
      <c r="A4490" s="10"/>
      <c r="B4490" s="10"/>
      <c r="C4490" s="10"/>
      <c r="D4490" s="12"/>
      <c r="E4490" s="10"/>
      <c r="F4490" s="10"/>
      <c r="G4490" s="10"/>
    </row>
    <row r="4491" spans="1:7" x14ac:dyDescent="0.25">
      <c r="A4491" s="10"/>
      <c r="B4491" s="10"/>
      <c r="C4491" s="10"/>
      <c r="D4491" s="12"/>
      <c r="E4491" s="10"/>
      <c r="F4491" s="10"/>
      <c r="G4491" s="10"/>
    </row>
    <row r="4492" spans="1:7" x14ac:dyDescent="0.25">
      <c r="A4492" s="10"/>
      <c r="B4492" s="10"/>
      <c r="C4492" s="10"/>
      <c r="D4492" s="12"/>
      <c r="E4492" s="10"/>
      <c r="F4492" s="10"/>
      <c r="G4492" s="10"/>
    </row>
    <row r="4493" spans="1:7" x14ac:dyDescent="0.25">
      <c r="A4493" s="10"/>
      <c r="B4493" s="10"/>
      <c r="C4493" s="10"/>
      <c r="D4493" s="12"/>
      <c r="E4493" s="10"/>
      <c r="F4493" s="10"/>
      <c r="G4493" s="10"/>
    </row>
    <row r="4494" spans="1:7" x14ac:dyDescent="0.25">
      <c r="A4494" s="10"/>
      <c r="B4494" s="10"/>
      <c r="C4494" s="10"/>
      <c r="D4494" s="12"/>
      <c r="E4494" s="10"/>
      <c r="F4494" s="10"/>
      <c r="G4494" s="10"/>
    </row>
    <row r="4495" spans="1:7" x14ac:dyDescent="0.25">
      <c r="A4495" s="10"/>
      <c r="B4495" s="10"/>
      <c r="C4495" s="10"/>
      <c r="D4495" s="12"/>
      <c r="E4495" s="10"/>
      <c r="F4495" s="10"/>
      <c r="G4495" s="10"/>
    </row>
    <row r="4496" spans="1:7" x14ac:dyDescent="0.25">
      <c r="A4496" s="10"/>
      <c r="B4496" s="10"/>
      <c r="C4496" s="10"/>
      <c r="D4496" s="12"/>
      <c r="E4496" s="10"/>
      <c r="F4496" s="10"/>
      <c r="G4496" s="10"/>
    </row>
    <row r="4497" spans="1:7" x14ac:dyDescent="0.25">
      <c r="A4497" s="10"/>
      <c r="B4497" s="10"/>
      <c r="C4497" s="10"/>
      <c r="D4497" s="12"/>
      <c r="E4497" s="10"/>
      <c r="F4497" s="10"/>
      <c r="G4497" s="10"/>
    </row>
    <row r="4498" spans="1:7" x14ac:dyDescent="0.25">
      <c r="A4498" s="10"/>
      <c r="B4498" s="10"/>
      <c r="C4498" s="10"/>
      <c r="D4498" s="12"/>
      <c r="E4498" s="10"/>
      <c r="F4498" s="10"/>
      <c r="G4498" s="10"/>
    </row>
    <row r="4499" spans="1:7" x14ac:dyDescent="0.25">
      <c r="A4499" s="10"/>
      <c r="B4499" s="10"/>
      <c r="C4499" s="10"/>
      <c r="D4499" s="12"/>
      <c r="E4499" s="10"/>
      <c r="F4499" s="10"/>
      <c r="G4499" s="10"/>
    </row>
    <row r="4500" spans="1:7" x14ac:dyDescent="0.25">
      <c r="A4500" s="10"/>
      <c r="B4500" s="10"/>
      <c r="C4500" s="10"/>
      <c r="D4500" s="12"/>
      <c r="E4500" s="10"/>
      <c r="F4500" s="10"/>
      <c r="G4500" s="10"/>
    </row>
    <row r="4501" spans="1:7" x14ac:dyDescent="0.25">
      <c r="A4501" s="10"/>
      <c r="B4501" s="10"/>
      <c r="C4501" s="10"/>
      <c r="D4501" s="12"/>
      <c r="E4501" s="10"/>
      <c r="F4501" s="10"/>
      <c r="G4501" s="10"/>
    </row>
    <row r="4502" spans="1:7" x14ac:dyDescent="0.25">
      <c r="A4502" s="10"/>
      <c r="B4502" s="10"/>
      <c r="C4502" s="10"/>
      <c r="D4502" s="12"/>
      <c r="E4502" s="10"/>
      <c r="F4502" s="10"/>
      <c r="G4502" s="10"/>
    </row>
    <row r="4503" spans="1:7" x14ac:dyDescent="0.25">
      <c r="A4503" s="10"/>
      <c r="B4503" s="10"/>
      <c r="C4503" s="10"/>
      <c r="D4503" s="12"/>
      <c r="E4503" s="10"/>
      <c r="F4503" s="10"/>
      <c r="G4503" s="10"/>
    </row>
    <row r="4504" spans="1:7" x14ac:dyDescent="0.25">
      <c r="A4504" s="10"/>
      <c r="B4504" s="10"/>
      <c r="C4504" s="10"/>
      <c r="D4504" s="12"/>
      <c r="E4504" s="10"/>
      <c r="F4504" s="10"/>
      <c r="G4504" s="10"/>
    </row>
    <row r="4505" spans="1:7" x14ac:dyDescent="0.25">
      <c r="A4505" s="10"/>
      <c r="B4505" s="10"/>
      <c r="C4505" s="10"/>
      <c r="D4505" s="12"/>
      <c r="E4505" s="10"/>
      <c r="F4505" s="10"/>
      <c r="G4505" s="10"/>
    </row>
    <row r="4506" spans="1:7" x14ac:dyDescent="0.25">
      <c r="A4506" s="10"/>
      <c r="B4506" s="10"/>
      <c r="C4506" s="10"/>
      <c r="D4506" s="12"/>
      <c r="E4506" s="10"/>
      <c r="F4506" s="10"/>
      <c r="G4506" s="10"/>
    </row>
    <row r="4507" spans="1:7" x14ac:dyDescent="0.25">
      <c r="A4507" s="10"/>
      <c r="B4507" s="10"/>
      <c r="C4507" s="10"/>
      <c r="D4507" s="12"/>
      <c r="E4507" s="10"/>
      <c r="F4507" s="10"/>
      <c r="G4507" s="10"/>
    </row>
    <row r="4508" spans="1:7" x14ac:dyDescent="0.25">
      <c r="A4508" s="10"/>
      <c r="B4508" s="10"/>
      <c r="C4508" s="10"/>
      <c r="D4508" s="12"/>
      <c r="E4508" s="10"/>
      <c r="F4508" s="10"/>
      <c r="G4508" s="10"/>
    </row>
    <row r="4509" spans="1:7" x14ac:dyDescent="0.25">
      <c r="A4509" s="10"/>
      <c r="B4509" s="10"/>
      <c r="C4509" s="10"/>
      <c r="D4509" s="12"/>
      <c r="E4509" s="10"/>
      <c r="F4509" s="10"/>
      <c r="G4509" s="10"/>
    </row>
    <row r="4510" spans="1:7" x14ac:dyDescent="0.25">
      <c r="A4510" s="10"/>
      <c r="B4510" s="10"/>
      <c r="C4510" s="10"/>
      <c r="D4510" s="12"/>
      <c r="E4510" s="10"/>
      <c r="F4510" s="10"/>
      <c r="G4510" s="10"/>
    </row>
    <row r="4511" spans="1:7" x14ac:dyDescent="0.25">
      <c r="A4511" s="10"/>
      <c r="B4511" s="10"/>
      <c r="C4511" s="10"/>
      <c r="D4511" s="12"/>
      <c r="E4511" s="10"/>
      <c r="F4511" s="10"/>
      <c r="G4511" s="10"/>
    </row>
    <row r="4512" spans="1:7" x14ac:dyDescent="0.25">
      <c r="A4512" s="10"/>
      <c r="B4512" s="10"/>
      <c r="C4512" s="10"/>
      <c r="D4512" s="12"/>
      <c r="E4512" s="10"/>
      <c r="F4512" s="10"/>
      <c r="G4512" s="10"/>
    </row>
    <row r="4513" spans="1:7" x14ac:dyDescent="0.25">
      <c r="A4513" s="10"/>
      <c r="B4513" s="10"/>
      <c r="C4513" s="10"/>
      <c r="D4513" s="12"/>
      <c r="E4513" s="10"/>
      <c r="F4513" s="10"/>
      <c r="G4513" s="10"/>
    </row>
    <row r="4514" spans="1:7" x14ac:dyDescent="0.25">
      <c r="A4514" s="10"/>
      <c r="B4514" s="10"/>
      <c r="C4514" s="10"/>
      <c r="D4514" s="12"/>
      <c r="E4514" s="10"/>
      <c r="F4514" s="10"/>
      <c r="G4514" s="10"/>
    </row>
    <row r="4515" spans="1:7" x14ac:dyDescent="0.25">
      <c r="A4515" s="10"/>
      <c r="B4515" s="10"/>
      <c r="C4515" s="10"/>
      <c r="D4515" s="12"/>
      <c r="E4515" s="10"/>
      <c r="F4515" s="10"/>
      <c r="G4515" s="10"/>
    </row>
    <row r="4516" spans="1:7" x14ac:dyDescent="0.25">
      <c r="A4516" s="10"/>
      <c r="B4516" s="10"/>
      <c r="C4516" s="10"/>
      <c r="D4516" s="12"/>
      <c r="E4516" s="10"/>
      <c r="F4516" s="10"/>
      <c r="G4516" s="10"/>
    </row>
    <row r="4517" spans="1:7" x14ac:dyDescent="0.25">
      <c r="A4517" s="10"/>
      <c r="B4517" s="10"/>
      <c r="C4517" s="10"/>
      <c r="D4517" s="12"/>
      <c r="E4517" s="10"/>
      <c r="F4517" s="10"/>
      <c r="G4517" s="10"/>
    </row>
    <row r="4518" spans="1:7" x14ac:dyDescent="0.25">
      <c r="A4518" s="10"/>
      <c r="B4518" s="10"/>
      <c r="C4518" s="10"/>
      <c r="D4518" s="12"/>
      <c r="E4518" s="10"/>
      <c r="F4518" s="10"/>
      <c r="G4518" s="10"/>
    </row>
    <row r="4519" spans="1:7" x14ac:dyDescent="0.25">
      <c r="A4519" s="10"/>
      <c r="B4519" s="10"/>
      <c r="C4519" s="10"/>
      <c r="D4519" s="12"/>
      <c r="E4519" s="10"/>
      <c r="F4519" s="10"/>
      <c r="G4519" s="10"/>
    </row>
    <row r="4520" spans="1:7" x14ac:dyDescent="0.25">
      <c r="A4520" s="10"/>
      <c r="B4520" s="10"/>
      <c r="C4520" s="10"/>
      <c r="D4520" s="12"/>
      <c r="E4520" s="10"/>
      <c r="F4520" s="10"/>
      <c r="G4520" s="10"/>
    </row>
    <row r="4521" spans="1:7" x14ac:dyDescent="0.25">
      <c r="A4521" s="10"/>
      <c r="B4521" s="10"/>
      <c r="C4521" s="10"/>
      <c r="D4521" s="12"/>
      <c r="E4521" s="10"/>
      <c r="F4521" s="10"/>
      <c r="G4521" s="10"/>
    </row>
    <row r="4522" spans="1:7" x14ac:dyDescent="0.25">
      <c r="A4522" s="10"/>
      <c r="B4522" s="10"/>
      <c r="C4522" s="10"/>
      <c r="D4522" s="12"/>
      <c r="E4522" s="10"/>
      <c r="F4522" s="10"/>
      <c r="G4522" s="10"/>
    </row>
    <row r="4523" spans="1:7" x14ac:dyDescent="0.25">
      <c r="A4523" s="10"/>
      <c r="B4523" s="10"/>
      <c r="C4523" s="10"/>
      <c r="D4523" s="12"/>
      <c r="E4523" s="10"/>
      <c r="F4523" s="10"/>
      <c r="G4523" s="10"/>
    </row>
    <row r="4524" spans="1:7" x14ac:dyDescent="0.25">
      <c r="A4524" s="10"/>
      <c r="B4524" s="10"/>
      <c r="C4524" s="10"/>
      <c r="D4524" s="12"/>
      <c r="E4524" s="10"/>
      <c r="F4524" s="10"/>
      <c r="G4524" s="10"/>
    </row>
    <row r="4525" spans="1:7" x14ac:dyDescent="0.25">
      <c r="A4525" s="10"/>
      <c r="B4525" s="10"/>
      <c r="C4525" s="10"/>
      <c r="D4525" s="12"/>
      <c r="E4525" s="10"/>
      <c r="F4525" s="10"/>
      <c r="G4525" s="10"/>
    </row>
    <row r="4526" spans="1:7" x14ac:dyDescent="0.25">
      <c r="A4526" s="10"/>
      <c r="B4526" s="10"/>
      <c r="C4526" s="10"/>
      <c r="D4526" s="12"/>
      <c r="E4526" s="10"/>
      <c r="F4526" s="10"/>
      <c r="G4526" s="10"/>
    </row>
    <row r="4527" spans="1:7" x14ac:dyDescent="0.25">
      <c r="A4527" s="10"/>
      <c r="B4527" s="10"/>
      <c r="C4527" s="10"/>
      <c r="D4527" s="12"/>
      <c r="E4527" s="10"/>
      <c r="F4527" s="10"/>
      <c r="G4527" s="10"/>
    </row>
    <row r="4528" spans="1:7" x14ac:dyDescent="0.25">
      <c r="A4528" s="10"/>
      <c r="B4528" s="10"/>
      <c r="C4528" s="10"/>
      <c r="D4528" s="12"/>
      <c r="E4528" s="10"/>
      <c r="F4528" s="10"/>
      <c r="G4528" s="10"/>
    </row>
    <row r="4529" spans="1:7" x14ac:dyDescent="0.25">
      <c r="A4529" s="10"/>
      <c r="B4529" s="10"/>
      <c r="C4529" s="10"/>
      <c r="D4529" s="12"/>
      <c r="E4529" s="10"/>
      <c r="F4529" s="10"/>
      <c r="G4529" s="10"/>
    </row>
    <row r="4530" spans="1:7" x14ac:dyDescent="0.25">
      <c r="A4530" s="10"/>
      <c r="B4530" s="10"/>
      <c r="C4530" s="10"/>
      <c r="D4530" s="12"/>
      <c r="E4530" s="10"/>
      <c r="F4530" s="10"/>
      <c r="G4530" s="10"/>
    </row>
    <row r="4531" spans="1:7" x14ac:dyDescent="0.25">
      <c r="A4531" s="10"/>
      <c r="B4531" s="10"/>
      <c r="C4531" s="10"/>
      <c r="D4531" s="12"/>
      <c r="E4531" s="10"/>
      <c r="F4531" s="10"/>
      <c r="G4531" s="10"/>
    </row>
    <row r="4532" spans="1:7" x14ac:dyDescent="0.25">
      <c r="A4532" s="10"/>
      <c r="B4532" s="10"/>
      <c r="C4532" s="10"/>
      <c r="D4532" s="12"/>
      <c r="E4532" s="10"/>
      <c r="F4532" s="10"/>
      <c r="G4532" s="10"/>
    </row>
    <row r="4533" spans="1:7" x14ac:dyDescent="0.25">
      <c r="A4533" s="10"/>
      <c r="B4533" s="10"/>
      <c r="C4533" s="10"/>
      <c r="D4533" s="12"/>
      <c r="E4533" s="10"/>
      <c r="F4533" s="10"/>
      <c r="G4533" s="10"/>
    </row>
    <row r="4534" spans="1:7" x14ac:dyDescent="0.25">
      <c r="A4534" s="10"/>
      <c r="B4534" s="10"/>
      <c r="C4534" s="10"/>
      <c r="D4534" s="12"/>
      <c r="E4534" s="10"/>
      <c r="F4534" s="10"/>
      <c r="G4534" s="10"/>
    </row>
    <row r="4535" spans="1:7" x14ac:dyDescent="0.25">
      <c r="A4535" s="10"/>
      <c r="B4535" s="10"/>
      <c r="C4535" s="10"/>
      <c r="D4535" s="12"/>
      <c r="E4535" s="10"/>
      <c r="F4535" s="10"/>
      <c r="G4535" s="10"/>
    </row>
    <row r="4536" spans="1:7" x14ac:dyDescent="0.25">
      <c r="A4536" s="10"/>
      <c r="B4536" s="10"/>
      <c r="C4536" s="10"/>
      <c r="D4536" s="12"/>
      <c r="E4536" s="10"/>
      <c r="F4536" s="10"/>
      <c r="G4536" s="10"/>
    </row>
    <row r="4537" spans="1:7" x14ac:dyDescent="0.25">
      <c r="A4537" s="10"/>
      <c r="B4537" s="10"/>
      <c r="C4537" s="10"/>
      <c r="D4537" s="12"/>
      <c r="E4537" s="10"/>
      <c r="F4537" s="10"/>
      <c r="G4537" s="10"/>
    </row>
    <row r="4538" spans="1:7" x14ac:dyDescent="0.25">
      <c r="A4538" s="10"/>
      <c r="B4538" s="10"/>
      <c r="C4538" s="10"/>
      <c r="D4538" s="12"/>
      <c r="E4538" s="10"/>
      <c r="F4538" s="10"/>
      <c r="G4538" s="10"/>
    </row>
    <row r="4539" spans="1:7" x14ac:dyDescent="0.25">
      <c r="A4539" s="10"/>
      <c r="B4539" s="10"/>
      <c r="C4539" s="10"/>
      <c r="D4539" s="12"/>
      <c r="E4539" s="10"/>
      <c r="F4539" s="10"/>
      <c r="G4539" s="10"/>
    </row>
    <row r="4540" spans="1:7" x14ac:dyDescent="0.25">
      <c r="A4540" s="10"/>
      <c r="B4540" s="10"/>
      <c r="C4540" s="10"/>
      <c r="D4540" s="12"/>
      <c r="E4540" s="10"/>
      <c r="F4540" s="10"/>
      <c r="G4540" s="10"/>
    </row>
    <row r="4541" spans="1:7" x14ac:dyDescent="0.25">
      <c r="A4541" s="10"/>
      <c r="B4541" s="10"/>
      <c r="C4541" s="10"/>
      <c r="D4541" s="12"/>
      <c r="E4541" s="10"/>
      <c r="F4541" s="10"/>
      <c r="G4541" s="10"/>
    </row>
    <row r="4542" spans="1:7" x14ac:dyDescent="0.25">
      <c r="A4542" s="10"/>
      <c r="B4542" s="10"/>
      <c r="C4542" s="10"/>
      <c r="D4542" s="12"/>
      <c r="E4542" s="10"/>
      <c r="F4542" s="10"/>
      <c r="G4542" s="10"/>
    </row>
    <row r="4543" spans="1:7" x14ac:dyDescent="0.25">
      <c r="A4543" s="10"/>
      <c r="B4543" s="10"/>
      <c r="C4543" s="10"/>
      <c r="D4543" s="12"/>
      <c r="E4543" s="10"/>
      <c r="F4543" s="10"/>
      <c r="G4543" s="10"/>
    </row>
    <row r="4544" spans="1:7" x14ac:dyDescent="0.25">
      <c r="A4544" s="10"/>
      <c r="B4544" s="10"/>
      <c r="C4544" s="10"/>
      <c r="D4544" s="12"/>
      <c r="E4544" s="10"/>
      <c r="F4544" s="10"/>
      <c r="G4544" s="10"/>
    </row>
    <row r="4545" spans="1:7" x14ac:dyDescent="0.25">
      <c r="A4545" s="10"/>
      <c r="B4545" s="10"/>
      <c r="C4545" s="10"/>
      <c r="D4545" s="12"/>
      <c r="E4545" s="10"/>
      <c r="F4545" s="10"/>
      <c r="G4545" s="10"/>
    </row>
    <row r="4546" spans="1:7" x14ac:dyDescent="0.25">
      <c r="A4546" s="10"/>
      <c r="B4546" s="10"/>
      <c r="C4546" s="10"/>
      <c r="D4546" s="12"/>
      <c r="E4546" s="10"/>
      <c r="F4546" s="10"/>
      <c r="G4546" s="10"/>
    </row>
    <row r="4547" spans="1:7" x14ac:dyDescent="0.25">
      <c r="A4547" s="10"/>
      <c r="B4547" s="10"/>
      <c r="C4547" s="10"/>
      <c r="D4547" s="12"/>
      <c r="E4547" s="10"/>
      <c r="F4547" s="10"/>
      <c r="G4547" s="10"/>
    </row>
    <row r="4548" spans="1:7" x14ac:dyDescent="0.25">
      <c r="A4548" s="10"/>
      <c r="B4548" s="10"/>
      <c r="C4548" s="10"/>
      <c r="D4548" s="12"/>
      <c r="E4548" s="10"/>
      <c r="F4548" s="10"/>
      <c r="G4548" s="10"/>
    </row>
    <row r="4549" spans="1:7" x14ac:dyDescent="0.25">
      <c r="A4549" s="10"/>
      <c r="B4549" s="10"/>
      <c r="C4549" s="10"/>
      <c r="D4549" s="12"/>
      <c r="E4549" s="10"/>
      <c r="F4549" s="10"/>
      <c r="G4549" s="10"/>
    </row>
    <row r="4550" spans="1:7" x14ac:dyDescent="0.25">
      <c r="A4550" s="10"/>
      <c r="B4550" s="10"/>
      <c r="C4550" s="10"/>
      <c r="D4550" s="12"/>
      <c r="E4550" s="10"/>
      <c r="F4550" s="10"/>
      <c r="G4550" s="10"/>
    </row>
    <row r="4551" spans="1:7" x14ac:dyDescent="0.25">
      <c r="A4551" s="10"/>
      <c r="B4551" s="10"/>
      <c r="C4551" s="10"/>
      <c r="D4551" s="12"/>
      <c r="E4551" s="10"/>
      <c r="F4551" s="10"/>
      <c r="G4551" s="10"/>
    </row>
    <row r="4552" spans="1:7" x14ac:dyDescent="0.25">
      <c r="A4552" s="10"/>
      <c r="B4552" s="10"/>
      <c r="C4552" s="10"/>
      <c r="D4552" s="12"/>
      <c r="E4552" s="10"/>
      <c r="F4552" s="10"/>
      <c r="G4552" s="10"/>
    </row>
    <row r="4553" spans="1:7" x14ac:dyDescent="0.25">
      <c r="A4553" s="10"/>
      <c r="B4553" s="10"/>
      <c r="C4553" s="10"/>
      <c r="D4553" s="12"/>
      <c r="E4553" s="10"/>
      <c r="F4553" s="10"/>
      <c r="G4553" s="10"/>
    </row>
    <row r="4554" spans="1:7" x14ac:dyDescent="0.25">
      <c r="A4554" s="10"/>
      <c r="B4554" s="10"/>
      <c r="C4554" s="10"/>
      <c r="D4554" s="12"/>
      <c r="E4554" s="10"/>
      <c r="F4554" s="10"/>
      <c r="G4554" s="10"/>
    </row>
    <row r="4555" spans="1:7" x14ac:dyDescent="0.25">
      <c r="A4555" s="10"/>
      <c r="B4555" s="10"/>
      <c r="C4555" s="10"/>
      <c r="D4555" s="12"/>
      <c r="E4555" s="10"/>
      <c r="F4555" s="10"/>
      <c r="G4555" s="10"/>
    </row>
    <row r="4556" spans="1:7" x14ac:dyDescent="0.25">
      <c r="A4556" s="10"/>
      <c r="B4556" s="10"/>
      <c r="C4556" s="10"/>
      <c r="D4556" s="12"/>
      <c r="E4556" s="10"/>
      <c r="F4556" s="10"/>
      <c r="G4556" s="10"/>
    </row>
    <row r="4557" spans="1:7" x14ac:dyDescent="0.25">
      <c r="A4557" s="10"/>
      <c r="B4557" s="10"/>
      <c r="C4557" s="10"/>
      <c r="D4557" s="12"/>
      <c r="E4557" s="10"/>
      <c r="F4557" s="10"/>
      <c r="G4557" s="10"/>
    </row>
    <row r="4558" spans="1:7" x14ac:dyDescent="0.25">
      <c r="A4558" s="10"/>
      <c r="B4558" s="10"/>
      <c r="C4558" s="10"/>
      <c r="D4558" s="12"/>
      <c r="E4558" s="10"/>
      <c r="F4558" s="10"/>
      <c r="G4558" s="10"/>
    </row>
    <row r="4559" spans="1:7" x14ac:dyDescent="0.25">
      <c r="A4559" s="10"/>
      <c r="B4559" s="10"/>
      <c r="C4559" s="10"/>
      <c r="D4559" s="12"/>
      <c r="E4559" s="10"/>
      <c r="F4559" s="10"/>
      <c r="G4559" s="10"/>
    </row>
    <row r="4560" spans="1:7" x14ac:dyDescent="0.25">
      <c r="A4560" s="10"/>
      <c r="B4560" s="10"/>
      <c r="C4560" s="10"/>
      <c r="D4560" s="12"/>
      <c r="E4560" s="10"/>
      <c r="F4560" s="10"/>
      <c r="G4560" s="10"/>
    </row>
    <row r="4561" spans="1:7" x14ac:dyDescent="0.25">
      <c r="A4561" s="10"/>
      <c r="B4561" s="10"/>
      <c r="C4561" s="10"/>
      <c r="D4561" s="12"/>
      <c r="E4561" s="10"/>
      <c r="F4561" s="10"/>
      <c r="G4561" s="10"/>
    </row>
    <row r="4562" spans="1:7" x14ac:dyDescent="0.25">
      <c r="A4562" s="10"/>
      <c r="B4562" s="10"/>
      <c r="C4562" s="10"/>
      <c r="D4562" s="12"/>
      <c r="E4562" s="10"/>
      <c r="F4562" s="10"/>
      <c r="G4562" s="10"/>
    </row>
    <row r="4563" spans="1:7" x14ac:dyDescent="0.25">
      <c r="A4563" s="10"/>
      <c r="B4563" s="10"/>
      <c r="C4563" s="10"/>
      <c r="D4563" s="12"/>
      <c r="E4563" s="10"/>
      <c r="F4563" s="10"/>
      <c r="G4563" s="10"/>
    </row>
    <row r="4564" spans="1:7" x14ac:dyDescent="0.25">
      <c r="A4564" s="10"/>
      <c r="B4564" s="10"/>
      <c r="C4564" s="10"/>
      <c r="D4564" s="12"/>
      <c r="E4564" s="10"/>
      <c r="F4564" s="10"/>
      <c r="G4564" s="10"/>
    </row>
    <row r="4565" spans="1:7" x14ac:dyDescent="0.25">
      <c r="A4565" s="10"/>
      <c r="B4565" s="10"/>
      <c r="C4565" s="10"/>
      <c r="D4565" s="12"/>
      <c r="E4565" s="10"/>
      <c r="F4565" s="10"/>
      <c r="G4565" s="10"/>
    </row>
    <row r="4566" spans="1:7" x14ac:dyDescent="0.25">
      <c r="A4566" s="10"/>
      <c r="B4566" s="10"/>
      <c r="C4566" s="10"/>
      <c r="D4566" s="12"/>
      <c r="E4566" s="10"/>
      <c r="F4566" s="10"/>
      <c r="G4566" s="10"/>
    </row>
    <row r="4567" spans="1:7" x14ac:dyDescent="0.25">
      <c r="A4567" s="10"/>
      <c r="B4567" s="10"/>
      <c r="C4567" s="10"/>
      <c r="D4567" s="12"/>
      <c r="E4567" s="10"/>
      <c r="F4567" s="10"/>
      <c r="G4567" s="10"/>
    </row>
    <row r="4568" spans="1:7" x14ac:dyDescent="0.25">
      <c r="A4568" s="10"/>
      <c r="B4568" s="10"/>
      <c r="C4568" s="10"/>
      <c r="D4568" s="12"/>
      <c r="E4568" s="10"/>
      <c r="F4568" s="10"/>
      <c r="G4568" s="10"/>
    </row>
    <row r="4569" spans="1:7" x14ac:dyDescent="0.25">
      <c r="A4569" s="10"/>
      <c r="B4569" s="10"/>
      <c r="C4569" s="10"/>
      <c r="D4569" s="12"/>
      <c r="E4569" s="10"/>
      <c r="F4569" s="10"/>
      <c r="G4569" s="10"/>
    </row>
    <row r="4570" spans="1:7" x14ac:dyDescent="0.25">
      <c r="A4570" s="10"/>
      <c r="B4570" s="10"/>
      <c r="C4570" s="10"/>
      <c r="D4570" s="12"/>
      <c r="E4570" s="10"/>
      <c r="F4570" s="10"/>
      <c r="G4570" s="10"/>
    </row>
    <row r="4571" spans="1:7" x14ac:dyDescent="0.25">
      <c r="A4571" s="10"/>
      <c r="B4571" s="10"/>
      <c r="C4571" s="10"/>
      <c r="D4571" s="12"/>
      <c r="E4571" s="10"/>
      <c r="F4571" s="10"/>
      <c r="G4571" s="10"/>
    </row>
    <row r="4572" spans="1:7" x14ac:dyDescent="0.25">
      <c r="A4572" s="10"/>
      <c r="B4572" s="10"/>
      <c r="C4572" s="10"/>
      <c r="D4572" s="12"/>
      <c r="E4572" s="10"/>
      <c r="F4572" s="10"/>
      <c r="G4572" s="10"/>
    </row>
    <row r="4573" spans="1:7" x14ac:dyDescent="0.25">
      <c r="A4573" s="10"/>
      <c r="B4573" s="10"/>
      <c r="C4573" s="10"/>
      <c r="D4573" s="12"/>
      <c r="E4573" s="10"/>
      <c r="F4573" s="10"/>
      <c r="G4573" s="10"/>
    </row>
    <row r="4574" spans="1:7" x14ac:dyDescent="0.25">
      <c r="A4574" s="10"/>
      <c r="B4574" s="10"/>
      <c r="C4574" s="10"/>
      <c r="D4574" s="12"/>
      <c r="E4574" s="10"/>
      <c r="F4574" s="10"/>
      <c r="G4574" s="10"/>
    </row>
    <row r="4575" spans="1:7" x14ac:dyDescent="0.25">
      <c r="A4575" s="10"/>
      <c r="B4575" s="10"/>
      <c r="C4575" s="10"/>
      <c r="D4575" s="12"/>
      <c r="E4575" s="10"/>
      <c r="F4575" s="10"/>
      <c r="G4575" s="10"/>
    </row>
    <row r="4576" spans="1:7" x14ac:dyDescent="0.25">
      <c r="A4576" s="10"/>
      <c r="B4576" s="10"/>
      <c r="C4576" s="10"/>
      <c r="D4576" s="12"/>
      <c r="E4576" s="10"/>
      <c r="F4576" s="10"/>
      <c r="G4576" s="10"/>
    </row>
    <row r="4577" spans="1:7" x14ac:dyDescent="0.25">
      <c r="A4577" s="10"/>
      <c r="B4577" s="10"/>
      <c r="C4577" s="10"/>
      <c r="D4577" s="12"/>
      <c r="E4577" s="10"/>
      <c r="F4577" s="10"/>
      <c r="G4577" s="10"/>
    </row>
    <row r="4578" spans="1:7" x14ac:dyDescent="0.25">
      <c r="A4578" s="10"/>
      <c r="B4578" s="10"/>
      <c r="C4578" s="10"/>
      <c r="D4578" s="12"/>
      <c r="E4578" s="10"/>
      <c r="F4578" s="10"/>
      <c r="G4578" s="10"/>
    </row>
    <row r="4579" spans="1:7" x14ac:dyDescent="0.25">
      <c r="A4579" s="10"/>
      <c r="B4579" s="10"/>
      <c r="C4579" s="10"/>
      <c r="D4579" s="12"/>
      <c r="E4579" s="10"/>
      <c r="F4579" s="10"/>
      <c r="G4579" s="10"/>
    </row>
    <row r="4580" spans="1:7" x14ac:dyDescent="0.25">
      <c r="A4580" s="10"/>
      <c r="B4580" s="10"/>
      <c r="C4580" s="10"/>
      <c r="D4580" s="12"/>
      <c r="E4580" s="10"/>
      <c r="F4580" s="10"/>
      <c r="G4580" s="10"/>
    </row>
    <row r="4581" spans="1:7" x14ac:dyDescent="0.25">
      <c r="A4581" s="10"/>
      <c r="B4581" s="10"/>
      <c r="C4581" s="10"/>
      <c r="D4581" s="12"/>
      <c r="E4581" s="10"/>
      <c r="F4581" s="10"/>
      <c r="G4581" s="10"/>
    </row>
    <row r="4582" spans="1:7" x14ac:dyDescent="0.25">
      <c r="A4582" s="10"/>
      <c r="B4582" s="10"/>
      <c r="C4582" s="10"/>
      <c r="D4582" s="12"/>
      <c r="E4582" s="10"/>
      <c r="F4582" s="10"/>
      <c r="G4582" s="10"/>
    </row>
    <row r="4583" spans="1:7" x14ac:dyDescent="0.25">
      <c r="A4583" s="10"/>
      <c r="B4583" s="10"/>
      <c r="C4583" s="10"/>
      <c r="D4583" s="12"/>
      <c r="E4583" s="10"/>
      <c r="F4583" s="10"/>
      <c r="G4583" s="10"/>
    </row>
    <row r="4584" spans="1:7" x14ac:dyDescent="0.25">
      <c r="A4584" s="10"/>
      <c r="B4584" s="10"/>
      <c r="C4584" s="10"/>
      <c r="D4584" s="12"/>
      <c r="E4584" s="10"/>
      <c r="F4584" s="10"/>
      <c r="G4584" s="10"/>
    </row>
    <row r="4585" spans="1:7" x14ac:dyDescent="0.25">
      <c r="A4585" s="10"/>
      <c r="B4585" s="10"/>
      <c r="C4585" s="10"/>
      <c r="D4585" s="12"/>
      <c r="E4585" s="10"/>
      <c r="F4585" s="10"/>
      <c r="G4585" s="10"/>
    </row>
    <row r="4586" spans="1:7" x14ac:dyDescent="0.25">
      <c r="A4586" s="10"/>
      <c r="B4586" s="10"/>
      <c r="C4586" s="10"/>
      <c r="D4586" s="12"/>
      <c r="E4586" s="10"/>
      <c r="F4586" s="10"/>
      <c r="G4586" s="10"/>
    </row>
    <row r="4587" spans="1:7" x14ac:dyDescent="0.25">
      <c r="A4587" s="10"/>
      <c r="B4587" s="10"/>
      <c r="C4587" s="10"/>
      <c r="D4587" s="12"/>
      <c r="E4587" s="10"/>
      <c r="F4587" s="10"/>
      <c r="G4587" s="10"/>
    </row>
    <row r="4588" spans="1:7" x14ac:dyDescent="0.25">
      <c r="A4588" s="10"/>
      <c r="B4588" s="10"/>
      <c r="C4588" s="10"/>
      <c r="D4588" s="12"/>
      <c r="E4588" s="10"/>
      <c r="F4588" s="10"/>
      <c r="G4588" s="10"/>
    </row>
    <row r="4589" spans="1:7" x14ac:dyDescent="0.25">
      <c r="A4589" s="10"/>
      <c r="B4589" s="10"/>
      <c r="C4589" s="10"/>
      <c r="D4589" s="12"/>
      <c r="E4589" s="10"/>
      <c r="F4589" s="10"/>
      <c r="G4589" s="10"/>
    </row>
    <row r="4590" spans="1:7" x14ac:dyDescent="0.25">
      <c r="A4590" s="10"/>
      <c r="B4590" s="10"/>
      <c r="C4590" s="10"/>
      <c r="D4590" s="12"/>
      <c r="E4590" s="10"/>
      <c r="F4590" s="10"/>
      <c r="G4590" s="10"/>
    </row>
    <row r="4591" spans="1:7" x14ac:dyDescent="0.25">
      <c r="A4591" s="10"/>
      <c r="B4591" s="10"/>
      <c r="C4591" s="10"/>
      <c r="D4591" s="12"/>
      <c r="E4591" s="10"/>
      <c r="F4591" s="10"/>
      <c r="G4591" s="10"/>
    </row>
    <row r="4592" spans="1:7" x14ac:dyDescent="0.25">
      <c r="A4592" s="10"/>
      <c r="B4592" s="10"/>
      <c r="C4592" s="10"/>
      <c r="D4592" s="12"/>
      <c r="E4592" s="10"/>
      <c r="F4592" s="10"/>
      <c r="G4592" s="10"/>
    </row>
    <row r="4593" spans="1:7" x14ac:dyDescent="0.25">
      <c r="A4593" s="10"/>
      <c r="B4593" s="10"/>
      <c r="C4593" s="10"/>
      <c r="D4593" s="12"/>
      <c r="E4593" s="10"/>
      <c r="F4593" s="10"/>
      <c r="G4593" s="10"/>
    </row>
    <row r="4594" spans="1:7" x14ac:dyDescent="0.25">
      <c r="A4594" s="10"/>
      <c r="B4594" s="10"/>
      <c r="C4594" s="10"/>
      <c r="D4594" s="12"/>
      <c r="E4594" s="10"/>
      <c r="F4594" s="10"/>
      <c r="G4594" s="10"/>
    </row>
    <row r="4595" spans="1:7" x14ac:dyDescent="0.25">
      <c r="A4595" s="10"/>
      <c r="B4595" s="10"/>
      <c r="C4595" s="10"/>
      <c r="D4595" s="12"/>
      <c r="E4595" s="10"/>
      <c r="F4595" s="10"/>
      <c r="G4595" s="10"/>
    </row>
    <row r="4596" spans="1:7" x14ac:dyDescent="0.25">
      <c r="A4596" s="10"/>
      <c r="B4596" s="10"/>
      <c r="C4596" s="10"/>
      <c r="D4596" s="12"/>
      <c r="E4596" s="10"/>
      <c r="F4596" s="10"/>
      <c r="G4596" s="10"/>
    </row>
    <row r="4597" spans="1:7" x14ac:dyDescent="0.25">
      <c r="A4597" s="10"/>
      <c r="B4597" s="10"/>
      <c r="C4597" s="10"/>
      <c r="D4597" s="12"/>
      <c r="E4597" s="10"/>
      <c r="F4597" s="10"/>
      <c r="G4597" s="10"/>
    </row>
    <row r="4598" spans="1:7" x14ac:dyDescent="0.25">
      <c r="A4598" s="10"/>
      <c r="B4598" s="10"/>
      <c r="C4598" s="10"/>
      <c r="D4598" s="12"/>
      <c r="E4598" s="10"/>
      <c r="F4598" s="10"/>
      <c r="G4598" s="10"/>
    </row>
    <row r="4599" spans="1:7" x14ac:dyDescent="0.25">
      <c r="A4599" s="10"/>
      <c r="B4599" s="10"/>
      <c r="C4599" s="10"/>
      <c r="D4599" s="12"/>
      <c r="E4599" s="10"/>
      <c r="F4599" s="10"/>
      <c r="G4599" s="10"/>
    </row>
    <row r="4600" spans="1:7" x14ac:dyDescent="0.25">
      <c r="A4600" s="10"/>
      <c r="B4600" s="10"/>
      <c r="C4600" s="10"/>
      <c r="D4600" s="12"/>
      <c r="E4600" s="10"/>
      <c r="F4600" s="10"/>
      <c r="G4600" s="10"/>
    </row>
    <row r="4601" spans="1:7" x14ac:dyDescent="0.25">
      <c r="A4601" s="10"/>
      <c r="B4601" s="10"/>
      <c r="C4601" s="10"/>
      <c r="D4601" s="12"/>
      <c r="E4601" s="10"/>
      <c r="F4601" s="10"/>
      <c r="G4601" s="10"/>
    </row>
    <row r="4602" spans="1:7" x14ac:dyDescent="0.25">
      <c r="A4602" s="10"/>
      <c r="B4602" s="10"/>
      <c r="C4602" s="10"/>
      <c r="D4602" s="12"/>
      <c r="E4602" s="10"/>
      <c r="F4602" s="10"/>
      <c r="G4602" s="10"/>
    </row>
    <row r="4603" spans="1:7" x14ac:dyDescent="0.25">
      <c r="A4603" s="10"/>
      <c r="B4603" s="10"/>
      <c r="C4603" s="10"/>
      <c r="D4603" s="12"/>
      <c r="E4603" s="10"/>
      <c r="F4603" s="10"/>
      <c r="G4603" s="10"/>
    </row>
    <row r="4604" spans="1:7" x14ac:dyDescent="0.25">
      <c r="A4604" s="10"/>
      <c r="B4604" s="10"/>
      <c r="C4604" s="10"/>
      <c r="D4604" s="12"/>
      <c r="E4604" s="10"/>
      <c r="F4604" s="10"/>
      <c r="G4604" s="10"/>
    </row>
    <row r="4605" spans="1:7" x14ac:dyDescent="0.25">
      <c r="A4605" s="10"/>
      <c r="B4605" s="10"/>
      <c r="C4605" s="10"/>
      <c r="D4605" s="12"/>
      <c r="E4605" s="10"/>
      <c r="F4605" s="10"/>
      <c r="G4605" s="10"/>
    </row>
    <row r="4606" spans="1:7" x14ac:dyDescent="0.25">
      <c r="A4606" s="10"/>
      <c r="B4606" s="10"/>
      <c r="C4606" s="10"/>
      <c r="D4606" s="12"/>
      <c r="E4606" s="10"/>
      <c r="F4606" s="10"/>
      <c r="G4606" s="10"/>
    </row>
    <row r="4607" spans="1:7" x14ac:dyDescent="0.25">
      <c r="A4607" s="10"/>
      <c r="B4607" s="10"/>
      <c r="C4607" s="10"/>
      <c r="D4607" s="12"/>
      <c r="E4607" s="10"/>
      <c r="F4607" s="10"/>
      <c r="G4607" s="10"/>
    </row>
    <row r="4608" spans="1:7" x14ac:dyDescent="0.25">
      <c r="A4608" s="10"/>
      <c r="B4608" s="10"/>
      <c r="C4608" s="10"/>
      <c r="D4608" s="12"/>
      <c r="E4608" s="10"/>
      <c r="F4608" s="10"/>
      <c r="G4608" s="10"/>
    </row>
    <row r="4609" spans="1:7" x14ac:dyDescent="0.25">
      <c r="A4609" s="10"/>
      <c r="B4609" s="10"/>
      <c r="C4609" s="10"/>
      <c r="D4609" s="12"/>
      <c r="E4609" s="10"/>
      <c r="F4609" s="10"/>
      <c r="G4609" s="10"/>
    </row>
    <row r="4610" spans="1:7" x14ac:dyDescent="0.25">
      <c r="A4610" s="10"/>
      <c r="B4610" s="10"/>
      <c r="C4610" s="10"/>
      <c r="D4610" s="12"/>
      <c r="E4610" s="10"/>
      <c r="F4610" s="10"/>
      <c r="G4610" s="10"/>
    </row>
    <row r="4611" spans="1:7" x14ac:dyDescent="0.25">
      <c r="A4611" s="10"/>
      <c r="B4611" s="10"/>
      <c r="C4611" s="10"/>
      <c r="D4611" s="12"/>
      <c r="E4611" s="10"/>
      <c r="F4611" s="10"/>
      <c r="G4611" s="10"/>
    </row>
    <row r="4612" spans="1:7" x14ac:dyDescent="0.25">
      <c r="A4612" s="10"/>
      <c r="B4612" s="10"/>
      <c r="C4612" s="10"/>
      <c r="D4612" s="12"/>
      <c r="E4612" s="10"/>
      <c r="F4612" s="10"/>
      <c r="G4612" s="10"/>
    </row>
    <row r="4613" spans="1:7" x14ac:dyDescent="0.25">
      <c r="A4613" s="10"/>
      <c r="B4613" s="10"/>
      <c r="C4613" s="10"/>
      <c r="D4613" s="12"/>
      <c r="E4613" s="10"/>
      <c r="F4613" s="10"/>
      <c r="G4613" s="10"/>
    </row>
    <row r="4614" spans="1:7" x14ac:dyDescent="0.25">
      <c r="A4614" s="10"/>
      <c r="B4614" s="10"/>
      <c r="C4614" s="10"/>
      <c r="D4614" s="12"/>
      <c r="E4614" s="10"/>
      <c r="F4614" s="10"/>
      <c r="G4614" s="10"/>
    </row>
    <row r="4615" spans="1:7" x14ac:dyDescent="0.25">
      <c r="A4615" s="10"/>
      <c r="B4615" s="10"/>
      <c r="C4615" s="10"/>
      <c r="D4615" s="12"/>
      <c r="E4615" s="10"/>
      <c r="F4615" s="10"/>
      <c r="G4615" s="10"/>
    </row>
    <row r="4616" spans="1:7" x14ac:dyDescent="0.25">
      <c r="A4616" s="10"/>
      <c r="B4616" s="10"/>
      <c r="C4616" s="10"/>
      <c r="D4616" s="12"/>
      <c r="E4616" s="10"/>
      <c r="F4616" s="10"/>
      <c r="G4616" s="10"/>
    </row>
    <row r="4617" spans="1:7" x14ac:dyDescent="0.25">
      <c r="A4617" s="10"/>
      <c r="B4617" s="10"/>
      <c r="C4617" s="10"/>
      <c r="D4617" s="12"/>
      <c r="E4617" s="10"/>
      <c r="F4617" s="10"/>
      <c r="G4617" s="10"/>
    </row>
    <row r="4618" spans="1:7" x14ac:dyDescent="0.25">
      <c r="A4618" s="10"/>
      <c r="B4618" s="10"/>
      <c r="C4618" s="10"/>
      <c r="D4618" s="12"/>
      <c r="E4618" s="10"/>
      <c r="F4618" s="10"/>
      <c r="G4618" s="10"/>
    </row>
    <row r="4619" spans="1:7" x14ac:dyDescent="0.25">
      <c r="A4619" s="10"/>
      <c r="B4619" s="10"/>
      <c r="C4619" s="10"/>
      <c r="D4619" s="12"/>
      <c r="E4619" s="10"/>
      <c r="F4619" s="10"/>
      <c r="G4619" s="10"/>
    </row>
    <row r="4620" spans="1:7" x14ac:dyDescent="0.25">
      <c r="A4620" s="10"/>
      <c r="B4620" s="10"/>
      <c r="C4620" s="10"/>
      <c r="D4620" s="12"/>
      <c r="E4620" s="10"/>
      <c r="F4620" s="10"/>
      <c r="G4620" s="10"/>
    </row>
    <row r="4621" spans="1:7" x14ac:dyDescent="0.25">
      <c r="A4621" s="10"/>
      <c r="B4621" s="10"/>
      <c r="C4621" s="10"/>
      <c r="D4621" s="12"/>
      <c r="E4621" s="10"/>
      <c r="F4621" s="10"/>
      <c r="G4621" s="10"/>
    </row>
    <row r="4622" spans="1:7" x14ac:dyDescent="0.25">
      <c r="A4622" s="10"/>
      <c r="B4622" s="10"/>
      <c r="C4622" s="10"/>
      <c r="D4622" s="12"/>
      <c r="E4622" s="10"/>
      <c r="F4622" s="10"/>
      <c r="G4622" s="10"/>
    </row>
    <row r="4623" spans="1:7" x14ac:dyDescent="0.25">
      <c r="A4623" s="10"/>
      <c r="B4623" s="10"/>
      <c r="C4623" s="10"/>
      <c r="D4623" s="12"/>
      <c r="E4623" s="10"/>
      <c r="F4623" s="10"/>
      <c r="G4623" s="10"/>
    </row>
    <row r="4624" spans="1:7" x14ac:dyDescent="0.25">
      <c r="A4624" s="10"/>
      <c r="B4624" s="10"/>
      <c r="C4624" s="10"/>
      <c r="D4624" s="12"/>
      <c r="E4624" s="10"/>
      <c r="F4624" s="10"/>
      <c r="G4624" s="10"/>
    </row>
    <row r="4625" spans="1:7" x14ac:dyDescent="0.25">
      <c r="A4625" s="10"/>
      <c r="B4625" s="10"/>
      <c r="C4625" s="10"/>
      <c r="D4625" s="12"/>
      <c r="E4625" s="10"/>
      <c r="F4625" s="10"/>
      <c r="G4625" s="10"/>
    </row>
    <row r="4626" spans="1:7" x14ac:dyDescent="0.25">
      <c r="A4626" s="10"/>
      <c r="B4626" s="10"/>
      <c r="C4626" s="10"/>
      <c r="D4626" s="12"/>
      <c r="E4626" s="10"/>
      <c r="F4626" s="10"/>
      <c r="G4626" s="10"/>
    </row>
    <row r="4627" spans="1:7" x14ac:dyDescent="0.25">
      <c r="A4627" s="10"/>
      <c r="B4627" s="10"/>
      <c r="C4627" s="10"/>
      <c r="D4627" s="12"/>
      <c r="E4627" s="10"/>
      <c r="F4627" s="10"/>
      <c r="G4627" s="10"/>
    </row>
    <row r="4628" spans="1:7" x14ac:dyDescent="0.25">
      <c r="A4628" s="10"/>
      <c r="B4628" s="10"/>
      <c r="C4628" s="10"/>
      <c r="D4628" s="12"/>
      <c r="E4628" s="10"/>
      <c r="F4628" s="10"/>
      <c r="G4628" s="10"/>
    </row>
    <row r="4629" spans="1:7" x14ac:dyDescent="0.25">
      <c r="A4629" s="10"/>
      <c r="B4629" s="10"/>
      <c r="C4629" s="10"/>
      <c r="D4629" s="12"/>
      <c r="E4629" s="10"/>
      <c r="F4629" s="10"/>
      <c r="G4629" s="10"/>
    </row>
    <row r="4630" spans="1:7" x14ac:dyDescent="0.25">
      <c r="A4630" s="10"/>
      <c r="B4630" s="10"/>
      <c r="C4630" s="10"/>
      <c r="D4630" s="12"/>
      <c r="E4630" s="10"/>
      <c r="F4630" s="10"/>
      <c r="G4630" s="10"/>
    </row>
    <row r="4631" spans="1:7" x14ac:dyDescent="0.25">
      <c r="A4631" s="10"/>
      <c r="B4631" s="10"/>
      <c r="C4631" s="10"/>
      <c r="D4631" s="12"/>
      <c r="E4631" s="10"/>
      <c r="F4631" s="10"/>
      <c r="G4631" s="10"/>
    </row>
    <row r="4632" spans="1:7" x14ac:dyDescent="0.25">
      <c r="A4632" s="10"/>
      <c r="B4632" s="10"/>
      <c r="C4632" s="10"/>
      <c r="D4632" s="12"/>
      <c r="E4632" s="10"/>
      <c r="F4632" s="10"/>
      <c r="G4632" s="10"/>
    </row>
    <row r="4633" spans="1:7" x14ac:dyDescent="0.25">
      <c r="A4633" s="10"/>
      <c r="B4633" s="10"/>
      <c r="C4633" s="10"/>
      <c r="D4633" s="12"/>
      <c r="E4633" s="10"/>
      <c r="F4633" s="10"/>
      <c r="G4633" s="10"/>
    </row>
    <row r="4634" spans="1:7" x14ac:dyDescent="0.25">
      <c r="A4634" s="10"/>
      <c r="B4634" s="10"/>
      <c r="C4634" s="10"/>
      <c r="D4634" s="12"/>
      <c r="E4634" s="10"/>
      <c r="F4634" s="10"/>
      <c r="G4634" s="10"/>
    </row>
    <row r="4635" spans="1:7" x14ac:dyDescent="0.25">
      <c r="A4635" s="10"/>
      <c r="B4635" s="10"/>
      <c r="C4635" s="10"/>
      <c r="D4635" s="12"/>
      <c r="E4635" s="10"/>
      <c r="F4635" s="10"/>
      <c r="G4635" s="10"/>
    </row>
    <row r="4636" spans="1:7" x14ac:dyDescent="0.25">
      <c r="A4636" s="10"/>
      <c r="B4636" s="10"/>
      <c r="C4636" s="10"/>
      <c r="D4636" s="12"/>
      <c r="E4636" s="10"/>
      <c r="F4636" s="10"/>
      <c r="G4636" s="10"/>
    </row>
    <row r="4637" spans="1:7" x14ac:dyDescent="0.25">
      <c r="A4637" s="10"/>
      <c r="B4637" s="10"/>
      <c r="C4637" s="10"/>
      <c r="D4637" s="12"/>
      <c r="E4637" s="10"/>
      <c r="F4637" s="10"/>
      <c r="G4637" s="10"/>
    </row>
    <row r="4638" spans="1:7" x14ac:dyDescent="0.25">
      <c r="A4638" s="10"/>
      <c r="B4638" s="10"/>
      <c r="C4638" s="10"/>
      <c r="D4638" s="12"/>
      <c r="E4638" s="10"/>
      <c r="F4638" s="10"/>
      <c r="G4638" s="10"/>
    </row>
    <row r="4639" spans="1:7" x14ac:dyDescent="0.25">
      <c r="A4639" s="10"/>
      <c r="B4639" s="10"/>
      <c r="C4639" s="10"/>
      <c r="D4639" s="12"/>
      <c r="E4639" s="10"/>
      <c r="F4639" s="10"/>
      <c r="G4639" s="10"/>
    </row>
    <row r="4640" spans="1:7" x14ac:dyDescent="0.25">
      <c r="A4640" s="10"/>
      <c r="B4640" s="10"/>
      <c r="C4640" s="10"/>
      <c r="D4640" s="12"/>
      <c r="E4640" s="10"/>
      <c r="F4640" s="10"/>
      <c r="G4640" s="10"/>
    </row>
    <row r="4641" spans="1:7" x14ac:dyDescent="0.25">
      <c r="A4641" s="10"/>
      <c r="B4641" s="10"/>
      <c r="C4641" s="10"/>
      <c r="D4641" s="12"/>
      <c r="E4641" s="10"/>
      <c r="F4641" s="10"/>
      <c r="G4641" s="10"/>
    </row>
    <row r="4642" spans="1:7" x14ac:dyDescent="0.25">
      <c r="A4642" s="10"/>
      <c r="B4642" s="10"/>
      <c r="C4642" s="10"/>
      <c r="D4642" s="12"/>
      <c r="E4642" s="10"/>
      <c r="F4642" s="10"/>
      <c r="G4642" s="10"/>
    </row>
    <row r="4643" spans="1:7" x14ac:dyDescent="0.25">
      <c r="A4643" s="10"/>
      <c r="B4643" s="10"/>
      <c r="C4643" s="10"/>
      <c r="D4643" s="12"/>
      <c r="E4643" s="10"/>
      <c r="F4643" s="10"/>
      <c r="G4643" s="10"/>
    </row>
    <row r="4644" spans="1:7" x14ac:dyDescent="0.25">
      <c r="A4644" s="10"/>
      <c r="B4644" s="10"/>
      <c r="C4644" s="10"/>
      <c r="D4644" s="12"/>
      <c r="E4644" s="10"/>
      <c r="F4644" s="10"/>
      <c r="G4644" s="10"/>
    </row>
    <row r="4645" spans="1:7" x14ac:dyDescent="0.25">
      <c r="A4645" s="10"/>
      <c r="B4645" s="10"/>
      <c r="C4645" s="10"/>
      <c r="D4645" s="12"/>
      <c r="E4645" s="10"/>
      <c r="F4645" s="10"/>
      <c r="G4645" s="10"/>
    </row>
    <row r="4646" spans="1:7" x14ac:dyDescent="0.25">
      <c r="A4646" s="10"/>
      <c r="B4646" s="10"/>
      <c r="C4646" s="10"/>
      <c r="D4646" s="12"/>
      <c r="E4646" s="10"/>
      <c r="F4646" s="10"/>
      <c r="G4646" s="10"/>
    </row>
    <row r="4647" spans="1:7" x14ac:dyDescent="0.25">
      <c r="A4647" s="10"/>
      <c r="B4647" s="10"/>
      <c r="C4647" s="10"/>
      <c r="D4647" s="12"/>
      <c r="E4647" s="10"/>
      <c r="F4647" s="10"/>
      <c r="G4647" s="10"/>
    </row>
    <row r="4648" spans="1:7" x14ac:dyDescent="0.25">
      <c r="A4648" s="10"/>
      <c r="B4648" s="10"/>
      <c r="C4648" s="10"/>
      <c r="D4648" s="12"/>
      <c r="E4648" s="10"/>
      <c r="F4648" s="10"/>
      <c r="G4648" s="10"/>
    </row>
    <row r="4649" spans="1:7" x14ac:dyDescent="0.25">
      <c r="A4649" s="10"/>
      <c r="B4649" s="10"/>
      <c r="C4649" s="10"/>
      <c r="D4649" s="12"/>
      <c r="E4649" s="10"/>
      <c r="F4649" s="10"/>
      <c r="G4649" s="10"/>
    </row>
    <row r="4650" spans="1:7" x14ac:dyDescent="0.25">
      <c r="A4650" s="10"/>
      <c r="B4650" s="10"/>
      <c r="C4650" s="10"/>
      <c r="D4650" s="12"/>
      <c r="E4650" s="10"/>
      <c r="F4650" s="10"/>
      <c r="G4650" s="10"/>
    </row>
    <row r="4651" spans="1:7" x14ac:dyDescent="0.25">
      <c r="A4651" s="10"/>
      <c r="B4651" s="10"/>
      <c r="C4651" s="10"/>
      <c r="D4651" s="12"/>
      <c r="E4651" s="10"/>
      <c r="F4651" s="10"/>
      <c r="G4651" s="10"/>
    </row>
    <row r="4652" spans="1:7" x14ac:dyDescent="0.25">
      <c r="A4652" s="10"/>
      <c r="B4652" s="10"/>
      <c r="C4652" s="10"/>
      <c r="D4652" s="12"/>
      <c r="E4652" s="10"/>
      <c r="F4652" s="10"/>
      <c r="G4652" s="10"/>
    </row>
    <row r="4653" spans="1:7" x14ac:dyDescent="0.25">
      <c r="A4653" s="10"/>
      <c r="B4653" s="10"/>
      <c r="C4653" s="10"/>
      <c r="D4653" s="12"/>
      <c r="E4653" s="10"/>
      <c r="F4653" s="10"/>
      <c r="G4653" s="10"/>
    </row>
    <row r="4654" spans="1:7" x14ac:dyDescent="0.25">
      <c r="A4654" s="10"/>
      <c r="B4654" s="10"/>
      <c r="C4654" s="10"/>
      <c r="D4654" s="12"/>
      <c r="E4654" s="10"/>
      <c r="F4654" s="10"/>
      <c r="G4654" s="10"/>
    </row>
    <row r="4655" spans="1:7" x14ac:dyDescent="0.25">
      <c r="A4655" s="10"/>
      <c r="B4655" s="10"/>
      <c r="C4655" s="10"/>
      <c r="D4655" s="12"/>
      <c r="E4655" s="10"/>
      <c r="F4655" s="10"/>
      <c r="G4655" s="10"/>
    </row>
    <row r="4656" spans="1:7" x14ac:dyDescent="0.25">
      <c r="A4656" s="10"/>
      <c r="B4656" s="10"/>
      <c r="C4656" s="10"/>
      <c r="D4656" s="12"/>
      <c r="E4656" s="10"/>
      <c r="F4656" s="10"/>
      <c r="G4656" s="10"/>
    </row>
    <row r="4657" spans="1:7" x14ac:dyDescent="0.25">
      <c r="A4657" s="10"/>
      <c r="B4657" s="10"/>
      <c r="C4657" s="10"/>
      <c r="D4657" s="12"/>
      <c r="E4657" s="10"/>
      <c r="F4657" s="10"/>
      <c r="G4657" s="10"/>
    </row>
    <row r="4658" spans="1:7" x14ac:dyDescent="0.25">
      <c r="A4658" s="10"/>
      <c r="B4658" s="10"/>
      <c r="C4658" s="10"/>
      <c r="D4658" s="12"/>
      <c r="E4658" s="10"/>
      <c r="F4658" s="10"/>
      <c r="G4658" s="10"/>
    </row>
    <row r="4659" spans="1:7" x14ac:dyDescent="0.25">
      <c r="A4659" s="10"/>
      <c r="B4659" s="10"/>
      <c r="C4659" s="10"/>
      <c r="D4659" s="12"/>
      <c r="E4659" s="10"/>
      <c r="F4659" s="10"/>
      <c r="G4659" s="10"/>
    </row>
    <row r="4660" spans="1:7" x14ac:dyDescent="0.25">
      <c r="A4660" s="10"/>
      <c r="B4660" s="10"/>
      <c r="C4660" s="10"/>
      <c r="D4660" s="12"/>
      <c r="E4660" s="10"/>
      <c r="F4660" s="10"/>
      <c r="G4660" s="10"/>
    </row>
    <row r="4661" spans="1:7" x14ac:dyDescent="0.25">
      <c r="A4661" s="10"/>
      <c r="B4661" s="10"/>
      <c r="C4661" s="10"/>
      <c r="D4661" s="12"/>
      <c r="E4661" s="10"/>
      <c r="F4661" s="10"/>
      <c r="G4661" s="10"/>
    </row>
    <row r="4662" spans="1:7" x14ac:dyDescent="0.25">
      <c r="A4662" s="10"/>
      <c r="B4662" s="10"/>
      <c r="C4662" s="10"/>
      <c r="D4662" s="12"/>
      <c r="E4662" s="10"/>
      <c r="F4662" s="10"/>
      <c r="G4662" s="10"/>
    </row>
    <row r="4663" spans="1:7" x14ac:dyDescent="0.25">
      <c r="A4663" s="10"/>
      <c r="B4663" s="10"/>
      <c r="C4663" s="10"/>
      <c r="D4663" s="12"/>
      <c r="E4663" s="10"/>
      <c r="F4663" s="10"/>
      <c r="G4663" s="10"/>
    </row>
    <row r="4664" spans="1:7" x14ac:dyDescent="0.25">
      <c r="A4664" s="10"/>
      <c r="B4664" s="10"/>
      <c r="C4664" s="10"/>
      <c r="D4664" s="12"/>
      <c r="E4664" s="10"/>
      <c r="F4664" s="10"/>
      <c r="G4664" s="10"/>
    </row>
    <row r="4665" spans="1:7" x14ac:dyDescent="0.25">
      <c r="A4665" s="10"/>
      <c r="B4665" s="10"/>
      <c r="C4665" s="10"/>
      <c r="D4665" s="12"/>
      <c r="E4665" s="10"/>
      <c r="F4665" s="10"/>
      <c r="G4665" s="10"/>
    </row>
    <row r="4666" spans="1:7" x14ac:dyDescent="0.25">
      <c r="A4666" s="10"/>
      <c r="B4666" s="10"/>
      <c r="C4666" s="10"/>
      <c r="D4666" s="12"/>
      <c r="E4666" s="10"/>
      <c r="F4666" s="10"/>
      <c r="G4666" s="10"/>
    </row>
    <row r="4667" spans="1:7" x14ac:dyDescent="0.25">
      <c r="A4667" s="10"/>
      <c r="B4667" s="10"/>
      <c r="C4667" s="10"/>
      <c r="D4667" s="12"/>
      <c r="E4667" s="10"/>
      <c r="F4667" s="10"/>
      <c r="G4667" s="10"/>
    </row>
    <row r="4668" spans="1:7" x14ac:dyDescent="0.25">
      <c r="A4668" s="10"/>
      <c r="B4668" s="10"/>
      <c r="C4668" s="10"/>
      <c r="D4668" s="12"/>
      <c r="E4668" s="10"/>
      <c r="F4668" s="10"/>
      <c r="G4668" s="10"/>
    </row>
    <row r="4669" spans="1:7" x14ac:dyDescent="0.25">
      <c r="A4669" s="10"/>
      <c r="B4669" s="10"/>
      <c r="C4669" s="10"/>
      <c r="D4669" s="12"/>
      <c r="E4669" s="10"/>
      <c r="F4669" s="10"/>
      <c r="G4669" s="10"/>
    </row>
    <row r="4670" spans="1:7" x14ac:dyDescent="0.25">
      <c r="A4670" s="10"/>
      <c r="B4670" s="10"/>
      <c r="C4670" s="10"/>
      <c r="D4670" s="12"/>
      <c r="E4670" s="10"/>
      <c r="F4670" s="10"/>
      <c r="G4670" s="10"/>
    </row>
    <row r="4671" spans="1:7" x14ac:dyDescent="0.25">
      <c r="A4671" s="10"/>
      <c r="B4671" s="10"/>
      <c r="C4671" s="10"/>
      <c r="D4671" s="12"/>
      <c r="E4671" s="10"/>
      <c r="F4671" s="10"/>
      <c r="G4671" s="10"/>
    </row>
    <row r="4672" spans="1:7" x14ac:dyDescent="0.25">
      <c r="A4672" s="10"/>
      <c r="B4672" s="10"/>
      <c r="C4672" s="10"/>
      <c r="D4672" s="12"/>
      <c r="E4672" s="10"/>
      <c r="F4672" s="10"/>
      <c r="G4672" s="10"/>
    </row>
    <row r="4673" spans="1:7" x14ac:dyDescent="0.25">
      <c r="A4673" s="10"/>
      <c r="B4673" s="10"/>
      <c r="C4673" s="10"/>
      <c r="D4673" s="12"/>
      <c r="E4673" s="10"/>
      <c r="F4673" s="10"/>
      <c r="G4673" s="10"/>
    </row>
    <row r="4674" spans="1:7" x14ac:dyDescent="0.25">
      <c r="A4674" s="10"/>
      <c r="B4674" s="10"/>
      <c r="C4674" s="10"/>
      <c r="D4674" s="12"/>
      <c r="E4674" s="10"/>
      <c r="F4674" s="10"/>
      <c r="G4674" s="10"/>
    </row>
    <row r="4675" spans="1:7" x14ac:dyDescent="0.25">
      <c r="A4675" s="10"/>
      <c r="B4675" s="10"/>
      <c r="C4675" s="10"/>
      <c r="D4675" s="12"/>
      <c r="E4675" s="10"/>
      <c r="F4675" s="10"/>
      <c r="G4675" s="10"/>
    </row>
    <row r="4676" spans="1:7" x14ac:dyDescent="0.25">
      <c r="A4676" s="10"/>
      <c r="B4676" s="10"/>
      <c r="C4676" s="10"/>
      <c r="D4676" s="12"/>
      <c r="E4676" s="10"/>
      <c r="F4676" s="10"/>
      <c r="G4676" s="10"/>
    </row>
    <row r="4677" spans="1:7" x14ac:dyDescent="0.25">
      <c r="A4677" s="10"/>
      <c r="B4677" s="10"/>
      <c r="C4677" s="10"/>
      <c r="D4677" s="12"/>
      <c r="E4677" s="10"/>
      <c r="F4677" s="10"/>
      <c r="G4677" s="10"/>
    </row>
    <row r="4678" spans="1:7" x14ac:dyDescent="0.25">
      <c r="A4678" s="10"/>
      <c r="B4678" s="10"/>
      <c r="C4678" s="10"/>
      <c r="D4678" s="12"/>
      <c r="E4678" s="10"/>
      <c r="F4678" s="10"/>
      <c r="G4678" s="10"/>
    </row>
    <row r="4679" spans="1:7" x14ac:dyDescent="0.25">
      <c r="A4679" s="10"/>
      <c r="B4679" s="10"/>
      <c r="C4679" s="10"/>
      <c r="D4679" s="12"/>
      <c r="E4679" s="10"/>
      <c r="F4679" s="10"/>
      <c r="G4679" s="10"/>
    </row>
    <row r="4680" spans="1:7" x14ac:dyDescent="0.25">
      <c r="A4680" s="10"/>
      <c r="B4680" s="10"/>
      <c r="C4680" s="10"/>
      <c r="D4680" s="12"/>
      <c r="E4680" s="10"/>
      <c r="F4680" s="10"/>
      <c r="G4680" s="10"/>
    </row>
    <row r="4681" spans="1:7" x14ac:dyDescent="0.25">
      <c r="A4681" s="10"/>
      <c r="B4681" s="10"/>
      <c r="C4681" s="10"/>
      <c r="D4681" s="12"/>
      <c r="E4681" s="10"/>
      <c r="F4681" s="10"/>
      <c r="G4681" s="10"/>
    </row>
    <row r="4682" spans="1:7" x14ac:dyDescent="0.25">
      <c r="A4682" s="10"/>
      <c r="B4682" s="10"/>
      <c r="C4682" s="10"/>
      <c r="D4682" s="12"/>
      <c r="E4682" s="10"/>
      <c r="F4682" s="10"/>
      <c r="G4682" s="10"/>
    </row>
    <row r="4683" spans="1:7" x14ac:dyDescent="0.25">
      <c r="A4683" s="10"/>
      <c r="B4683" s="10"/>
      <c r="C4683" s="10"/>
      <c r="D4683" s="12"/>
      <c r="E4683" s="10"/>
      <c r="F4683" s="10"/>
      <c r="G4683" s="10"/>
    </row>
    <row r="4684" spans="1:7" x14ac:dyDescent="0.25">
      <c r="A4684" s="10"/>
      <c r="B4684" s="10"/>
      <c r="C4684" s="10"/>
      <c r="D4684" s="12"/>
      <c r="E4684" s="10"/>
      <c r="F4684" s="10"/>
      <c r="G4684" s="10"/>
    </row>
    <row r="4685" spans="1:7" x14ac:dyDescent="0.25">
      <c r="A4685" s="10"/>
      <c r="B4685" s="10"/>
      <c r="C4685" s="10"/>
      <c r="D4685" s="12"/>
      <c r="E4685" s="10"/>
      <c r="F4685" s="10"/>
      <c r="G4685" s="10"/>
    </row>
    <row r="4686" spans="1:7" x14ac:dyDescent="0.25">
      <c r="A4686" s="10"/>
      <c r="B4686" s="10"/>
      <c r="C4686" s="10"/>
      <c r="D4686" s="12"/>
      <c r="E4686" s="10"/>
      <c r="F4686" s="10"/>
      <c r="G4686" s="10"/>
    </row>
    <row r="4687" spans="1:7" x14ac:dyDescent="0.25">
      <c r="A4687" s="10"/>
      <c r="B4687" s="10"/>
      <c r="C4687" s="10"/>
      <c r="D4687" s="12"/>
      <c r="E4687" s="10"/>
      <c r="F4687" s="10"/>
      <c r="G4687" s="10"/>
    </row>
    <row r="4688" spans="1:7" x14ac:dyDescent="0.25">
      <c r="A4688" s="10"/>
      <c r="B4688" s="10"/>
      <c r="C4688" s="10"/>
      <c r="D4688" s="12"/>
      <c r="E4688" s="10"/>
      <c r="F4688" s="10"/>
      <c r="G4688" s="10"/>
    </row>
    <row r="4689" spans="1:7" x14ac:dyDescent="0.25">
      <c r="A4689" s="10"/>
      <c r="B4689" s="10"/>
      <c r="C4689" s="10"/>
      <c r="D4689" s="12"/>
      <c r="E4689" s="10"/>
      <c r="F4689" s="10"/>
      <c r="G4689" s="10"/>
    </row>
    <row r="4690" spans="1:7" x14ac:dyDescent="0.25">
      <c r="A4690" s="10"/>
      <c r="B4690" s="10"/>
      <c r="C4690" s="10"/>
      <c r="D4690" s="12"/>
      <c r="E4690" s="10"/>
      <c r="F4690" s="10"/>
      <c r="G4690" s="10"/>
    </row>
    <row r="4691" spans="1:7" x14ac:dyDescent="0.25">
      <c r="A4691" s="10"/>
      <c r="B4691" s="10"/>
      <c r="C4691" s="10"/>
      <c r="D4691" s="12"/>
      <c r="E4691" s="10"/>
      <c r="F4691" s="10"/>
      <c r="G4691" s="10"/>
    </row>
    <row r="4692" spans="1:7" x14ac:dyDescent="0.25">
      <c r="A4692" s="10"/>
      <c r="B4692" s="10"/>
      <c r="C4692" s="10"/>
      <c r="D4692" s="12"/>
      <c r="E4692" s="10"/>
      <c r="F4692" s="10"/>
      <c r="G4692" s="10"/>
    </row>
    <row r="4693" spans="1:7" x14ac:dyDescent="0.25">
      <c r="A4693" s="10"/>
      <c r="B4693" s="10"/>
      <c r="C4693" s="10"/>
      <c r="D4693" s="12"/>
      <c r="E4693" s="10"/>
      <c r="F4693" s="10"/>
      <c r="G4693" s="10"/>
    </row>
    <row r="4694" spans="1:7" x14ac:dyDescent="0.25">
      <c r="A4694" s="10"/>
      <c r="B4694" s="10"/>
      <c r="C4694" s="10"/>
      <c r="D4694" s="12"/>
      <c r="E4694" s="10"/>
      <c r="F4694" s="10"/>
      <c r="G4694" s="10"/>
    </row>
    <row r="4695" spans="1:7" x14ac:dyDescent="0.25">
      <c r="A4695" s="10"/>
      <c r="B4695" s="10"/>
      <c r="C4695" s="10"/>
      <c r="D4695" s="12"/>
      <c r="E4695" s="10"/>
      <c r="F4695" s="10"/>
      <c r="G4695" s="10"/>
    </row>
    <row r="4696" spans="1:7" x14ac:dyDescent="0.25">
      <c r="A4696" s="10"/>
      <c r="B4696" s="10"/>
      <c r="C4696" s="10"/>
      <c r="D4696" s="12"/>
      <c r="E4696" s="10"/>
      <c r="F4696" s="10"/>
      <c r="G4696" s="10"/>
    </row>
    <row r="4697" spans="1:7" x14ac:dyDescent="0.25">
      <c r="A4697" s="10"/>
      <c r="B4697" s="10"/>
      <c r="C4697" s="10"/>
      <c r="D4697" s="12"/>
      <c r="E4697" s="10"/>
      <c r="F4697" s="10"/>
      <c r="G4697" s="10"/>
    </row>
    <row r="4698" spans="1:7" x14ac:dyDescent="0.25">
      <c r="A4698" s="10"/>
      <c r="B4698" s="10"/>
      <c r="C4698" s="10"/>
      <c r="D4698" s="12"/>
      <c r="E4698" s="10"/>
      <c r="F4698" s="10"/>
      <c r="G4698" s="10"/>
    </row>
    <row r="4699" spans="1:7" x14ac:dyDescent="0.25">
      <c r="A4699" s="10"/>
      <c r="B4699" s="10"/>
      <c r="C4699" s="10"/>
      <c r="D4699" s="12"/>
      <c r="E4699" s="10"/>
      <c r="F4699" s="10"/>
      <c r="G4699" s="10"/>
    </row>
    <row r="4700" spans="1:7" x14ac:dyDescent="0.25">
      <c r="A4700" s="10"/>
      <c r="B4700" s="10"/>
      <c r="C4700" s="10"/>
      <c r="D4700" s="12"/>
      <c r="E4700" s="10"/>
      <c r="F4700" s="10"/>
      <c r="G4700" s="10"/>
    </row>
    <row r="4701" spans="1:7" x14ac:dyDescent="0.25">
      <c r="A4701" s="10"/>
      <c r="B4701" s="10"/>
      <c r="C4701" s="10"/>
      <c r="D4701" s="12"/>
      <c r="E4701" s="10"/>
      <c r="F4701" s="10"/>
      <c r="G4701" s="10"/>
    </row>
    <row r="4702" spans="1:7" x14ac:dyDescent="0.25">
      <c r="A4702" s="10"/>
      <c r="B4702" s="10"/>
      <c r="C4702" s="10"/>
      <c r="D4702" s="12"/>
      <c r="E4702" s="10"/>
      <c r="F4702" s="10"/>
      <c r="G4702" s="10"/>
    </row>
    <row r="4703" spans="1:7" x14ac:dyDescent="0.25">
      <c r="A4703" s="10"/>
      <c r="B4703" s="10"/>
      <c r="C4703" s="10"/>
      <c r="D4703" s="12"/>
      <c r="E4703" s="10"/>
      <c r="F4703" s="10"/>
      <c r="G4703" s="10"/>
    </row>
    <row r="4704" spans="1:7" x14ac:dyDescent="0.25">
      <c r="A4704" s="10"/>
      <c r="B4704" s="10"/>
      <c r="C4704" s="10"/>
      <c r="D4704" s="12"/>
      <c r="E4704" s="10"/>
      <c r="F4704" s="10"/>
      <c r="G4704" s="10"/>
    </row>
    <row r="4705" spans="1:7" x14ac:dyDescent="0.25">
      <c r="A4705" s="10"/>
      <c r="B4705" s="10"/>
      <c r="C4705" s="10"/>
      <c r="D4705" s="12"/>
      <c r="E4705" s="10"/>
      <c r="F4705" s="10"/>
      <c r="G4705" s="10"/>
    </row>
    <row r="4706" spans="1:7" x14ac:dyDescent="0.25">
      <c r="A4706" s="10"/>
      <c r="B4706" s="10"/>
      <c r="C4706" s="10"/>
      <c r="D4706" s="12"/>
      <c r="E4706" s="10"/>
      <c r="F4706" s="10"/>
      <c r="G4706" s="10"/>
    </row>
    <row r="4707" spans="1:7" x14ac:dyDescent="0.25">
      <c r="A4707" s="10"/>
      <c r="B4707" s="10"/>
      <c r="C4707" s="10"/>
      <c r="D4707" s="12"/>
      <c r="E4707" s="10"/>
      <c r="F4707" s="10"/>
      <c r="G4707" s="10"/>
    </row>
    <row r="4708" spans="1:7" x14ac:dyDescent="0.25">
      <c r="A4708" s="10"/>
      <c r="B4708" s="10"/>
      <c r="C4708" s="10"/>
      <c r="D4708" s="12"/>
      <c r="E4708" s="10"/>
      <c r="F4708" s="10"/>
      <c r="G4708" s="10"/>
    </row>
    <row r="4709" spans="1:7" x14ac:dyDescent="0.25">
      <c r="A4709" s="10"/>
      <c r="B4709" s="10"/>
      <c r="C4709" s="10"/>
      <c r="D4709" s="12"/>
      <c r="E4709" s="10"/>
      <c r="F4709" s="10"/>
      <c r="G4709" s="10"/>
    </row>
    <row r="4710" spans="1:7" x14ac:dyDescent="0.25">
      <c r="A4710" s="10"/>
      <c r="B4710" s="10"/>
      <c r="C4710" s="10"/>
      <c r="D4710" s="12"/>
      <c r="E4710" s="10"/>
      <c r="F4710" s="10"/>
      <c r="G4710" s="10"/>
    </row>
    <row r="4711" spans="1:7" x14ac:dyDescent="0.25">
      <c r="A4711" s="10"/>
      <c r="B4711" s="10"/>
      <c r="C4711" s="10"/>
      <c r="D4711" s="12"/>
      <c r="E4711" s="10"/>
      <c r="F4711" s="10"/>
      <c r="G4711" s="10"/>
    </row>
    <row r="4712" spans="1:7" x14ac:dyDescent="0.25">
      <c r="A4712" s="10"/>
      <c r="B4712" s="10"/>
      <c r="C4712" s="10"/>
      <c r="D4712" s="12"/>
      <c r="E4712" s="10"/>
      <c r="F4712" s="10"/>
      <c r="G4712" s="10"/>
    </row>
    <row r="4713" spans="1:7" x14ac:dyDescent="0.25">
      <c r="A4713" s="10"/>
      <c r="B4713" s="10"/>
      <c r="C4713" s="10"/>
      <c r="D4713" s="12"/>
      <c r="E4713" s="10"/>
      <c r="F4713" s="10"/>
      <c r="G4713" s="10"/>
    </row>
    <row r="4714" spans="1:7" x14ac:dyDescent="0.25">
      <c r="A4714" s="10"/>
      <c r="B4714" s="10"/>
      <c r="C4714" s="10"/>
      <c r="D4714" s="12"/>
      <c r="E4714" s="10"/>
      <c r="F4714" s="10"/>
      <c r="G4714" s="10"/>
    </row>
    <row r="4715" spans="1:7" x14ac:dyDescent="0.25">
      <c r="A4715" s="10"/>
      <c r="B4715" s="10"/>
      <c r="C4715" s="10"/>
      <c r="D4715" s="12"/>
      <c r="E4715" s="10"/>
      <c r="F4715" s="10"/>
      <c r="G4715" s="10"/>
    </row>
    <row r="4716" spans="1:7" x14ac:dyDescent="0.25">
      <c r="A4716" s="10"/>
      <c r="B4716" s="10"/>
      <c r="C4716" s="10"/>
      <c r="D4716" s="12"/>
      <c r="E4716" s="10"/>
      <c r="F4716" s="10"/>
      <c r="G4716" s="10"/>
    </row>
    <row r="4717" spans="1:7" x14ac:dyDescent="0.25">
      <c r="A4717" s="10"/>
      <c r="B4717" s="10"/>
      <c r="C4717" s="10"/>
      <c r="D4717" s="12"/>
      <c r="E4717" s="10"/>
      <c r="F4717" s="10"/>
      <c r="G4717" s="10"/>
    </row>
    <row r="4718" spans="1:7" x14ac:dyDescent="0.25">
      <c r="A4718" s="10"/>
      <c r="B4718" s="10"/>
      <c r="C4718" s="10"/>
      <c r="D4718" s="12"/>
      <c r="E4718" s="10"/>
      <c r="F4718" s="10"/>
      <c r="G4718" s="10"/>
    </row>
    <row r="4719" spans="1:7" x14ac:dyDescent="0.25">
      <c r="A4719" s="10"/>
      <c r="B4719" s="10"/>
      <c r="C4719" s="10"/>
      <c r="D4719" s="12"/>
      <c r="E4719" s="10"/>
      <c r="F4719" s="10"/>
      <c r="G4719" s="10"/>
    </row>
    <row r="4720" spans="1:7" x14ac:dyDescent="0.25">
      <c r="A4720" s="10"/>
      <c r="B4720" s="10"/>
      <c r="C4720" s="10"/>
      <c r="D4720" s="12"/>
      <c r="E4720" s="10"/>
      <c r="F4720" s="10"/>
      <c r="G4720" s="10"/>
    </row>
    <row r="4721" spans="1:7" x14ac:dyDescent="0.25">
      <c r="A4721" s="10"/>
      <c r="B4721" s="10"/>
      <c r="C4721" s="10"/>
      <c r="D4721" s="12"/>
      <c r="E4721" s="10"/>
      <c r="F4721" s="10"/>
      <c r="G4721" s="10"/>
    </row>
    <row r="4722" spans="1:7" x14ac:dyDescent="0.25">
      <c r="A4722" s="10"/>
      <c r="B4722" s="10"/>
      <c r="C4722" s="10"/>
      <c r="D4722" s="12"/>
      <c r="E4722" s="10"/>
      <c r="F4722" s="10"/>
      <c r="G4722" s="10"/>
    </row>
    <row r="4723" spans="1:7" x14ac:dyDescent="0.25">
      <c r="A4723" s="10"/>
      <c r="B4723" s="10"/>
      <c r="C4723" s="10"/>
      <c r="D4723" s="12"/>
      <c r="E4723" s="10"/>
      <c r="F4723" s="10"/>
      <c r="G4723" s="10"/>
    </row>
    <row r="4724" spans="1:7" x14ac:dyDescent="0.25">
      <c r="A4724" s="10"/>
      <c r="B4724" s="10"/>
      <c r="C4724" s="10"/>
      <c r="D4724" s="12"/>
      <c r="E4724" s="10"/>
      <c r="F4724" s="10"/>
      <c r="G4724" s="10"/>
    </row>
    <row r="4725" spans="1:7" x14ac:dyDescent="0.25">
      <c r="A4725" s="10"/>
      <c r="B4725" s="10"/>
      <c r="C4725" s="10"/>
      <c r="D4725" s="12"/>
      <c r="E4725" s="10"/>
      <c r="F4725" s="10"/>
      <c r="G4725" s="10"/>
    </row>
    <row r="4726" spans="1:7" x14ac:dyDescent="0.25">
      <c r="A4726" s="10"/>
      <c r="B4726" s="10"/>
      <c r="C4726" s="10"/>
      <c r="D4726" s="12"/>
      <c r="E4726" s="10"/>
      <c r="F4726" s="10"/>
      <c r="G4726" s="10"/>
    </row>
    <row r="4727" spans="1:7" x14ac:dyDescent="0.25">
      <c r="A4727" s="10"/>
      <c r="B4727" s="10"/>
      <c r="C4727" s="10"/>
      <c r="D4727" s="12"/>
      <c r="E4727" s="10"/>
      <c r="F4727" s="10"/>
      <c r="G4727" s="10"/>
    </row>
    <row r="4728" spans="1:7" x14ac:dyDescent="0.25">
      <c r="A4728" s="10"/>
      <c r="B4728" s="10"/>
      <c r="C4728" s="10"/>
      <c r="D4728" s="12"/>
      <c r="E4728" s="10"/>
      <c r="F4728" s="10"/>
      <c r="G4728" s="10"/>
    </row>
    <row r="4729" spans="1:7" x14ac:dyDescent="0.25">
      <c r="A4729" s="10"/>
      <c r="B4729" s="10"/>
      <c r="C4729" s="10"/>
      <c r="D4729" s="12"/>
      <c r="E4729" s="10"/>
      <c r="F4729" s="10"/>
      <c r="G4729" s="10"/>
    </row>
    <row r="4730" spans="1:7" x14ac:dyDescent="0.25">
      <c r="A4730" s="10"/>
      <c r="B4730" s="10"/>
      <c r="C4730" s="10"/>
      <c r="D4730" s="12"/>
      <c r="E4730" s="10"/>
      <c r="F4730" s="10"/>
      <c r="G4730" s="10"/>
    </row>
    <row r="4731" spans="1:7" x14ac:dyDescent="0.25">
      <c r="A4731" s="10"/>
      <c r="B4731" s="10"/>
      <c r="C4731" s="10"/>
      <c r="D4731" s="12"/>
      <c r="E4731" s="10"/>
      <c r="F4731" s="10"/>
      <c r="G4731" s="10"/>
    </row>
    <row r="4732" spans="1:7" x14ac:dyDescent="0.25">
      <c r="A4732" s="10"/>
      <c r="B4732" s="10"/>
      <c r="C4732" s="10"/>
      <c r="D4732" s="12"/>
      <c r="E4732" s="10"/>
      <c r="F4732" s="10"/>
      <c r="G4732" s="10"/>
    </row>
    <row r="4733" spans="1:7" x14ac:dyDescent="0.25">
      <c r="A4733" s="10"/>
      <c r="B4733" s="10"/>
      <c r="C4733" s="10"/>
      <c r="D4733" s="12"/>
      <c r="E4733" s="10"/>
      <c r="F4733" s="10"/>
      <c r="G4733" s="10"/>
    </row>
    <row r="4734" spans="1:7" x14ac:dyDescent="0.25">
      <c r="A4734" s="10"/>
      <c r="B4734" s="10"/>
      <c r="C4734" s="10"/>
      <c r="D4734" s="12"/>
      <c r="E4734" s="10"/>
      <c r="F4734" s="10"/>
      <c r="G4734" s="10"/>
    </row>
    <row r="4735" spans="1:7" x14ac:dyDescent="0.25">
      <c r="A4735" s="10"/>
      <c r="B4735" s="10"/>
      <c r="C4735" s="10"/>
      <c r="D4735" s="12"/>
      <c r="E4735" s="10"/>
      <c r="F4735" s="10"/>
      <c r="G4735" s="10"/>
    </row>
    <row r="4736" spans="1:7" x14ac:dyDescent="0.25">
      <c r="A4736" s="10"/>
      <c r="B4736" s="10"/>
      <c r="C4736" s="10"/>
      <c r="D4736" s="12"/>
      <c r="E4736" s="10"/>
      <c r="F4736" s="10"/>
      <c r="G4736" s="10"/>
    </row>
    <row r="4737" spans="1:7" x14ac:dyDescent="0.25">
      <c r="A4737" s="10"/>
      <c r="B4737" s="10"/>
      <c r="C4737" s="10"/>
      <c r="D4737" s="12"/>
      <c r="E4737" s="10"/>
      <c r="F4737" s="10"/>
      <c r="G4737" s="10"/>
    </row>
    <row r="4738" spans="1:7" x14ac:dyDescent="0.25">
      <c r="A4738" s="10"/>
      <c r="B4738" s="10"/>
      <c r="C4738" s="10"/>
      <c r="D4738" s="12"/>
      <c r="E4738" s="10"/>
      <c r="F4738" s="10"/>
      <c r="G4738" s="10"/>
    </row>
    <row r="4739" spans="1:7" x14ac:dyDescent="0.25">
      <c r="A4739" s="10"/>
      <c r="B4739" s="10"/>
      <c r="C4739" s="10"/>
      <c r="D4739" s="12"/>
      <c r="E4739" s="10"/>
      <c r="F4739" s="10"/>
      <c r="G4739" s="10"/>
    </row>
    <row r="4740" spans="1:7" x14ac:dyDescent="0.25">
      <c r="A4740" s="10"/>
      <c r="B4740" s="10"/>
      <c r="C4740" s="10"/>
      <c r="D4740" s="12"/>
      <c r="E4740" s="10"/>
      <c r="F4740" s="10"/>
      <c r="G4740" s="10"/>
    </row>
    <row r="4741" spans="1:7" x14ac:dyDescent="0.25">
      <c r="A4741" s="10"/>
      <c r="B4741" s="10"/>
      <c r="C4741" s="10"/>
      <c r="D4741" s="12"/>
      <c r="E4741" s="10"/>
      <c r="F4741" s="10"/>
      <c r="G4741" s="10"/>
    </row>
    <row r="4742" spans="1:7" x14ac:dyDescent="0.25">
      <c r="A4742" s="10"/>
      <c r="B4742" s="10"/>
      <c r="C4742" s="10"/>
      <c r="D4742" s="12"/>
      <c r="E4742" s="10"/>
      <c r="F4742" s="10"/>
      <c r="G4742" s="10"/>
    </row>
    <row r="4743" spans="1:7" x14ac:dyDescent="0.25">
      <c r="A4743" s="10"/>
      <c r="B4743" s="10"/>
      <c r="C4743" s="10"/>
      <c r="D4743" s="12"/>
      <c r="E4743" s="10"/>
      <c r="F4743" s="10"/>
      <c r="G4743" s="10"/>
    </row>
    <row r="4744" spans="1:7" x14ac:dyDescent="0.25">
      <c r="A4744" s="10"/>
      <c r="B4744" s="10"/>
      <c r="C4744" s="10"/>
      <c r="D4744" s="12"/>
      <c r="E4744" s="10"/>
      <c r="F4744" s="10"/>
      <c r="G4744" s="10"/>
    </row>
    <row r="4745" spans="1:7" x14ac:dyDescent="0.25">
      <c r="A4745" s="10"/>
      <c r="B4745" s="10"/>
      <c r="C4745" s="10"/>
      <c r="D4745" s="12"/>
      <c r="E4745" s="10"/>
      <c r="F4745" s="10"/>
      <c r="G4745" s="10"/>
    </row>
    <row r="4746" spans="1:7" x14ac:dyDescent="0.25">
      <c r="A4746" s="10"/>
      <c r="B4746" s="10"/>
      <c r="C4746" s="10"/>
      <c r="D4746" s="12"/>
      <c r="E4746" s="10"/>
      <c r="F4746" s="10"/>
      <c r="G4746" s="10"/>
    </row>
    <row r="4747" spans="1:7" x14ac:dyDescent="0.25">
      <c r="A4747" s="10"/>
      <c r="B4747" s="10"/>
      <c r="C4747" s="10"/>
      <c r="D4747" s="12"/>
      <c r="E4747" s="10"/>
      <c r="F4747" s="10"/>
      <c r="G4747" s="10"/>
    </row>
    <row r="4748" spans="1:7" x14ac:dyDescent="0.25">
      <c r="A4748" s="10"/>
      <c r="B4748" s="10"/>
      <c r="C4748" s="10"/>
      <c r="D4748" s="12"/>
      <c r="E4748" s="10"/>
      <c r="F4748" s="10"/>
      <c r="G4748" s="10"/>
    </row>
    <row r="4749" spans="1:7" x14ac:dyDescent="0.25">
      <c r="A4749" s="10"/>
      <c r="B4749" s="10"/>
      <c r="C4749" s="10"/>
      <c r="D4749" s="12"/>
      <c r="E4749" s="10"/>
      <c r="F4749" s="10"/>
      <c r="G4749" s="10"/>
    </row>
    <row r="4750" spans="1:7" x14ac:dyDescent="0.25">
      <c r="A4750" s="10"/>
      <c r="B4750" s="10"/>
      <c r="C4750" s="10"/>
      <c r="D4750" s="12"/>
      <c r="E4750" s="10"/>
      <c r="F4750" s="10"/>
      <c r="G4750" s="10"/>
    </row>
    <row r="4751" spans="1:7" x14ac:dyDescent="0.25">
      <c r="A4751" s="10"/>
      <c r="B4751" s="10"/>
      <c r="C4751" s="10"/>
      <c r="D4751" s="12"/>
      <c r="E4751" s="10"/>
      <c r="F4751" s="10"/>
      <c r="G4751" s="10"/>
    </row>
    <row r="4752" spans="1:7" x14ac:dyDescent="0.25">
      <c r="A4752" s="10"/>
      <c r="B4752" s="10"/>
      <c r="C4752" s="10"/>
      <c r="D4752" s="12"/>
      <c r="E4752" s="10"/>
      <c r="F4752" s="10"/>
      <c r="G4752" s="10"/>
    </row>
    <row r="4753" spans="1:7" x14ac:dyDescent="0.25">
      <c r="A4753" s="10"/>
      <c r="B4753" s="10"/>
      <c r="C4753" s="10"/>
      <c r="D4753" s="12"/>
      <c r="E4753" s="10"/>
      <c r="F4753" s="10"/>
      <c r="G4753" s="10"/>
    </row>
    <row r="4754" spans="1:7" x14ac:dyDescent="0.25">
      <c r="A4754" s="10"/>
      <c r="B4754" s="10"/>
      <c r="C4754" s="10"/>
      <c r="D4754" s="12"/>
      <c r="E4754" s="10"/>
      <c r="F4754" s="10"/>
      <c r="G4754" s="10"/>
    </row>
    <row r="4755" spans="1:7" x14ac:dyDescent="0.25">
      <c r="A4755" s="10"/>
      <c r="B4755" s="10"/>
      <c r="C4755" s="10"/>
      <c r="D4755" s="12"/>
      <c r="E4755" s="10"/>
      <c r="F4755" s="10"/>
      <c r="G4755" s="10"/>
    </row>
    <row r="4756" spans="1:7" x14ac:dyDescent="0.25">
      <c r="A4756" s="10"/>
      <c r="B4756" s="10"/>
      <c r="C4756" s="10"/>
      <c r="D4756" s="12"/>
      <c r="E4756" s="10"/>
      <c r="F4756" s="10"/>
      <c r="G4756" s="10"/>
    </row>
    <row r="4757" spans="1:7" x14ac:dyDescent="0.25">
      <c r="A4757" s="10"/>
      <c r="B4757" s="10"/>
      <c r="C4757" s="10"/>
      <c r="D4757" s="12"/>
      <c r="E4757" s="10"/>
      <c r="F4757" s="10"/>
      <c r="G4757" s="10"/>
    </row>
    <row r="4758" spans="1:7" x14ac:dyDescent="0.25">
      <c r="A4758" s="10"/>
      <c r="B4758" s="10"/>
      <c r="C4758" s="10"/>
      <c r="D4758" s="12"/>
      <c r="E4758" s="10"/>
      <c r="F4758" s="10"/>
      <c r="G4758" s="10"/>
    </row>
    <row r="4759" spans="1:7" x14ac:dyDescent="0.25">
      <c r="A4759" s="10"/>
      <c r="B4759" s="10"/>
      <c r="C4759" s="10"/>
      <c r="D4759" s="12"/>
      <c r="E4759" s="10"/>
      <c r="F4759" s="10"/>
      <c r="G4759" s="10"/>
    </row>
    <row r="4760" spans="1:7" x14ac:dyDescent="0.25">
      <c r="A4760" s="10"/>
      <c r="B4760" s="10"/>
      <c r="C4760" s="10"/>
      <c r="D4760" s="12"/>
      <c r="E4760" s="10"/>
      <c r="F4760" s="10"/>
      <c r="G4760" s="10"/>
    </row>
    <row r="4761" spans="1:7" x14ac:dyDescent="0.25">
      <c r="A4761" s="10"/>
      <c r="B4761" s="10"/>
      <c r="C4761" s="10"/>
      <c r="D4761" s="12"/>
      <c r="E4761" s="10"/>
      <c r="F4761" s="10"/>
      <c r="G4761" s="10"/>
    </row>
    <row r="4762" spans="1:7" x14ac:dyDescent="0.25">
      <c r="A4762" s="10"/>
      <c r="B4762" s="10"/>
      <c r="C4762" s="10"/>
      <c r="D4762" s="12"/>
      <c r="E4762" s="10"/>
      <c r="F4762" s="10"/>
      <c r="G4762" s="10"/>
    </row>
    <row r="4763" spans="1:7" x14ac:dyDescent="0.25">
      <c r="A4763" s="10"/>
      <c r="B4763" s="10"/>
      <c r="C4763" s="10"/>
      <c r="D4763" s="12"/>
      <c r="E4763" s="10"/>
      <c r="F4763" s="10"/>
      <c r="G4763" s="10"/>
    </row>
    <row r="4764" spans="1:7" x14ac:dyDescent="0.25">
      <c r="A4764" s="10"/>
      <c r="B4764" s="10"/>
      <c r="C4764" s="10"/>
      <c r="D4764" s="12"/>
      <c r="E4764" s="10"/>
      <c r="F4764" s="10"/>
      <c r="G4764" s="10"/>
    </row>
    <row r="4765" spans="1:7" x14ac:dyDescent="0.25">
      <c r="A4765" s="10"/>
      <c r="B4765" s="10"/>
      <c r="C4765" s="10"/>
      <c r="D4765" s="12"/>
      <c r="E4765" s="10"/>
      <c r="F4765" s="10"/>
      <c r="G4765" s="10"/>
    </row>
    <row r="4766" spans="1:7" x14ac:dyDescent="0.25">
      <c r="A4766" s="10"/>
      <c r="B4766" s="10"/>
      <c r="C4766" s="10"/>
      <c r="D4766" s="12"/>
      <c r="E4766" s="10"/>
      <c r="F4766" s="10"/>
      <c r="G4766" s="10"/>
    </row>
    <row r="4767" spans="1:7" x14ac:dyDescent="0.25">
      <c r="A4767" s="10"/>
      <c r="B4767" s="10"/>
      <c r="C4767" s="10"/>
      <c r="D4767" s="12"/>
      <c r="E4767" s="10"/>
      <c r="F4767" s="10"/>
      <c r="G4767" s="10"/>
    </row>
    <row r="4768" spans="1:7" x14ac:dyDescent="0.25">
      <c r="A4768" s="10"/>
      <c r="B4768" s="10"/>
      <c r="C4768" s="10"/>
      <c r="D4768" s="12"/>
      <c r="E4768" s="10"/>
      <c r="F4768" s="10"/>
      <c r="G4768" s="10"/>
    </row>
    <row r="4769" spans="1:7" x14ac:dyDescent="0.25">
      <c r="A4769" s="10"/>
      <c r="B4769" s="10"/>
      <c r="C4769" s="10"/>
      <c r="D4769" s="12"/>
      <c r="E4769" s="10"/>
      <c r="F4769" s="10"/>
      <c r="G4769" s="10"/>
    </row>
    <row r="4770" spans="1:7" x14ac:dyDescent="0.25">
      <c r="A4770" s="10"/>
      <c r="B4770" s="10"/>
      <c r="C4770" s="10"/>
      <c r="D4770" s="12"/>
      <c r="E4770" s="10"/>
      <c r="F4770" s="10"/>
      <c r="G4770" s="10"/>
    </row>
    <row r="4771" spans="1:7" x14ac:dyDescent="0.25">
      <c r="A4771" s="10"/>
      <c r="B4771" s="10"/>
      <c r="C4771" s="10"/>
      <c r="D4771" s="12"/>
      <c r="E4771" s="10"/>
      <c r="F4771" s="10"/>
      <c r="G4771" s="10"/>
    </row>
    <row r="4772" spans="1:7" x14ac:dyDescent="0.25">
      <c r="A4772" s="10"/>
      <c r="B4772" s="10"/>
      <c r="C4772" s="10"/>
      <c r="D4772" s="12"/>
      <c r="E4772" s="10"/>
      <c r="F4772" s="10"/>
      <c r="G4772" s="10"/>
    </row>
    <row r="4773" spans="1:7" x14ac:dyDescent="0.25">
      <c r="A4773" s="10"/>
      <c r="B4773" s="10"/>
      <c r="C4773" s="10"/>
      <c r="D4773" s="12"/>
      <c r="E4773" s="10"/>
      <c r="F4773" s="10"/>
      <c r="G4773" s="10"/>
    </row>
    <row r="4774" spans="1:7" x14ac:dyDescent="0.25">
      <c r="A4774" s="10"/>
      <c r="B4774" s="10"/>
      <c r="C4774" s="10"/>
      <c r="D4774" s="12"/>
      <c r="E4774" s="10"/>
      <c r="F4774" s="10"/>
      <c r="G4774" s="10"/>
    </row>
    <row r="4775" spans="1:7" x14ac:dyDescent="0.25">
      <c r="A4775" s="10"/>
      <c r="B4775" s="10"/>
      <c r="C4775" s="10"/>
      <c r="D4775" s="12"/>
      <c r="E4775" s="10"/>
      <c r="F4775" s="10"/>
      <c r="G4775" s="10"/>
    </row>
    <row r="4776" spans="1:7" x14ac:dyDescent="0.25">
      <c r="A4776" s="10"/>
      <c r="B4776" s="10"/>
      <c r="C4776" s="10"/>
      <c r="D4776" s="12"/>
      <c r="E4776" s="10"/>
      <c r="F4776" s="10"/>
      <c r="G4776" s="10"/>
    </row>
    <row r="4777" spans="1:7" x14ac:dyDescent="0.25">
      <c r="A4777" s="10"/>
      <c r="B4777" s="10"/>
      <c r="C4777" s="10"/>
      <c r="D4777" s="12"/>
      <c r="E4777" s="10"/>
      <c r="F4777" s="10"/>
      <c r="G4777" s="10"/>
    </row>
    <row r="4778" spans="1:7" x14ac:dyDescent="0.25">
      <c r="A4778" s="10"/>
      <c r="B4778" s="10"/>
      <c r="C4778" s="10"/>
      <c r="D4778" s="12"/>
      <c r="E4778" s="10"/>
      <c r="F4778" s="10"/>
      <c r="G4778" s="10"/>
    </row>
    <row r="4779" spans="1:7" x14ac:dyDescent="0.25">
      <c r="A4779" s="10"/>
      <c r="B4779" s="10"/>
      <c r="C4779" s="10"/>
      <c r="D4779" s="12"/>
      <c r="E4779" s="10"/>
      <c r="F4779" s="10"/>
      <c r="G4779" s="10"/>
    </row>
    <row r="4780" spans="1:7" x14ac:dyDescent="0.25">
      <c r="A4780" s="10"/>
      <c r="B4780" s="10"/>
      <c r="C4780" s="10"/>
      <c r="D4780" s="12"/>
      <c r="E4780" s="10"/>
      <c r="F4780" s="10"/>
      <c r="G4780" s="10"/>
    </row>
    <row r="4781" spans="1:7" x14ac:dyDescent="0.25">
      <c r="A4781" s="10"/>
      <c r="B4781" s="10"/>
      <c r="C4781" s="10"/>
      <c r="D4781" s="12"/>
      <c r="E4781" s="10"/>
      <c r="F4781" s="10"/>
      <c r="G4781" s="10"/>
    </row>
    <row r="4782" spans="1:7" x14ac:dyDescent="0.25">
      <c r="A4782" s="10"/>
      <c r="B4782" s="10"/>
      <c r="C4782" s="10"/>
      <c r="D4782" s="12"/>
      <c r="E4782" s="10"/>
      <c r="F4782" s="10"/>
      <c r="G4782" s="10"/>
    </row>
    <row r="4783" spans="1:7" x14ac:dyDescent="0.25">
      <c r="A4783" s="10"/>
      <c r="B4783" s="10"/>
      <c r="C4783" s="10"/>
      <c r="D4783" s="12"/>
      <c r="E4783" s="10"/>
      <c r="F4783" s="10"/>
      <c r="G4783" s="10"/>
    </row>
    <row r="4784" spans="1:7" x14ac:dyDescent="0.25">
      <c r="A4784" s="10"/>
      <c r="B4784" s="10"/>
      <c r="C4784" s="10"/>
      <c r="D4784" s="12"/>
      <c r="E4784" s="10"/>
      <c r="F4784" s="10"/>
      <c r="G4784" s="10"/>
    </row>
    <row r="4785" spans="1:7" x14ac:dyDescent="0.25">
      <c r="A4785" s="10"/>
      <c r="B4785" s="10"/>
      <c r="C4785" s="10"/>
      <c r="D4785" s="12"/>
      <c r="E4785" s="10"/>
      <c r="F4785" s="10"/>
      <c r="G4785" s="10"/>
    </row>
    <row r="4786" spans="1:7" x14ac:dyDescent="0.25">
      <c r="A4786" s="10"/>
      <c r="B4786" s="10"/>
      <c r="C4786" s="10"/>
      <c r="D4786" s="12"/>
      <c r="E4786" s="10"/>
      <c r="F4786" s="10"/>
      <c r="G4786" s="10"/>
    </row>
    <row r="4787" spans="1:7" x14ac:dyDescent="0.25">
      <c r="A4787" s="10"/>
      <c r="B4787" s="10"/>
      <c r="C4787" s="10"/>
      <c r="D4787" s="12"/>
      <c r="E4787" s="10"/>
      <c r="F4787" s="10"/>
      <c r="G4787" s="10"/>
    </row>
    <row r="4788" spans="1:7" x14ac:dyDescent="0.25">
      <c r="A4788" s="10"/>
      <c r="B4788" s="10"/>
      <c r="C4788" s="10"/>
      <c r="D4788" s="12"/>
      <c r="E4788" s="10"/>
      <c r="F4788" s="10"/>
      <c r="G4788" s="10"/>
    </row>
    <row r="4789" spans="1:7" x14ac:dyDescent="0.25">
      <c r="A4789" s="10"/>
      <c r="B4789" s="10"/>
      <c r="C4789" s="10"/>
      <c r="D4789" s="12"/>
      <c r="E4789" s="10"/>
      <c r="F4789" s="10"/>
      <c r="G4789" s="10"/>
    </row>
    <row r="4790" spans="1:7" x14ac:dyDescent="0.25">
      <c r="A4790" s="10"/>
      <c r="B4790" s="10"/>
      <c r="C4790" s="10"/>
      <c r="D4790" s="12"/>
      <c r="E4790" s="10"/>
      <c r="F4790" s="10"/>
      <c r="G4790" s="10"/>
    </row>
    <row r="4791" spans="1:7" x14ac:dyDescent="0.25">
      <c r="A4791" s="10"/>
      <c r="B4791" s="10"/>
      <c r="C4791" s="10"/>
      <c r="D4791" s="12"/>
      <c r="E4791" s="10"/>
      <c r="F4791" s="10"/>
      <c r="G4791" s="10"/>
    </row>
    <row r="4792" spans="1:7" x14ac:dyDescent="0.25">
      <c r="A4792" s="10"/>
      <c r="B4792" s="10"/>
      <c r="C4792" s="10"/>
      <c r="D4792" s="12"/>
      <c r="E4792" s="10"/>
      <c r="F4792" s="10"/>
      <c r="G4792" s="10"/>
    </row>
    <row r="4793" spans="1:7" x14ac:dyDescent="0.25">
      <c r="A4793" s="10"/>
      <c r="B4793" s="10"/>
      <c r="C4793" s="10"/>
      <c r="D4793" s="12"/>
      <c r="E4793" s="10"/>
      <c r="F4793" s="10"/>
      <c r="G4793" s="10"/>
    </row>
    <row r="4794" spans="1:7" x14ac:dyDescent="0.25">
      <c r="A4794" s="10"/>
      <c r="B4794" s="10"/>
      <c r="C4794" s="10"/>
      <c r="D4794" s="12"/>
      <c r="E4794" s="10"/>
      <c r="F4794" s="10"/>
      <c r="G4794" s="10"/>
    </row>
    <row r="4795" spans="1:7" x14ac:dyDescent="0.25">
      <c r="A4795" s="10"/>
      <c r="B4795" s="10"/>
      <c r="C4795" s="10"/>
      <c r="D4795" s="12"/>
      <c r="E4795" s="10"/>
      <c r="F4795" s="10"/>
      <c r="G4795" s="10"/>
    </row>
    <row r="4796" spans="1:7" x14ac:dyDescent="0.25">
      <c r="A4796" s="10"/>
      <c r="B4796" s="10"/>
      <c r="C4796" s="10"/>
      <c r="D4796" s="12"/>
      <c r="E4796" s="10"/>
      <c r="F4796" s="10"/>
      <c r="G4796" s="10"/>
    </row>
    <row r="4797" spans="1:7" x14ac:dyDescent="0.25">
      <c r="A4797" s="10"/>
      <c r="B4797" s="10"/>
      <c r="C4797" s="10"/>
      <c r="D4797" s="12"/>
      <c r="E4797" s="10"/>
      <c r="F4797" s="10"/>
      <c r="G4797" s="10"/>
    </row>
    <row r="4798" spans="1:7" x14ac:dyDescent="0.25">
      <c r="A4798" s="10"/>
      <c r="B4798" s="10"/>
      <c r="C4798" s="10"/>
      <c r="D4798" s="12"/>
      <c r="E4798" s="10"/>
      <c r="F4798" s="10"/>
      <c r="G4798" s="10"/>
    </row>
    <row r="4799" spans="1:7" x14ac:dyDescent="0.25">
      <c r="A4799" s="10"/>
      <c r="B4799" s="10"/>
      <c r="C4799" s="10"/>
      <c r="D4799" s="12"/>
      <c r="E4799" s="10"/>
      <c r="F4799" s="10"/>
      <c r="G4799" s="10"/>
    </row>
    <row r="4800" spans="1:7" x14ac:dyDescent="0.25">
      <c r="A4800" s="10"/>
      <c r="B4800" s="10"/>
      <c r="C4800" s="10"/>
      <c r="D4800" s="12"/>
      <c r="E4800" s="10"/>
      <c r="F4800" s="10"/>
      <c r="G4800" s="10"/>
    </row>
    <row r="4801" spans="1:7" x14ac:dyDescent="0.25">
      <c r="A4801" s="10"/>
      <c r="B4801" s="10"/>
      <c r="C4801" s="10"/>
      <c r="D4801" s="12"/>
      <c r="E4801" s="10"/>
      <c r="F4801" s="10"/>
      <c r="G4801" s="10"/>
    </row>
    <row r="4802" spans="1:7" x14ac:dyDescent="0.25">
      <c r="A4802" s="10"/>
      <c r="B4802" s="10"/>
      <c r="C4802" s="10"/>
      <c r="D4802" s="12"/>
      <c r="E4802" s="10"/>
      <c r="F4802" s="10"/>
      <c r="G4802" s="10"/>
    </row>
    <row r="4803" spans="1:7" x14ac:dyDescent="0.25">
      <c r="A4803" s="10"/>
      <c r="B4803" s="10"/>
      <c r="C4803" s="10"/>
      <c r="D4803" s="12"/>
      <c r="E4803" s="10"/>
      <c r="F4803" s="10"/>
      <c r="G4803" s="10"/>
    </row>
    <row r="4804" spans="1:7" x14ac:dyDescent="0.25">
      <c r="A4804" s="10"/>
      <c r="B4804" s="10"/>
      <c r="C4804" s="10"/>
      <c r="D4804" s="12"/>
      <c r="E4804" s="10"/>
      <c r="F4804" s="10"/>
      <c r="G4804" s="10"/>
    </row>
    <row r="4805" spans="1:7" x14ac:dyDescent="0.25">
      <c r="A4805" s="10"/>
      <c r="B4805" s="10"/>
      <c r="C4805" s="10"/>
      <c r="D4805" s="12"/>
      <c r="E4805" s="10"/>
      <c r="F4805" s="10"/>
      <c r="G4805" s="10"/>
    </row>
    <row r="4806" spans="1:7" x14ac:dyDescent="0.25">
      <c r="A4806" s="10"/>
      <c r="B4806" s="10"/>
      <c r="C4806" s="10"/>
      <c r="D4806" s="12"/>
      <c r="E4806" s="10"/>
      <c r="F4806" s="10"/>
      <c r="G4806" s="10"/>
    </row>
    <row r="4807" spans="1:7" x14ac:dyDescent="0.25">
      <c r="A4807" s="10"/>
      <c r="B4807" s="10"/>
      <c r="C4807" s="10"/>
      <c r="D4807" s="12"/>
      <c r="E4807" s="10"/>
      <c r="F4807" s="10"/>
      <c r="G4807" s="10"/>
    </row>
    <row r="4808" spans="1:7" x14ac:dyDescent="0.25">
      <c r="A4808" s="10"/>
      <c r="B4808" s="10"/>
      <c r="C4808" s="10"/>
      <c r="D4808" s="12"/>
      <c r="E4808" s="10"/>
      <c r="F4808" s="10"/>
      <c r="G4808" s="10"/>
    </row>
    <row r="4809" spans="1:7" x14ac:dyDescent="0.25">
      <c r="A4809" s="10"/>
      <c r="B4809" s="10"/>
      <c r="C4809" s="10"/>
      <c r="D4809" s="12"/>
      <c r="E4809" s="10"/>
      <c r="F4809" s="10"/>
      <c r="G4809" s="10"/>
    </row>
    <row r="4810" spans="1:7" x14ac:dyDescent="0.25">
      <c r="A4810" s="10"/>
      <c r="B4810" s="10"/>
      <c r="C4810" s="10"/>
      <c r="D4810" s="12"/>
      <c r="E4810" s="10"/>
      <c r="F4810" s="10"/>
      <c r="G4810" s="10"/>
    </row>
    <row r="4811" spans="1:7" x14ac:dyDescent="0.25">
      <c r="A4811" s="10"/>
      <c r="B4811" s="10"/>
      <c r="C4811" s="10"/>
      <c r="D4811" s="12"/>
      <c r="E4811" s="10"/>
      <c r="F4811" s="10"/>
      <c r="G4811" s="10"/>
    </row>
    <row r="4812" spans="1:7" x14ac:dyDescent="0.25">
      <c r="A4812" s="10"/>
      <c r="B4812" s="10"/>
      <c r="C4812" s="10"/>
      <c r="D4812" s="12"/>
      <c r="E4812" s="10"/>
      <c r="F4812" s="10"/>
      <c r="G4812" s="10"/>
    </row>
    <row r="4813" spans="1:7" x14ac:dyDescent="0.25">
      <c r="A4813" s="10"/>
      <c r="B4813" s="10"/>
      <c r="C4813" s="10"/>
      <c r="D4813" s="12"/>
      <c r="E4813" s="10"/>
      <c r="F4813" s="10"/>
      <c r="G4813" s="10"/>
    </row>
    <row r="4814" spans="1:7" x14ac:dyDescent="0.25">
      <c r="A4814" s="10"/>
      <c r="B4814" s="10"/>
      <c r="C4814" s="10"/>
      <c r="D4814" s="12"/>
      <c r="E4814" s="10"/>
      <c r="F4814" s="10"/>
      <c r="G4814" s="10"/>
    </row>
    <row r="4815" spans="1:7" x14ac:dyDescent="0.25">
      <c r="A4815" s="10"/>
      <c r="B4815" s="10"/>
      <c r="C4815" s="10"/>
      <c r="D4815" s="12"/>
      <c r="E4815" s="10"/>
      <c r="F4815" s="10"/>
      <c r="G4815" s="10"/>
    </row>
    <row r="4816" spans="1:7" x14ac:dyDescent="0.25">
      <c r="A4816" s="10"/>
      <c r="B4816" s="10"/>
      <c r="C4816" s="10"/>
      <c r="D4816" s="12"/>
      <c r="E4816" s="10"/>
      <c r="F4816" s="10"/>
      <c r="G4816" s="10"/>
    </row>
    <row r="4817" spans="1:7" x14ac:dyDescent="0.25">
      <c r="A4817" s="10"/>
      <c r="B4817" s="10"/>
      <c r="C4817" s="10"/>
      <c r="D4817" s="12"/>
      <c r="E4817" s="10"/>
      <c r="F4817" s="10"/>
      <c r="G4817" s="10"/>
    </row>
    <row r="4818" spans="1:7" x14ac:dyDescent="0.25">
      <c r="A4818" s="10"/>
      <c r="B4818" s="10"/>
      <c r="C4818" s="10"/>
      <c r="D4818" s="12"/>
      <c r="E4818" s="10"/>
      <c r="F4818" s="10"/>
      <c r="G4818" s="10"/>
    </row>
    <row r="4819" spans="1:7" x14ac:dyDescent="0.25">
      <c r="A4819" s="10"/>
      <c r="B4819" s="10"/>
      <c r="C4819" s="10"/>
      <c r="D4819" s="12"/>
      <c r="E4819" s="10"/>
      <c r="F4819" s="10"/>
      <c r="G4819" s="10"/>
    </row>
    <row r="4820" spans="1:7" x14ac:dyDescent="0.25">
      <c r="A4820" s="10"/>
      <c r="B4820" s="10"/>
      <c r="C4820" s="10"/>
      <c r="D4820" s="12"/>
      <c r="E4820" s="10"/>
      <c r="F4820" s="10"/>
      <c r="G4820" s="10"/>
    </row>
    <row r="4821" spans="1:7" x14ac:dyDescent="0.25">
      <c r="A4821" s="10"/>
      <c r="B4821" s="10"/>
      <c r="C4821" s="10"/>
      <c r="D4821" s="12"/>
      <c r="E4821" s="10"/>
      <c r="F4821" s="10"/>
      <c r="G4821" s="10"/>
    </row>
    <row r="4822" spans="1:7" x14ac:dyDescent="0.25">
      <c r="A4822" s="10"/>
      <c r="B4822" s="10"/>
      <c r="C4822" s="10"/>
      <c r="D4822" s="12"/>
      <c r="E4822" s="10"/>
      <c r="F4822" s="10"/>
      <c r="G4822" s="10"/>
    </row>
    <row r="4823" spans="1:7" x14ac:dyDescent="0.25">
      <c r="A4823" s="10"/>
      <c r="B4823" s="10"/>
      <c r="C4823" s="10"/>
      <c r="D4823" s="12"/>
      <c r="E4823" s="10"/>
      <c r="F4823" s="10"/>
      <c r="G4823" s="10"/>
    </row>
    <row r="4824" spans="1:7" x14ac:dyDescent="0.25">
      <c r="A4824" s="10"/>
      <c r="B4824" s="10"/>
      <c r="C4824" s="10"/>
      <c r="D4824" s="12"/>
      <c r="E4824" s="10"/>
      <c r="F4824" s="10"/>
      <c r="G4824" s="10"/>
    </row>
    <row r="4825" spans="1:7" x14ac:dyDescent="0.25">
      <c r="A4825" s="10"/>
      <c r="B4825" s="10"/>
      <c r="C4825" s="10"/>
      <c r="D4825" s="12"/>
      <c r="E4825" s="10"/>
      <c r="F4825" s="10"/>
      <c r="G4825" s="10"/>
    </row>
    <row r="4826" spans="1:7" x14ac:dyDescent="0.25">
      <c r="A4826" s="10"/>
      <c r="B4826" s="10"/>
      <c r="C4826" s="10"/>
      <c r="D4826" s="12"/>
      <c r="E4826" s="10"/>
      <c r="F4826" s="10"/>
      <c r="G4826" s="10"/>
    </row>
    <row r="4827" spans="1:7" x14ac:dyDescent="0.25">
      <c r="A4827" s="10"/>
      <c r="B4827" s="10"/>
      <c r="C4827" s="10"/>
      <c r="D4827" s="12"/>
      <c r="E4827" s="10"/>
      <c r="F4827" s="10"/>
      <c r="G4827" s="10"/>
    </row>
    <row r="4828" spans="1:7" x14ac:dyDescent="0.25">
      <c r="A4828" s="10"/>
      <c r="B4828" s="10"/>
      <c r="C4828" s="10"/>
      <c r="D4828" s="12"/>
      <c r="E4828" s="10"/>
      <c r="F4828" s="10"/>
      <c r="G4828" s="10"/>
    </row>
    <row r="4829" spans="1:7" x14ac:dyDescent="0.25">
      <c r="A4829" s="10"/>
      <c r="B4829" s="10"/>
      <c r="C4829" s="10"/>
      <c r="D4829" s="12"/>
      <c r="E4829" s="10"/>
      <c r="F4829" s="10"/>
      <c r="G4829" s="10"/>
    </row>
    <row r="4830" spans="1:7" x14ac:dyDescent="0.25">
      <c r="A4830" s="10"/>
      <c r="B4830" s="10"/>
      <c r="C4830" s="10"/>
      <c r="D4830" s="12"/>
      <c r="E4830" s="10"/>
      <c r="F4830" s="10"/>
      <c r="G4830" s="10"/>
    </row>
    <row r="4831" spans="1:7" x14ac:dyDescent="0.25">
      <c r="A4831" s="10"/>
      <c r="B4831" s="10"/>
      <c r="C4831" s="10"/>
      <c r="D4831" s="12"/>
      <c r="E4831" s="10"/>
      <c r="F4831" s="10"/>
      <c r="G4831" s="10"/>
    </row>
    <row r="4832" spans="1:7" x14ac:dyDescent="0.25">
      <c r="A4832" s="10"/>
      <c r="B4832" s="10"/>
      <c r="C4832" s="10"/>
      <c r="D4832" s="12"/>
      <c r="E4832" s="10"/>
      <c r="F4832" s="10"/>
      <c r="G4832" s="10"/>
    </row>
    <row r="4833" spans="1:7" x14ac:dyDescent="0.25">
      <c r="A4833" s="10"/>
      <c r="B4833" s="10"/>
      <c r="C4833" s="10"/>
      <c r="D4833" s="12"/>
      <c r="E4833" s="10"/>
      <c r="F4833" s="10"/>
      <c r="G4833" s="10"/>
    </row>
    <row r="4834" spans="1:7" x14ac:dyDescent="0.25">
      <c r="A4834" s="10"/>
      <c r="B4834" s="10"/>
      <c r="C4834" s="10"/>
      <c r="D4834" s="12"/>
      <c r="E4834" s="10"/>
      <c r="F4834" s="10"/>
      <c r="G4834" s="10"/>
    </row>
    <row r="4835" spans="1:7" x14ac:dyDescent="0.25">
      <c r="A4835" s="10"/>
      <c r="B4835" s="10"/>
      <c r="C4835" s="10"/>
      <c r="D4835" s="12"/>
      <c r="E4835" s="10"/>
      <c r="F4835" s="10"/>
      <c r="G4835" s="10"/>
    </row>
    <row r="4836" spans="1:7" x14ac:dyDescent="0.25">
      <c r="A4836" s="10"/>
      <c r="B4836" s="10"/>
      <c r="C4836" s="10"/>
      <c r="D4836" s="12"/>
      <c r="E4836" s="10"/>
      <c r="F4836" s="10"/>
      <c r="G4836" s="10"/>
    </row>
    <row r="4837" spans="1:7" x14ac:dyDescent="0.25">
      <c r="A4837" s="10"/>
      <c r="B4837" s="10"/>
      <c r="C4837" s="10"/>
      <c r="D4837" s="12"/>
      <c r="E4837" s="10"/>
      <c r="F4837" s="10"/>
      <c r="G4837" s="10"/>
    </row>
    <row r="4838" spans="1:7" x14ac:dyDescent="0.25">
      <c r="A4838" s="10"/>
      <c r="B4838" s="10"/>
      <c r="C4838" s="10"/>
      <c r="D4838" s="12"/>
      <c r="E4838" s="10"/>
      <c r="F4838" s="10"/>
      <c r="G4838" s="10"/>
    </row>
    <row r="4839" spans="1:7" x14ac:dyDescent="0.25">
      <c r="A4839" s="10"/>
      <c r="B4839" s="10"/>
      <c r="C4839" s="10"/>
      <c r="D4839" s="12"/>
      <c r="E4839" s="10"/>
      <c r="F4839" s="10"/>
      <c r="G4839" s="10"/>
    </row>
    <row r="4840" spans="1:7" x14ac:dyDescent="0.25">
      <c r="A4840" s="10"/>
      <c r="B4840" s="10"/>
      <c r="C4840" s="10"/>
      <c r="D4840" s="12"/>
      <c r="E4840" s="10"/>
      <c r="F4840" s="10"/>
      <c r="G4840" s="10"/>
    </row>
    <row r="4841" spans="1:7" x14ac:dyDescent="0.25">
      <c r="A4841" s="10"/>
      <c r="B4841" s="10"/>
      <c r="C4841" s="10"/>
      <c r="D4841" s="12"/>
      <c r="E4841" s="10"/>
      <c r="F4841" s="10"/>
      <c r="G4841" s="10"/>
    </row>
    <row r="4842" spans="1:7" x14ac:dyDescent="0.25">
      <c r="A4842" s="10"/>
      <c r="B4842" s="10"/>
      <c r="C4842" s="10"/>
      <c r="D4842" s="12"/>
      <c r="E4842" s="10"/>
      <c r="F4842" s="10"/>
      <c r="G4842" s="10"/>
    </row>
    <row r="4843" spans="1:7" x14ac:dyDescent="0.25">
      <c r="A4843" s="10"/>
      <c r="B4843" s="10"/>
      <c r="C4843" s="10"/>
      <c r="D4843" s="12"/>
      <c r="E4843" s="10"/>
      <c r="F4843" s="10"/>
      <c r="G4843" s="10"/>
    </row>
    <row r="4844" spans="1:7" x14ac:dyDescent="0.25">
      <c r="A4844" s="10"/>
      <c r="B4844" s="10"/>
      <c r="C4844" s="10"/>
      <c r="D4844" s="12"/>
      <c r="E4844" s="10"/>
      <c r="F4844" s="10"/>
      <c r="G4844" s="10"/>
    </row>
    <row r="4845" spans="1:7" x14ac:dyDescent="0.25">
      <c r="A4845" s="10"/>
      <c r="B4845" s="10"/>
      <c r="C4845" s="10"/>
      <c r="D4845" s="12"/>
      <c r="E4845" s="10"/>
      <c r="F4845" s="10"/>
      <c r="G4845" s="10"/>
    </row>
    <row r="4846" spans="1:7" x14ac:dyDescent="0.25">
      <c r="A4846" s="10"/>
      <c r="B4846" s="10"/>
      <c r="C4846" s="10"/>
      <c r="D4846" s="12"/>
      <c r="E4846" s="10"/>
      <c r="F4846" s="10"/>
      <c r="G4846" s="10"/>
    </row>
    <row r="4847" spans="1:7" x14ac:dyDescent="0.25">
      <c r="A4847" s="10"/>
      <c r="B4847" s="10"/>
      <c r="C4847" s="10"/>
      <c r="D4847" s="12"/>
      <c r="E4847" s="10"/>
      <c r="F4847" s="10"/>
      <c r="G4847" s="10"/>
    </row>
    <row r="4848" spans="1:7" x14ac:dyDescent="0.25">
      <c r="A4848" s="10"/>
      <c r="B4848" s="10"/>
      <c r="C4848" s="10"/>
      <c r="D4848" s="12"/>
      <c r="E4848" s="10"/>
      <c r="F4848" s="10"/>
      <c r="G4848" s="10"/>
    </row>
    <row r="4849" spans="1:7" x14ac:dyDescent="0.25">
      <c r="A4849" s="10"/>
      <c r="B4849" s="10"/>
      <c r="C4849" s="10"/>
      <c r="D4849" s="12"/>
      <c r="E4849" s="10"/>
      <c r="F4849" s="10"/>
      <c r="G4849" s="10"/>
    </row>
    <row r="4850" spans="1:7" x14ac:dyDescent="0.25">
      <c r="A4850" s="10"/>
      <c r="B4850" s="10"/>
      <c r="C4850" s="10"/>
      <c r="D4850" s="12"/>
      <c r="E4850" s="10"/>
      <c r="F4850" s="10"/>
      <c r="G4850" s="10"/>
    </row>
    <row r="4851" spans="1:7" x14ac:dyDescent="0.25">
      <c r="A4851" s="10"/>
      <c r="B4851" s="10"/>
      <c r="C4851" s="10"/>
      <c r="D4851" s="12"/>
      <c r="E4851" s="10"/>
      <c r="F4851" s="10"/>
      <c r="G4851" s="10"/>
    </row>
    <row r="4852" spans="1:7" x14ac:dyDescent="0.25">
      <c r="A4852" s="10"/>
      <c r="B4852" s="10"/>
      <c r="C4852" s="10"/>
      <c r="D4852" s="12"/>
      <c r="E4852" s="10"/>
      <c r="F4852" s="10"/>
      <c r="G4852" s="10"/>
    </row>
    <row r="4853" spans="1:7" x14ac:dyDescent="0.25">
      <c r="A4853" s="10"/>
      <c r="B4853" s="10"/>
      <c r="C4853" s="10"/>
      <c r="D4853" s="12"/>
      <c r="E4853" s="10"/>
      <c r="F4853" s="10"/>
      <c r="G4853" s="10"/>
    </row>
    <row r="4854" spans="1:7" x14ac:dyDescent="0.25">
      <c r="A4854" s="10"/>
      <c r="B4854" s="10"/>
      <c r="C4854" s="10"/>
      <c r="D4854" s="12"/>
      <c r="E4854" s="10"/>
      <c r="F4854" s="10"/>
      <c r="G4854" s="10"/>
    </row>
    <row r="4855" spans="1:7" x14ac:dyDescent="0.25">
      <c r="A4855" s="10"/>
      <c r="B4855" s="10"/>
      <c r="C4855" s="10"/>
      <c r="D4855" s="12"/>
      <c r="E4855" s="10"/>
      <c r="F4855" s="10"/>
      <c r="G4855" s="10"/>
    </row>
    <row r="4856" spans="1:7" x14ac:dyDescent="0.25">
      <c r="A4856" s="10"/>
      <c r="B4856" s="10"/>
      <c r="C4856" s="10"/>
      <c r="D4856" s="12"/>
      <c r="E4856" s="10"/>
      <c r="F4856" s="10"/>
      <c r="G4856" s="10"/>
    </row>
    <row r="4857" spans="1:7" x14ac:dyDescent="0.25">
      <c r="A4857" s="10"/>
      <c r="B4857" s="10"/>
      <c r="C4857" s="10"/>
      <c r="D4857" s="12"/>
      <c r="E4857" s="10"/>
      <c r="F4857" s="10"/>
      <c r="G4857" s="10"/>
    </row>
    <row r="4858" spans="1:7" x14ac:dyDescent="0.25">
      <c r="A4858" s="10"/>
      <c r="B4858" s="10"/>
      <c r="C4858" s="10"/>
      <c r="D4858" s="12"/>
      <c r="E4858" s="10"/>
      <c r="F4858" s="10"/>
      <c r="G4858" s="10"/>
    </row>
    <row r="4859" spans="1:7" x14ac:dyDescent="0.25">
      <c r="A4859" s="10"/>
      <c r="B4859" s="10"/>
      <c r="C4859" s="10"/>
      <c r="D4859" s="12"/>
      <c r="E4859" s="10"/>
      <c r="F4859" s="10"/>
      <c r="G4859" s="10"/>
    </row>
    <row r="4860" spans="1:7" x14ac:dyDescent="0.25">
      <c r="A4860" s="10"/>
      <c r="B4860" s="10"/>
      <c r="C4860" s="10"/>
      <c r="D4860" s="12"/>
      <c r="E4860" s="10"/>
      <c r="F4860" s="10"/>
      <c r="G4860" s="10"/>
    </row>
    <row r="4861" spans="1:7" x14ac:dyDescent="0.25">
      <c r="A4861" s="10"/>
      <c r="B4861" s="10"/>
      <c r="C4861" s="10"/>
      <c r="D4861" s="12"/>
      <c r="E4861" s="10"/>
      <c r="F4861" s="10"/>
      <c r="G4861" s="10"/>
    </row>
    <row r="4862" spans="1:7" x14ac:dyDescent="0.25">
      <c r="A4862" s="10"/>
      <c r="B4862" s="10"/>
      <c r="C4862" s="10"/>
      <c r="D4862" s="12"/>
      <c r="E4862" s="10"/>
      <c r="F4862" s="10"/>
      <c r="G4862" s="10"/>
    </row>
    <row r="4863" spans="1:7" x14ac:dyDescent="0.25">
      <c r="A4863" s="10"/>
      <c r="B4863" s="10"/>
      <c r="C4863" s="10"/>
      <c r="D4863" s="12"/>
      <c r="E4863" s="10"/>
      <c r="F4863" s="10"/>
      <c r="G4863" s="10"/>
    </row>
    <row r="4864" spans="1:7" x14ac:dyDescent="0.25">
      <c r="A4864" s="10"/>
      <c r="B4864" s="10"/>
      <c r="C4864" s="10"/>
      <c r="D4864" s="12"/>
      <c r="E4864" s="10"/>
      <c r="F4864" s="10"/>
      <c r="G4864" s="10"/>
    </row>
    <row r="4865" spans="1:7" x14ac:dyDescent="0.25">
      <c r="A4865" s="10"/>
      <c r="B4865" s="10"/>
      <c r="C4865" s="10"/>
      <c r="D4865" s="12"/>
      <c r="E4865" s="10"/>
      <c r="F4865" s="10"/>
      <c r="G4865" s="10"/>
    </row>
    <row r="4866" spans="1:7" x14ac:dyDescent="0.25">
      <c r="A4866" s="10"/>
      <c r="B4866" s="10"/>
      <c r="C4866" s="10"/>
      <c r="D4866" s="12"/>
      <c r="E4866" s="10"/>
      <c r="F4866" s="10"/>
      <c r="G4866" s="10"/>
    </row>
    <row r="4867" spans="1:7" x14ac:dyDescent="0.25">
      <c r="A4867" s="10"/>
      <c r="B4867" s="10"/>
      <c r="C4867" s="10"/>
      <c r="D4867" s="12"/>
      <c r="E4867" s="10"/>
      <c r="F4867" s="10"/>
      <c r="G4867" s="10"/>
    </row>
    <row r="4868" spans="1:7" x14ac:dyDescent="0.25">
      <c r="A4868" s="10"/>
      <c r="B4868" s="10"/>
      <c r="C4868" s="10"/>
      <c r="D4868" s="12"/>
      <c r="E4868" s="10"/>
      <c r="F4868" s="10"/>
      <c r="G4868" s="10"/>
    </row>
    <row r="4869" spans="1:7" x14ac:dyDescent="0.25">
      <c r="A4869" s="10"/>
      <c r="B4869" s="10"/>
      <c r="C4869" s="10"/>
      <c r="D4869" s="12"/>
      <c r="E4869" s="10"/>
      <c r="F4869" s="10"/>
      <c r="G4869" s="10"/>
    </row>
    <row r="4870" spans="1:7" x14ac:dyDescent="0.25">
      <c r="A4870" s="10"/>
      <c r="B4870" s="10"/>
      <c r="C4870" s="10"/>
      <c r="D4870" s="12"/>
      <c r="E4870" s="10"/>
      <c r="F4870" s="10"/>
      <c r="G4870" s="10"/>
    </row>
    <row r="4871" spans="1:7" x14ac:dyDescent="0.25">
      <c r="A4871" s="10"/>
      <c r="B4871" s="10"/>
      <c r="C4871" s="10"/>
      <c r="D4871" s="12"/>
      <c r="E4871" s="10"/>
      <c r="F4871" s="10"/>
      <c r="G4871" s="10"/>
    </row>
    <row r="4872" spans="1:7" x14ac:dyDescent="0.25">
      <c r="A4872" s="10"/>
      <c r="B4872" s="10"/>
      <c r="C4872" s="10"/>
      <c r="D4872" s="12"/>
      <c r="E4872" s="10"/>
      <c r="F4872" s="10"/>
      <c r="G4872" s="10"/>
    </row>
    <row r="4873" spans="1:7" x14ac:dyDescent="0.25">
      <c r="A4873" s="10"/>
      <c r="B4873" s="10"/>
      <c r="C4873" s="10"/>
      <c r="D4873" s="12"/>
      <c r="E4873" s="10"/>
      <c r="F4873" s="10"/>
      <c r="G4873" s="10"/>
    </row>
    <row r="4874" spans="1:7" x14ac:dyDescent="0.25">
      <c r="A4874" s="10"/>
      <c r="B4874" s="10"/>
      <c r="C4874" s="10"/>
      <c r="D4874" s="12"/>
      <c r="E4874" s="10"/>
      <c r="F4874" s="10"/>
      <c r="G4874" s="10"/>
    </row>
    <row r="4875" spans="1:7" x14ac:dyDescent="0.25">
      <c r="A4875" s="10"/>
      <c r="B4875" s="10"/>
      <c r="C4875" s="10"/>
      <c r="D4875" s="12"/>
      <c r="E4875" s="10"/>
      <c r="F4875" s="10"/>
      <c r="G4875" s="10"/>
    </row>
    <row r="4876" spans="1:7" x14ac:dyDescent="0.25">
      <c r="A4876" s="10"/>
      <c r="B4876" s="10"/>
      <c r="C4876" s="10"/>
      <c r="D4876" s="12"/>
      <c r="E4876" s="10"/>
      <c r="F4876" s="10"/>
      <c r="G4876" s="10"/>
    </row>
    <row r="4877" spans="1:7" x14ac:dyDescent="0.25">
      <c r="A4877" s="10"/>
      <c r="B4877" s="10"/>
      <c r="C4877" s="10"/>
      <c r="D4877" s="12"/>
      <c r="E4877" s="10"/>
      <c r="F4877" s="10"/>
      <c r="G4877" s="10"/>
    </row>
    <row r="4878" spans="1:7" x14ac:dyDescent="0.25">
      <c r="A4878" s="10"/>
      <c r="B4878" s="10"/>
      <c r="C4878" s="10"/>
      <c r="D4878" s="12"/>
      <c r="E4878" s="10"/>
      <c r="F4878" s="10"/>
      <c r="G4878" s="10"/>
    </row>
    <row r="4879" spans="1:7" x14ac:dyDescent="0.25">
      <c r="A4879" s="10"/>
      <c r="B4879" s="10"/>
      <c r="C4879" s="10"/>
      <c r="D4879" s="12"/>
      <c r="E4879" s="10"/>
      <c r="F4879" s="10"/>
      <c r="G4879" s="10"/>
    </row>
    <row r="4880" spans="1:7" x14ac:dyDescent="0.25">
      <c r="A4880" s="10"/>
      <c r="B4880" s="10"/>
      <c r="C4880" s="10"/>
      <c r="D4880" s="12"/>
      <c r="E4880" s="10"/>
      <c r="F4880" s="10"/>
      <c r="G4880" s="10"/>
    </row>
    <row r="4881" spans="1:7" x14ac:dyDescent="0.25">
      <c r="A4881" s="10"/>
      <c r="B4881" s="10"/>
      <c r="C4881" s="10"/>
      <c r="D4881" s="12"/>
      <c r="E4881" s="10"/>
      <c r="F4881" s="10"/>
      <c r="G4881" s="10"/>
    </row>
    <row r="4882" spans="1:7" x14ac:dyDescent="0.25">
      <c r="A4882" s="10"/>
      <c r="B4882" s="10"/>
      <c r="C4882" s="10"/>
      <c r="D4882" s="12"/>
      <c r="E4882" s="10"/>
      <c r="F4882" s="10"/>
      <c r="G4882" s="10"/>
    </row>
    <row r="4883" spans="1:7" x14ac:dyDescent="0.25">
      <c r="A4883" s="10"/>
      <c r="B4883" s="10"/>
      <c r="C4883" s="10"/>
      <c r="D4883" s="12"/>
      <c r="E4883" s="10"/>
      <c r="F4883" s="10"/>
      <c r="G4883" s="10"/>
    </row>
    <row r="4884" spans="1:7" x14ac:dyDescent="0.25">
      <c r="A4884" s="10"/>
      <c r="B4884" s="10"/>
      <c r="C4884" s="10"/>
      <c r="D4884" s="12"/>
      <c r="E4884" s="10"/>
      <c r="F4884" s="10"/>
      <c r="G4884" s="10"/>
    </row>
    <row r="4885" spans="1:7" x14ac:dyDescent="0.25">
      <c r="A4885" s="10"/>
      <c r="B4885" s="10"/>
      <c r="C4885" s="10"/>
      <c r="D4885" s="12"/>
      <c r="E4885" s="10"/>
      <c r="F4885" s="10"/>
      <c r="G4885" s="10"/>
    </row>
    <row r="4886" spans="1:7" x14ac:dyDescent="0.25">
      <c r="A4886" s="10"/>
      <c r="B4886" s="10"/>
      <c r="C4886" s="10"/>
      <c r="D4886" s="12"/>
      <c r="E4886" s="10"/>
      <c r="F4886" s="10"/>
      <c r="G4886" s="10"/>
    </row>
    <row r="4887" spans="1:7" x14ac:dyDescent="0.25">
      <c r="A4887" s="10"/>
      <c r="B4887" s="10"/>
      <c r="C4887" s="10"/>
      <c r="D4887" s="12"/>
      <c r="E4887" s="10"/>
      <c r="F4887" s="10"/>
      <c r="G4887" s="10"/>
    </row>
    <row r="4888" spans="1:7" x14ac:dyDescent="0.25">
      <c r="A4888" s="10"/>
      <c r="B4888" s="10"/>
      <c r="C4888" s="10"/>
      <c r="D4888" s="12"/>
      <c r="E4888" s="10"/>
      <c r="F4888" s="10"/>
      <c r="G4888" s="10"/>
    </row>
    <row r="4889" spans="1:7" x14ac:dyDescent="0.25">
      <c r="A4889" s="10"/>
      <c r="B4889" s="10"/>
      <c r="C4889" s="10"/>
      <c r="D4889" s="12"/>
      <c r="E4889" s="10"/>
      <c r="F4889" s="10"/>
      <c r="G4889" s="10"/>
    </row>
    <row r="4890" spans="1:7" x14ac:dyDescent="0.25">
      <c r="A4890" s="10"/>
      <c r="B4890" s="10"/>
      <c r="C4890" s="10"/>
      <c r="D4890" s="12"/>
      <c r="E4890" s="10"/>
      <c r="F4890" s="10"/>
      <c r="G4890" s="10"/>
    </row>
    <row r="4891" spans="1:7" x14ac:dyDescent="0.25">
      <c r="A4891" s="10"/>
      <c r="B4891" s="10"/>
      <c r="C4891" s="10"/>
      <c r="D4891" s="12"/>
      <c r="E4891" s="10"/>
      <c r="F4891" s="10"/>
      <c r="G4891" s="10"/>
    </row>
    <row r="4892" spans="1:7" x14ac:dyDescent="0.25">
      <c r="A4892" s="10"/>
      <c r="B4892" s="10"/>
      <c r="C4892" s="10"/>
      <c r="D4892" s="12"/>
      <c r="E4892" s="10"/>
      <c r="F4892" s="10"/>
      <c r="G4892" s="10"/>
    </row>
    <row r="4893" spans="1:7" x14ac:dyDescent="0.25">
      <c r="A4893" s="10"/>
      <c r="B4893" s="10"/>
      <c r="C4893" s="10"/>
      <c r="D4893" s="12"/>
      <c r="E4893" s="10"/>
      <c r="F4893" s="10"/>
      <c r="G4893" s="10"/>
    </row>
    <row r="4894" spans="1:7" x14ac:dyDescent="0.25">
      <c r="A4894" s="10"/>
      <c r="B4894" s="10"/>
      <c r="C4894" s="10"/>
      <c r="D4894" s="12"/>
      <c r="E4894" s="10"/>
      <c r="F4894" s="10"/>
      <c r="G4894" s="10"/>
    </row>
    <row r="4895" spans="1:7" x14ac:dyDescent="0.25">
      <c r="A4895" s="10"/>
      <c r="B4895" s="10"/>
      <c r="C4895" s="10"/>
      <c r="D4895" s="12"/>
      <c r="E4895" s="10"/>
      <c r="F4895" s="10"/>
      <c r="G4895" s="10"/>
    </row>
    <row r="4896" spans="1:7" x14ac:dyDescent="0.25">
      <c r="A4896" s="10"/>
      <c r="B4896" s="10"/>
      <c r="C4896" s="10"/>
      <c r="D4896" s="12"/>
      <c r="E4896" s="10"/>
      <c r="F4896" s="10"/>
      <c r="G4896" s="10"/>
    </row>
    <row r="4897" spans="1:7" x14ac:dyDescent="0.25">
      <c r="A4897" s="10"/>
      <c r="B4897" s="10"/>
      <c r="C4897" s="10"/>
      <c r="D4897" s="12"/>
      <c r="E4897" s="10"/>
      <c r="F4897" s="10"/>
      <c r="G4897" s="10"/>
    </row>
    <row r="4898" spans="1:7" x14ac:dyDescent="0.25">
      <c r="A4898" s="10"/>
      <c r="B4898" s="10"/>
      <c r="C4898" s="10"/>
      <c r="D4898" s="12"/>
      <c r="E4898" s="10"/>
      <c r="F4898" s="10"/>
      <c r="G4898" s="10"/>
    </row>
    <row r="4899" spans="1:7" x14ac:dyDescent="0.25">
      <c r="A4899" s="10"/>
      <c r="B4899" s="10"/>
      <c r="C4899" s="10"/>
      <c r="D4899" s="12"/>
      <c r="E4899" s="10"/>
      <c r="F4899" s="10"/>
      <c r="G4899" s="10"/>
    </row>
    <row r="4900" spans="1:7" x14ac:dyDescent="0.25">
      <c r="A4900" s="10"/>
      <c r="B4900" s="10"/>
      <c r="C4900" s="10"/>
      <c r="D4900" s="12"/>
      <c r="E4900" s="10"/>
      <c r="F4900" s="10"/>
      <c r="G4900" s="10"/>
    </row>
    <row r="4901" spans="1:7" x14ac:dyDescent="0.25">
      <c r="A4901" s="10"/>
      <c r="B4901" s="10"/>
      <c r="C4901" s="10"/>
      <c r="D4901" s="12"/>
      <c r="E4901" s="10"/>
      <c r="F4901" s="10"/>
      <c r="G4901" s="10"/>
    </row>
    <row r="4902" spans="1:7" x14ac:dyDescent="0.25">
      <c r="A4902" s="10"/>
      <c r="B4902" s="10"/>
      <c r="C4902" s="10"/>
      <c r="D4902" s="12"/>
      <c r="E4902" s="10"/>
      <c r="F4902" s="10"/>
      <c r="G4902" s="10"/>
    </row>
    <row r="4903" spans="1:7" x14ac:dyDescent="0.25">
      <c r="A4903" s="10"/>
      <c r="B4903" s="10"/>
      <c r="C4903" s="10"/>
      <c r="D4903" s="12"/>
      <c r="E4903" s="10"/>
      <c r="F4903" s="10"/>
      <c r="G4903" s="10"/>
    </row>
    <row r="4904" spans="1:7" x14ac:dyDescent="0.25">
      <c r="A4904" s="10"/>
      <c r="B4904" s="10"/>
      <c r="C4904" s="10"/>
      <c r="D4904" s="12"/>
      <c r="E4904" s="10"/>
      <c r="F4904" s="10"/>
      <c r="G4904" s="10"/>
    </row>
    <row r="4905" spans="1:7" x14ac:dyDescent="0.25">
      <c r="A4905" s="10"/>
      <c r="B4905" s="10"/>
      <c r="C4905" s="10"/>
      <c r="D4905" s="12"/>
      <c r="E4905" s="10"/>
      <c r="F4905" s="10"/>
      <c r="G4905" s="10"/>
    </row>
    <row r="4906" spans="1:7" x14ac:dyDescent="0.25">
      <c r="A4906" s="10"/>
      <c r="B4906" s="10"/>
      <c r="C4906" s="10"/>
      <c r="D4906" s="12"/>
      <c r="E4906" s="10"/>
      <c r="F4906" s="10"/>
      <c r="G4906" s="10"/>
    </row>
    <row r="4907" spans="1:7" x14ac:dyDescent="0.25">
      <c r="A4907" s="10"/>
      <c r="B4907" s="10"/>
      <c r="C4907" s="10"/>
      <c r="D4907" s="12"/>
      <c r="E4907" s="10"/>
      <c r="F4907" s="10"/>
      <c r="G4907" s="10"/>
    </row>
    <row r="4908" spans="1:7" x14ac:dyDescent="0.25">
      <c r="A4908" s="10"/>
      <c r="B4908" s="10"/>
      <c r="C4908" s="10"/>
      <c r="D4908" s="12"/>
      <c r="E4908" s="10"/>
      <c r="F4908" s="10"/>
      <c r="G4908" s="10"/>
    </row>
    <row r="4909" spans="1:7" x14ac:dyDescent="0.25">
      <c r="A4909" s="10"/>
      <c r="B4909" s="10"/>
      <c r="C4909" s="10"/>
      <c r="D4909" s="12"/>
      <c r="E4909" s="10"/>
      <c r="F4909" s="10"/>
      <c r="G4909" s="10"/>
    </row>
    <row r="4910" spans="1:7" x14ac:dyDescent="0.25">
      <c r="A4910" s="10"/>
      <c r="B4910" s="10"/>
      <c r="C4910" s="10"/>
      <c r="D4910" s="12"/>
      <c r="E4910" s="10"/>
      <c r="F4910" s="10"/>
      <c r="G4910" s="10"/>
    </row>
    <row r="4911" spans="1:7" x14ac:dyDescent="0.25">
      <c r="A4911" s="10"/>
      <c r="B4911" s="10"/>
      <c r="C4911" s="10"/>
      <c r="D4911" s="12"/>
      <c r="E4911" s="10"/>
      <c r="F4911" s="10"/>
      <c r="G4911" s="10"/>
    </row>
    <row r="4912" spans="1:7" x14ac:dyDescent="0.25">
      <c r="A4912" s="10"/>
      <c r="B4912" s="10"/>
      <c r="C4912" s="10"/>
      <c r="D4912" s="12"/>
      <c r="E4912" s="10"/>
      <c r="F4912" s="10"/>
      <c r="G4912" s="10"/>
    </row>
    <row r="4913" spans="1:7" x14ac:dyDescent="0.25">
      <c r="A4913" s="10"/>
      <c r="B4913" s="10"/>
      <c r="C4913" s="10"/>
      <c r="D4913" s="12"/>
      <c r="E4913" s="10"/>
      <c r="F4913" s="10"/>
      <c r="G4913" s="10"/>
    </row>
    <row r="4914" spans="1:7" x14ac:dyDescent="0.25">
      <c r="A4914" s="10"/>
      <c r="B4914" s="10"/>
      <c r="C4914" s="10"/>
      <c r="D4914" s="12"/>
      <c r="E4914" s="10"/>
      <c r="F4914" s="10"/>
      <c r="G4914" s="10"/>
    </row>
    <row r="4915" spans="1:7" x14ac:dyDescent="0.25">
      <c r="A4915" s="10"/>
      <c r="B4915" s="10"/>
      <c r="C4915" s="10"/>
      <c r="D4915" s="12"/>
      <c r="E4915" s="10"/>
      <c r="F4915" s="10"/>
      <c r="G4915" s="10"/>
    </row>
    <row r="4916" spans="1:7" x14ac:dyDescent="0.25">
      <c r="A4916" s="10"/>
      <c r="B4916" s="10"/>
      <c r="C4916" s="10"/>
      <c r="D4916" s="12"/>
      <c r="E4916" s="10"/>
      <c r="F4916" s="10"/>
      <c r="G4916" s="10"/>
    </row>
    <row r="4917" spans="1:7" x14ac:dyDescent="0.25">
      <c r="A4917" s="10"/>
      <c r="B4917" s="10"/>
      <c r="C4917" s="10"/>
      <c r="D4917" s="12"/>
      <c r="E4917" s="10"/>
      <c r="F4917" s="10"/>
      <c r="G4917" s="10"/>
    </row>
    <row r="4918" spans="1:7" x14ac:dyDescent="0.25">
      <c r="A4918" s="10"/>
      <c r="B4918" s="10"/>
      <c r="C4918" s="10"/>
      <c r="D4918" s="12"/>
      <c r="E4918" s="10"/>
      <c r="F4918" s="10"/>
      <c r="G4918" s="10"/>
    </row>
    <row r="4919" spans="1:7" x14ac:dyDescent="0.25">
      <c r="A4919" s="10"/>
      <c r="B4919" s="10"/>
      <c r="C4919" s="10"/>
      <c r="D4919" s="12"/>
      <c r="E4919" s="10"/>
      <c r="F4919" s="10"/>
      <c r="G4919" s="10"/>
    </row>
    <row r="4920" spans="1:7" x14ac:dyDescent="0.25">
      <c r="A4920" s="10"/>
      <c r="B4920" s="10"/>
      <c r="C4920" s="10"/>
      <c r="D4920" s="12"/>
      <c r="E4920" s="10"/>
      <c r="F4920" s="10"/>
      <c r="G4920" s="10"/>
    </row>
    <row r="4921" spans="1:7" x14ac:dyDescent="0.25">
      <c r="A4921" s="10"/>
      <c r="B4921" s="10"/>
      <c r="C4921" s="10"/>
      <c r="D4921" s="12"/>
      <c r="E4921" s="10"/>
      <c r="F4921" s="10"/>
      <c r="G4921" s="10"/>
    </row>
    <row r="4922" spans="1:7" x14ac:dyDescent="0.25">
      <c r="A4922" s="10"/>
      <c r="B4922" s="10"/>
      <c r="C4922" s="10"/>
      <c r="D4922" s="12"/>
      <c r="E4922" s="10"/>
      <c r="F4922" s="10"/>
      <c r="G4922" s="10"/>
    </row>
    <row r="4923" spans="1:7" x14ac:dyDescent="0.25">
      <c r="A4923" s="10"/>
      <c r="B4923" s="10"/>
      <c r="C4923" s="10"/>
      <c r="D4923" s="12"/>
      <c r="E4923" s="10"/>
      <c r="F4923" s="10"/>
      <c r="G4923" s="10"/>
    </row>
    <row r="4924" spans="1:7" x14ac:dyDescent="0.25">
      <c r="A4924" s="10"/>
      <c r="B4924" s="10"/>
      <c r="C4924" s="10"/>
      <c r="D4924" s="12"/>
      <c r="E4924" s="10"/>
      <c r="F4924" s="10"/>
      <c r="G4924" s="10"/>
    </row>
    <row r="4925" spans="1:7" x14ac:dyDescent="0.25">
      <c r="A4925" s="10"/>
      <c r="B4925" s="10"/>
      <c r="C4925" s="10"/>
      <c r="D4925" s="12"/>
      <c r="E4925" s="10"/>
      <c r="F4925" s="10"/>
      <c r="G4925" s="10"/>
    </row>
    <row r="4926" spans="1:7" x14ac:dyDescent="0.25">
      <c r="A4926" s="10"/>
      <c r="B4926" s="10"/>
      <c r="C4926" s="10"/>
      <c r="D4926" s="12"/>
      <c r="E4926" s="10"/>
      <c r="F4926" s="10"/>
      <c r="G4926" s="10"/>
    </row>
    <row r="4927" spans="1:7" x14ac:dyDescent="0.25">
      <c r="A4927" s="10"/>
      <c r="B4927" s="10"/>
      <c r="C4927" s="10"/>
      <c r="D4927" s="12"/>
      <c r="E4927" s="10"/>
      <c r="F4927" s="10"/>
      <c r="G4927" s="10"/>
    </row>
    <row r="4928" spans="1:7" x14ac:dyDescent="0.25">
      <c r="A4928" s="10"/>
      <c r="B4928" s="10"/>
      <c r="C4928" s="10"/>
      <c r="D4928" s="12"/>
      <c r="E4928" s="10"/>
      <c r="F4928" s="10"/>
      <c r="G4928" s="10"/>
    </row>
    <row r="4929" spans="1:7" x14ac:dyDescent="0.25">
      <c r="A4929" s="10"/>
      <c r="B4929" s="10"/>
      <c r="C4929" s="10"/>
      <c r="D4929" s="12"/>
      <c r="E4929" s="10"/>
      <c r="F4929" s="10"/>
      <c r="G4929" s="10"/>
    </row>
    <row r="4930" spans="1:7" x14ac:dyDescent="0.25">
      <c r="A4930" s="10"/>
      <c r="B4930" s="10"/>
      <c r="C4930" s="10"/>
      <c r="D4930" s="12"/>
      <c r="E4930" s="10"/>
      <c r="F4930" s="10"/>
      <c r="G4930" s="10"/>
    </row>
    <row r="4931" spans="1:7" x14ac:dyDescent="0.25">
      <c r="A4931" s="10"/>
      <c r="B4931" s="10"/>
      <c r="C4931" s="10"/>
      <c r="D4931" s="12"/>
      <c r="E4931" s="10"/>
      <c r="F4931" s="10"/>
      <c r="G4931" s="10"/>
    </row>
    <row r="4932" spans="1:7" x14ac:dyDescent="0.25">
      <c r="A4932" s="10"/>
      <c r="B4932" s="10"/>
      <c r="C4932" s="10"/>
      <c r="D4932" s="12"/>
      <c r="E4932" s="10"/>
      <c r="F4932" s="10"/>
      <c r="G4932" s="10"/>
    </row>
    <row r="4933" spans="1:7" x14ac:dyDescent="0.25">
      <c r="A4933" s="10"/>
      <c r="B4933" s="10"/>
      <c r="C4933" s="10"/>
      <c r="D4933" s="12"/>
      <c r="E4933" s="10"/>
      <c r="F4933" s="10"/>
      <c r="G4933" s="10"/>
    </row>
    <row r="4934" spans="1:7" x14ac:dyDescent="0.25">
      <c r="A4934" s="10"/>
      <c r="B4934" s="10"/>
      <c r="C4934" s="10"/>
      <c r="D4934" s="12"/>
      <c r="E4934" s="10"/>
      <c r="F4934" s="10"/>
      <c r="G4934" s="10"/>
    </row>
    <row r="4935" spans="1:7" x14ac:dyDescent="0.25">
      <c r="A4935" s="10"/>
      <c r="B4935" s="10"/>
      <c r="C4935" s="10"/>
      <c r="D4935" s="12"/>
      <c r="E4935" s="10"/>
      <c r="F4935" s="10"/>
      <c r="G4935" s="10"/>
    </row>
    <row r="4936" spans="1:7" x14ac:dyDescent="0.25">
      <c r="A4936" s="10"/>
      <c r="B4936" s="10"/>
      <c r="C4936" s="10"/>
      <c r="D4936" s="12"/>
      <c r="E4936" s="10"/>
      <c r="F4936" s="10"/>
      <c r="G4936" s="10"/>
    </row>
    <row r="4937" spans="1:7" x14ac:dyDescent="0.25">
      <c r="A4937" s="10"/>
      <c r="B4937" s="10"/>
      <c r="C4937" s="10"/>
      <c r="D4937" s="12"/>
      <c r="E4937" s="10"/>
      <c r="F4937" s="10"/>
      <c r="G4937" s="10"/>
    </row>
    <row r="4938" spans="1:7" x14ac:dyDescent="0.25">
      <c r="A4938" s="10"/>
      <c r="B4938" s="10"/>
      <c r="C4938" s="10"/>
      <c r="D4938" s="12"/>
      <c r="E4938" s="10"/>
      <c r="F4938" s="10"/>
      <c r="G4938" s="10"/>
    </row>
    <row r="4939" spans="1:7" x14ac:dyDescent="0.25">
      <c r="A4939" s="10"/>
      <c r="B4939" s="10"/>
      <c r="C4939" s="10"/>
      <c r="D4939" s="12"/>
      <c r="E4939" s="10"/>
      <c r="F4939" s="10"/>
      <c r="G4939" s="10"/>
    </row>
    <row r="4940" spans="1:7" x14ac:dyDescent="0.25">
      <c r="A4940" s="10"/>
      <c r="B4940" s="10"/>
      <c r="C4940" s="10"/>
      <c r="D4940" s="12"/>
      <c r="E4940" s="10"/>
      <c r="F4940" s="10"/>
      <c r="G4940" s="10"/>
    </row>
    <row r="4941" spans="1:7" x14ac:dyDescent="0.25">
      <c r="A4941" s="10"/>
      <c r="B4941" s="10"/>
      <c r="C4941" s="10"/>
      <c r="D4941" s="12"/>
      <c r="E4941" s="10"/>
      <c r="F4941" s="10"/>
      <c r="G4941" s="10"/>
    </row>
    <row r="4942" spans="1:7" x14ac:dyDescent="0.25">
      <c r="A4942" s="10"/>
      <c r="B4942" s="10"/>
      <c r="C4942" s="10"/>
      <c r="D4942" s="12"/>
      <c r="E4942" s="10"/>
      <c r="F4942" s="10"/>
      <c r="G4942" s="10"/>
    </row>
    <row r="4943" spans="1:7" x14ac:dyDescent="0.25">
      <c r="A4943" s="10"/>
      <c r="B4943" s="10"/>
      <c r="C4943" s="10"/>
      <c r="D4943" s="12"/>
      <c r="E4943" s="10"/>
      <c r="F4943" s="10"/>
      <c r="G4943" s="10"/>
    </row>
    <row r="4944" spans="1:7" x14ac:dyDescent="0.25">
      <c r="A4944" s="10"/>
      <c r="B4944" s="10"/>
      <c r="C4944" s="10"/>
      <c r="D4944" s="12"/>
      <c r="E4944" s="10"/>
      <c r="F4944" s="10"/>
      <c r="G4944" s="10"/>
    </row>
    <row r="4945" spans="1:7" x14ac:dyDescent="0.25">
      <c r="A4945" s="10"/>
      <c r="B4945" s="10"/>
      <c r="C4945" s="10"/>
      <c r="D4945" s="12"/>
      <c r="E4945" s="10"/>
      <c r="F4945" s="10"/>
      <c r="G4945" s="10"/>
    </row>
    <row r="4946" spans="1:7" x14ac:dyDescent="0.25">
      <c r="A4946" s="10"/>
      <c r="B4946" s="10"/>
      <c r="C4946" s="10"/>
      <c r="D4946" s="12"/>
      <c r="E4946" s="10"/>
      <c r="F4946" s="10"/>
      <c r="G4946" s="10"/>
    </row>
    <row r="4947" spans="1:7" x14ac:dyDescent="0.25">
      <c r="A4947" s="10"/>
      <c r="B4947" s="10"/>
      <c r="C4947" s="10"/>
      <c r="D4947" s="12"/>
      <c r="E4947" s="10"/>
      <c r="F4947" s="10"/>
      <c r="G4947" s="10"/>
    </row>
    <row r="4948" spans="1:7" x14ac:dyDescent="0.25">
      <c r="A4948" s="10"/>
      <c r="B4948" s="10"/>
      <c r="C4948" s="10"/>
      <c r="D4948" s="12"/>
      <c r="E4948" s="10"/>
      <c r="F4948" s="10"/>
      <c r="G4948" s="10"/>
    </row>
    <row r="4949" spans="1:7" x14ac:dyDescent="0.25">
      <c r="A4949" s="10"/>
      <c r="B4949" s="10"/>
      <c r="C4949" s="10"/>
      <c r="D4949" s="12"/>
      <c r="E4949" s="10"/>
      <c r="F4949" s="10"/>
      <c r="G4949" s="10"/>
    </row>
    <row r="4950" spans="1:7" x14ac:dyDescent="0.25">
      <c r="A4950" s="10"/>
      <c r="B4950" s="10"/>
      <c r="C4950" s="10"/>
      <c r="D4950" s="12"/>
      <c r="E4950" s="10"/>
      <c r="F4950" s="10"/>
      <c r="G4950" s="10"/>
    </row>
    <row r="4951" spans="1:7" x14ac:dyDescent="0.25">
      <c r="A4951" s="10"/>
      <c r="B4951" s="10"/>
      <c r="C4951" s="10"/>
      <c r="D4951" s="12"/>
      <c r="E4951" s="10"/>
      <c r="F4951" s="10"/>
      <c r="G4951" s="10"/>
    </row>
    <row r="4952" spans="1:7" x14ac:dyDescent="0.25">
      <c r="A4952" s="10"/>
      <c r="B4952" s="10"/>
      <c r="C4952" s="10"/>
      <c r="D4952" s="12"/>
      <c r="E4952" s="10"/>
      <c r="F4952" s="10"/>
      <c r="G4952" s="10"/>
    </row>
    <row r="4953" spans="1:7" x14ac:dyDescent="0.25">
      <c r="A4953" s="10"/>
      <c r="B4953" s="10"/>
      <c r="C4953" s="10"/>
      <c r="D4953" s="12"/>
      <c r="E4953" s="10"/>
      <c r="F4953" s="10"/>
      <c r="G4953" s="10"/>
    </row>
    <row r="4954" spans="1:7" x14ac:dyDescent="0.25">
      <c r="A4954" s="10"/>
      <c r="B4954" s="10"/>
      <c r="C4954" s="10"/>
      <c r="D4954" s="12"/>
      <c r="E4954" s="10"/>
      <c r="F4954" s="10"/>
      <c r="G4954" s="10"/>
    </row>
    <row r="4955" spans="1:7" x14ac:dyDescent="0.25">
      <c r="A4955" s="10"/>
      <c r="B4955" s="10"/>
      <c r="C4955" s="10"/>
      <c r="D4955" s="12"/>
      <c r="E4955" s="10"/>
      <c r="F4955" s="10"/>
      <c r="G4955" s="10"/>
    </row>
    <row r="4956" spans="1:7" x14ac:dyDescent="0.25">
      <c r="A4956" s="10"/>
      <c r="B4956" s="10"/>
      <c r="C4956" s="10"/>
      <c r="D4956" s="12"/>
      <c r="E4956" s="10"/>
      <c r="F4956" s="10"/>
      <c r="G4956" s="10"/>
    </row>
    <row r="4957" spans="1:7" x14ac:dyDescent="0.25">
      <c r="A4957" s="10"/>
      <c r="B4957" s="10"/>
      <c r="C4957" s="10"/>
      <c r="D4957" s="12"/>
      <c r="E4957" s="10"/>
      <c r="F4957" s="10"/>
      <c r="G4957" s="10"/>
    </row>
    <row r="4958" spans="1:7" x14ac:dyDescent="0.25">
      <c r="A4958" s="10"/>
      <c r="B4958" s="10"/>
      <c r="C4958" s="10"/>
      <c r="D4958" s="12"/>
      <c r="E4958" s="10"/>
      <c r="F4958" s="10"/>
      <c r="G4958" s="10"/>
    </row>
    <row r="4959" spans="1:7" x14ac:dyDescent="0.25">
      <c r="A4959" s="10"/>
      <c r="B4959" s="10"/>
      <c r="C4959" s="10"/>
      <c r="D4959" s="12"/>
      <c r="E4959" s="10"/>
      <c r="F4959" s="10"/>
      <c r="G4959" s="10"/>
    </row>
    <row r="4960" spans="1:7" x14ac:dyDescent="0.25">
      <c r="A4960" s="10"/>
      <c r="B4960" s="10"/>
      <c r="C4960" s="10"/>
      <c r="D4960" s="12"/>
      <c r="E4960" s="10"/>
      <c r="F4960" s="10"/>
      <c r="G4960" s="10"/>
    </row>
    <row r="4961" spans="1:7" x14ac:dyDescent="0.25">
      <c r="A4961" s="10"/>
      <c r="B4961" s="10"/>
      <c r="C4961" s="10"/>
      <c r="D4961" s="12"/>
      <c r="E4961" s="10"/>
      <c r="F4961" s="10"/>
      <c r="G4961" s="10"/>
    </row>
    <row r="4962" spans="1:7" x14ac:dyDescent="0.25">
      <c r="A4962" s="10"/>
      <c r="B4962" s="10"/>
      <c r="C4962" s="10"/>
      <c r="D4962" s="12"/>
      <c r="E4962" s="10"/>
      <c r="F4962" s="10"/>
      <c r="G4962" s="10"/>
    </row>
    <row r="4963" spans="1:7" x14ac:dyDescent="0.25">
      <c r="A4963" s="10"/>
      <c r="B4963" s="10"/>
      <c r="C4963" s="10"/>
      <c r="D4963" s="12"/>
      <c r="E4963" s="10"/>
      <c r="F4963" s="10"/>
      <c r="G4963" s="10"/>
    </row>
    <row r="4964" spans="1:7" x14ac:dyDescent="0.25">
      <c r="A4964" s="10"/>
      <c r="B4964" s="10"/>
      <c r="C4964" s="10"/>
      <c r="D4964" s="12"/>
      <c r="E4964" s="10"/>
      <c r="F4964" s="10"/>
      <c r="G4964" s="10"/>
    </row>
    <row r="4965" spans="1:7" x14ac:dyDescent="0.25">
      <c r="A4965" s="10"/>
      <c r="B4965" s="10"/>
      <c r="C4965" s="10"/>
      <c r="D4965" s="12"/>
      <c r="E4965" s="10"/>
      <c r="F4965" s="10"/>
      <c r="G4965" s="10"/>
    </row>
    <row r="4966" spans="1:7" x14ac:dyDescent="0.25">
      <c r="A4966" s="10"/>
      <c r="B4966" s="10"/>
      <c r="C4966" s="10"/>
      <c r="D4966" s="12"/>
      <c r="E4966" s="10"/>
      <c r="F4966" s="10"/>
      <c r="G4966" s="10"/>
    </row>
    <row r="4967" spans="1:7" x14ac:dyDescent="0.25">
      <c r="A4967" s="10"/>
      <c r="B4967" s="10"/>
      <c r="C4967" s="10"/>
      <c r="D4967" s="12"/>
      <c r="E4967" s="10"/>
      <c r="F4967" s="10"/>
      <c r="G4967" s="10"/>
    </row>
    <row r="4968" spans="1:7" x14ac:dyDescent="0.25">
      <c r="A4968" s="10"/>
      <c r="B4968" s="10"/>
      <c r="C4968" s="10"/>
      <c r="D4968" s="12"/>
      <c r="E4968" s="10"/>
      <c r="F4968" s="10"/>
      <c r="G4968" s="10"/>
    </row>
    <row r="4969" spans="1:7" x14ac:dyDescent="0.25">
      <c r="A4969" s="10"/>
      <c r="B4969" s="10"/>
      <c r="C4969" s="10"/>
      <c r="D4969" s="12"/>
      <c r="E4969" s="10"/>
      <c r="F4969" s="10"/>
      <c r="G4969" s="10"/>
    </row>
    <row r="4970" spans="1:7" x14ac:dyDescent="0.25">
      <c r="A4970" s="10"/>
      <c r="B4970" s="10"/>
      <c r="C4970" s="10"/>
      <c r="D4970" s="12"/>
      <c r="E4970" s="10"/>
      <c r="F4970" s="10"/>
      <c r="G4970" s="10"/>
    </row>
    <row r="4971" spans="1:7" x14ac:dyDescent="0.25">
      <c r="A4971" s="10"/>
      <c r="B4971" s="10"/>
      <c r="C4971" s="10"/>
      <c r="D4971" s="12"/>
      <c r="E4971" s="10"/>
      <c r="F4971" s="10"/>
      <c r="G4971" s="10"/>
    </row>
    <row r="4972" spans="1:7" x14ac:dyDescent="0.25">
      <c r="A4972" s="10"/>
      <c r="B4972" s="10"/>
      <c r="C4972" s="10"/>
      <c r="D4972" s="12"/>
      <c r="E4972" s="10"/>
      <c r="F4972" s="10"/>
      <c r="G4972" s="10"/>
    </row>
    <row r="4973" spans="1:7" x14ac:dyDescent="0.25">
      <c r="A4973" s="10"/>
      <c r="B4973" s="10"/>
      <c r="C4973" s="10"/>
      <c r="D4973" s="12"/>
      <c r="E4973" s="10"/>
      <c r="F4973" s="10"/>
      <c r="G4973" s="10"/>
    </row>
    <row r="4974" spans="1:7" x14ac:dyDescent="0.25">
      <c r="A4974" s="10"/>
      <c r="B4974" s="10"/>
      <c r="C4974" s="10"/>
      <c r="D4974" s="12"/>
      <c r="E4974" s="10"/>
      <c r="F4974" s="10"/>
      <c r="G4974" s="10"/>
    </row>
    <row r="4975" spans="1:7" x14ac:dyDescent="0.25">
      <c r="A4975" s="10"/>
      <c r="B4975" s="10"/>
      <c r="C4975" s="10"/>
      <c r="D4975" s="12"/>
      <c r="E4975" s="10"/>
      <c r="F4975" s="10"/>
      <c r="G4975" s="10"/>
    </row>
    <row r="4976" spans="1:7" x14ac:dyDescent="0.25">
      <c r="A4976" s="10"/>
      <c r="B4976" s="10"/>
      <c r="C4976" s="10"/>
      <c r="D4976" s="12"/>
      <c r="E4976" s="10"/>
      <c r="F4976" s="10"/>
      <c r="G4976" s="10"/>
    </row>
    <row r="4977" spans="1:7" x14ac:dyDescent="0.25">
      <c r="A4977" s="10"/>
      <c r="B4977" s="10"/>
      <c r="C4977" s="10"/>
      <c r="D4977" s="12"/>
      <c r="E4977" s="10"/>
      <c r="F4977" s="10"/>
      <c r="G4977" s="10"/>
    </row>
    <row r="4978" spans="1:7" x14ac:dyDescent="0.25">
      <c r="A4978" s="10"/>
      <c r="B4978" s="10"/>
      <c r="C4978" s="10"/>
      <c r="D4978" s="12"/>
      <c r="E4978" s="10"/>
      <c r="F4978" s="10"/>
      <c r="G4978" s="10"/>
    </row>
    <row r="4979" spans="1:7" x14ac:dyDescent="0.25">
      <c r="A4979" s="10"/>
      <c r="B4979" s="10"/>
      <c r="C4979" s="10"/>
      <c r="D4979" s="12"/>
      <c r="E4979" s="10"/>
      <c r="F4979" s="10"/>
      <c r="G4979" s="10"/>
    </row>
    <row r="4980" spans="1:7" x14ac:dyDescent="0.25">
      <c r="A4980" s="10"/>
      <c r="B4980" s="10"/>
      <c r="C4980" s="10"/>
      <c r="D4980" s="12"/>
      <c r="E4980" s="10"/>
      <c r="F4980" s="10"/>
      <c r="G4980" s="10"/>
    </row>
    <row r="4981" spans="1:7" x14ac:dyDescent="0.25">
      <c r="A4981" s="10"/>
      <c r="B4981" s="10"/>
      <c r="C4981" s="10"/>
      <c r="D4981" s="12"/>
      <c r="E4981" s="10"/>
      <c r="F4981" s="10"/>
      <c r="G4981" s="10"/>
    </row>
    <row r="4982" spans="1:7" x14ac:dyDescent="0.25">
      <c r="A4982" s="10"/>
      <c r="B4982" s="10"/>
      <c r="C4982" s="10"/>
      <c r="D4982" s="12"/>
      <c r="E4982" s="10"/>
      <c r="F4982" s="10"/>
      <c r="G4982" s="10"/>
    </row>
    <row r="4983" spans="1:7" x14ac:dyDescent="0.25">
      <c r="A4983" s="10"/>
      <c r="B4983" s="10"/>
      <c r="C4983" s="10"/>
      <c r="D4983" s="12"/>
      <c r="E4983" s="10"/>
      <c r="F4983" s="10"/>
      <c r="G4983" s="10"/>
    </row>
    <row r="4984" spans="1:7" x14ac:dyDescent="0.25">
      <c r="A4984" s="10"/>
      <c r="B4984" s="10"/>
      <c r="C4984" s="10"/>
      <c r="D4984" s="12"/>
      <c r="E4984" s="10"/>
      <c r="F4984" s="10"/>
      <c r="G4984" s="10"/>
    </row>
    <row r="4985" spans="1:7" x14ac:dyDescent="0.25">
      <c r="A4985" s="10"/>
      <c r="B4985" s="10"/>
      <c r="C4985" s="10"/>
      <c r="D4985" s="12"/>
      <c r="E4985" s="10"/>
      <c r="F4985" s="10"/>
      <c r="G4985" s="10"/>
    </row>
    <row r="4986" spans="1:7" x14ac:dyDescent="0.25">
      <c r="A4986" s="10"/>
      <c r="B4986" s="10"/>
      <c r="C4986" s="10"/>
      <c r="D4986" s="12"/>
      <c r="E4986" s="10"/>
      <c r="F4986" s="10"/>
      <c r="G4986" s="10"/>
    </row>
    <row r="4987" spans="1:7" x14ac:dyDescent="0.25">
      <c r="A4987" s="10"/>
      <c r="B4987" s="10"/>
      <c r="C4987" s="10"/>
      <c r="D4987" s="12"/>
      <c r="E4987" s="10"/>
      <c r="F4987" s="10"/>
      <c r="G4987" s="10"/>
    </row>
    <row r="4988" spans="1:7" x14ac:dyDescent="0.25">
      <c r="A4988" s="10"/>
      <c r="B4988" s="10"/>
      <c r="C4988" s="10"/>
      <c r="D4988" s="12"/>
      <c r="E4988" s="10"/>
      <c r="F4988" s="10"/>
      <c r="G4988" s="10"/>
    </row>
    <row r="4989" spans="1:7" x14ac:dyDescent="0.25">
      <c r="A4989" s="10"/>
      <c r="B4989" s="10"/>
      <c r="C4989" s="10"/>
      <c r="D4989" s="12"/>
      <c r="E4989" s="10"/>
      <c r="F4989" s="10"/>
      <c r="G4989" s="10"/>
    </row>
    <row r="4990" spans="1:7" x14ac:dyDescent="0.25">
      <c r="A4990" s="10"/>
      <c r="B4990" s="10"/>
      <c r="C4990" s="10"/>
      <c r="D4990" s="12"/>
      <c r="E4990" s="10"/>
      <c r="F4990" s="10"/>
      <c r="G4990" s="10"/>
    </row>
    <row r="4991" spans="1:7" x14ac:dyDescent="0.25">
      <c r="A4991" s="10"/>
      <c r="B4991" s="10"/>
      <c r="C4991" s="10"/>
      <c r="D4991" s="12"/>
      <c r="E4991" s="10"/>
      <c r="F4991" s="10"/>
      <c r="G4991" s="10"/>
    </row>
    <row r="4992" spans="1:7" x14ac:dyDescent="0.25">
      <c r="A4992" s="10"/>
      <c r="B4992" s="10"/>
      <c r="C4992" s="10"/>
      <c r="D4992" s="12"/>
      <c r="E4992" s="10"/>
      <c r="F4992" s="10"/>
      <c r="G4992" s="10"/>
    </row>
    <row r="4993" spans="1:7" x14ac:dyDescent="0.25">
      <c r="A4993" s="10"/>
      <c r="B4993" s="10"/>
      <c r="C4993" s="10"/>
      <c r="D4993" s="12"/>
      <c r="E4993" s="10"/>
      <c r="F4993" s="10"/>
      <c r="G4993" s="10"/>
    </row>
    <row r="4994" spans="1:7" x14ac:dyDescent="0.25">
      <c r="A4994" s="10"/>
      <c r="B4994" s="10"/>
      <c r="C4994" s="10"/>
      <c r="D4994" s="12"/>
      <c r="E4994" s="10"/>
      <c r="F4994" s="10"/>
      <c r="G4994" s="10"/>
    </row>
    <row r="4995" spans="1:7" x14ac:dyDescent="0.25">
      <c r="A4995" s="10"/>
      <c r="B4995" s="10"/>
      <c r="C4995" s="10"/>
      <c r="D4995" s="12"/>
      <c r="E4995" s="10"/>
      <c r="F4995" s="10"/>
      <c r="G4995" s="10"/>
    </row>
    <row r="4996" spans="1:7" x14ac:dyDescent="0.25">
      <c r="A4996" s="10"/>
      <c r="B4996" s="10"/>
      <c r="C4996" s="10"/>
      <c r="D4996" s="12"/>
      <c r="E4996" s="10"/>
      <c r="F4996" s="10"/>
      <c r="G4996" s="10"/>
    </row>
    <row r="4997" spans="1:7" x14ac:dyDescent="0.25">
      <c r="A4997" s="10"/>
      <c r="B4997" s="10"/>
      <c r="C4997" s="10"/>
      <c r="D4997" s="12"/>
      <c r="E4997" s="10"/>
      <c r="F4997" s="10"/>
      <c r="G4997" s="10"/>
    </row>
    <row r="4998" spans="1:7" x14ac:dyDescent="0.25">
      <c r="A4998" s="10"/>
      <c r="B4998" s="10"/>
      <c r="C4998" s="10"/>
      <c r="D4998" s="12"/>
      <c r="E4998" s="10"/>
      <c r="F4998" s="10"/>
      <c r="G4998" s="10"/>
    </row>
    <row r="4999" spans="1:7" x14ac:dyDescent="0.25">
      <c r="A4999" s="10"/>
      <c r="B4999" s="10"/>
      <c r="C4999" s="10"/>
      <c r="D4999" s="12"/>
      <c r="E4999" s="10"/>
      <c r="F4999" s="10"/>
      <c r="G4999" s="10"/>
    </row>
    <row r="5000" spans="1:7" x14ac:dyDescent="0.25">
      <c r="A5000" s="10"/>
      <c r="B5000" s="10"/>
      <c r="C5000" s="10"/>
      <c r="D5000" s="12"/>
      <c r="E5000" s="10"/>
      <c r="F5000" s="10"/>
      <c r="G5000" s="10"/>
    </row>
    <row r="5001" spans="1:7" x14ac:dyDescent="0.25">
      <c r="A5001" s="10"/>
      <c r="B5001" s="10"/>
      <c r="C5001" s="10"/>
      <c r="D5001" s="12"/>
      <c r="E5001" s="10"/>
      <c r="F5001" s="10"/>
      <c r="G5001" s="10"/>
    </row>
    <row r="5002" spans="1:7" x14ac:dyDescent="0.25">
      <c r="A5002" s="10"/>
      <c r="B5002" s="10"/>
      <c r="C5002" s="10"/>
      <c r="D5002" s="12"/>
      <c r="E5002" s="10"/>
      <c r="F5002" s="10"/>
      <c r="G5002" s="10"/>
    </row>
    <row r="5003" spans="1:7" x14ac:dyDescent="0.25">
      <c r="A5003" s="10"/>
      <c r="B5003" s="10"/>
      <c r="C5003" s="10"/>
      <c r="D5003" s="12"/>
      <c r="E5003" s="10"/>
      <c r="F5003" s="10"/>
      <c r="G5003" s="10"/>
    </row>
    <row r="5004" spans="1:7" x14ac:dyDescent="0.25">
      <c r="A5004" s="10"/>
      <c r="B5004" s="10"/>
      <c r="C5004" s="10"/>
      <c r="D5004" s="12"/>
      <c r="E5004" s="10"/>
      <c r="F5004" s="10"/>
      <c r="G5004" s="10"/>
    </row>
    <row r="5005" spans="1:7" x14ac:dyDescent="0.25">
      <c r="A5005" s="10"/>
      <c r="B5005" s="10"/>
      <c r="C5005" s="10"/>
      <c r="D5005" s="12"/>
      <c r="E5005" s="10"/>
      <c r="F5005" s="10"/>
      <c r="G5005" s="10"/>
    </row>
    <row r="5006" spans="1:7" x14ac:dyDescent="0.25">
      <c r="A5006" s="10"/>
      <c r="B5006" s="10"/>
      <c r="C5006" s="10"/>
      <c r="D5006" s="12"/>
      <c r="E5006" s="10"/>
      <c r="F5006" s="10"/>
      <c r="G5006" s="10"/>
    </row>
    <row r="5007" spans="1:7" x14ac:dyDescent="0.25">
      <c r="A5007" s="10"/>
      <c r="B5007" s="10"/>
      <c r="C5007" s="10"/>
      <c r="D5007" s="12"/>
      <c r="E5007" s="10"/>
      <c r="F5007" s="10"/>
      <c r="G5007" s="10"/>
    </row>
    <row r="5008" spans="1:7" x14ac:dyDescent="0.25">
      <c r="A5008" s="10"/>
      <c r="B5008" s="10"/>
      <c r="C5008" s="10"/>
      <c r="D5008" s="12"/>
      <c r="E5008" s="10"/>
      <c r="F5008" s="10"/>
      <c r="G5008" s="10"/>
    </row>
    <row r="5009" spans="1:7" x14ac:dyDescent="0.25">
      <c r="A5009" s="10"/>
      <c r="B5009" s="10"/>
      <c r="C5009" s="10"/>
      <c r="D5009" s="12"/>
      <c r="E5009" s="10"/>
      <c r="F5009" s="10"/>
      <c r="G5009" s="10"/>
    </row>
    <row r="5010" spans="1:7" x14ac:dyDescent="0.25">
      <c r="A5010" s="10"/>
      <c r="B5010" s="10"/>
      <c r="C5010" s="10"/>
      <c r="D5010" s="12"/>
      <c r="E5010" s="10"/>
      <c r="F5010" s="10"/>
      <c r="G5010" s="10"/>
    </row>
    <row r="5011" spans="1:7" x14ac:dyDescent="0.25">
      <c r="A5011" s="10"/>
      <c r="B5011" s="10"/>
      <c r="C5011" s="10"/>
      <c r="D5011" s="12"/>
      <c r="E5011" s="10"/>
      <c r="F5011" s="10"/>
      <c r="G5011" s="10"/>
    </row>
    <row r="5012" spans="1:7" x14ac:dyDescent="0.25">
      <c r="A5012" s="10"/>
      <c r="B5012" s="10"/>
      <c r="C5012" s="10"/>
      <c r="D5012" s="12"/>
      <c r="E5012" s="10"/>
      <c r="F5012" s="10"/>
      <c r="G5012" s="10"/>
    </row>
    <row r="5013" spans="1:7" x14ac:dyDescent="0.25">
      <c r="A5013" s="10"/>
      <c r="B5013" s="10"/>
      <c r="C5013" s="10"/>
      <c r="D5013" s="12"/>
      <c r="E5013" s="10"/>
      <c r="F5013" s="10"/>
      <c r="G5013" s="10"/>
    </row>
    <row r="5014" spans="1:7" x14ac:dyDescent="0.25">
      <c r="A5014" s="10"/>
      <c r="B5014" s="10"/>
      <c r="C5014" s="10"/>
      <c r="D5014" s="12"/>
      <c r="E5014" s="10"/>
      <c r="F5014" s="10"/>
      <c r="G5014" s="10"/>
    </row>
    <row r="5015" spans="1:7" x14ac:dyDescent="0.25">
      <c r="A5015" s="10"/>
      <c r="B5015" s="10"/>
      <c r="C5015" s="10"/>
      <c r="D5015" s="12"/>
      <c r="E5015" s="10"/>
      <c r="F5015" s="10"/>
      <c r="G5015" s="10"/>
    </row>
    <row r="5016" spans="1:7" x14ac:dyDescent="0.25">
      <c r="A5016" s="10"/>
      <c r="B5016" s="10"/>
      <c r="C5016" s="10"/>
      <c r="D5016" s="12"/>
      <c r="E5016" s="10"/>
      <c r="F5016" s="10"/>
      <c r="G5016" s="10"/>
    </row>
    <row r="5017" spans="1:7" x14ac:dyDescent="0.25">
      <c r="A5017" s="10"/>
      <c r="B5017" s="10"/>
      <c r="C5017" s="10"/>
      <c r="D5017" s="12"/>
      <c r="E5017" s="10"/>
      <c r="F5017" s="10"/>
      <c r="G5017" s="10"/>
    </row>
    <row r="5018" spans="1:7" x14ac:dyDescent="0.25">
      <c r="A5018" s="10"/>
      <c r="B5018" s="10"/>
      <c r="C5018" s="10"/>
      <c r="D5018" s="12"/>
      <c r="E5018" s="10"/>
      <c r="F5018" s="10"/>
      <c r="G5018" s="10"/>
    </row>
    <row r="5019" spans="1:7" x14ac:dyDescent="0.25">
      <c r="A5019" s="10"/>
      <c r="B5019" s="10"/>
      <c r="C5019" s="10"/>
      <c r="D5019" s="12"/>
      <c r="E5019" s="10"/>
      <c r="F5019" s="10"/>
      <c r="G5019" s="10"/>
    </row>
    <row r="5020" spans="1:7" x14ac:dyDescent="0.25">
      <c r="A5020" s="10"/>
      <c r="B5020" s="10"/>
      <c r="C5020" s="10"/>
      <c r="D5020" s="12"/>
      <c r="E5020" s="10"/>
      <c r="F5020" s="10"/>
      <c r="G5020" s="10"/>
    </row>
    <row r="5021" spans="1:7" x14ac:dyDescent="0.25">
      <c r="A5021" s="10"/>
      <c r="B5021" s="10"/>
      <c r="C5021" s="10"/>
      <c r="D5021" s="12"/>
      <c r="E5021" s="10"/>
      <c r="F5021" s="10"/>
      <c r="G5021" s="10"/>
    </row>
    <row r="5022" spans="1:7" x14ac:dyDescent="0.25">
      <c r="A5022" s="10"/>
      <c r="B5022" s="10"/>
      <c r="C5022" s="10"/>
      <c r="D5022" s="12"/>
      <c r="E5022" s="10"/>
      <c r="F5022" s="10"/>
      <c r="G5022" s="10"/>
    </row>
    <row r="5023" spans="1:7" x14ac:dyDescent="0.25">
      <c r="A5023" s="10"/>
      <c r="B5023" s="10"/>
      <c r="C5023" s="10"/>
      <c r="D5023" s="12"/>
      <c r="E5023" s="10"/>
      <c r="F5023" s="10"/>
      <c r="G5023" s="10"/>
    </row>
    <row r="5024" spans="1:7" x14ac:dyDescent="0.25">
      <c r="A5024" s="10"/>
      <c r="B5024" s="10"/>
      <c r="C5024" s="10"/>
      <c r="D5024" s="12"/>
      <c r="E5024" s="10"/>
      <c r="F5024" s="10"/>
      <c r="G5024" s="10"/>
    </row>
    <row r="5025" spans="1:7" x14ac:dyDescent="0.25">
      <c r="A5025" s="10"/>
      <c r="B5025" s="10"/>
      <c r="C5025" s="10"/>
      <c r="D5025" s="12"/>
      <c r="E5025" s="10"/>
      <c r="F5025" s="10"/>
      <c r="G5025" s="10"/>
    </row>
    <row r="5026" spans="1:7" x14ac:dyDescent="0.25">
      <c r="A5026" s="10"/>
      <c r="B5026" s="10"/>
      <c r="C5026" s="10"/>
      <c r="D5026" s="12"/>
      <c r="E5026" s="10"/>
      <c r="F5026" s="10"/>
      <c r="G5026" s="10"/>
    </row>
    <row r="5027" spans="1:7" x14ac:dyDescent="0.25">
      <c r="A5027" s="10"/>
      <c r="B5027" s="10"/>
      <c r="C5027" s="10"/>
      <c r="D5027" s="12"/>
      <c r="E5027" s="10"/>
      <c r="F5027" s="10"/>
      <c r="G5027" s="10"/>
    </row>
    <row r="5028" spans="1:7" x14ac:dyDescent="0.25">
      <c r="A5028" s="10"/>
      <c r="B5028" s="10"/>
      <c r="C5028" s="10"/>
      <c r="D5028" s="12"/>
      <c r="E5028" s="10"/>
      <c r="F5028" s="10"/>
      <c r="G5028" s="10"/>
    </row>
    <row r="5029" spans="1:7" x14ac:dyDescent="0.25">
      <c r="A5029" s="10"/>
      <c r="B5029" s="10"/>
      <c r="C5029" s="10"/>
      <c r="D5029" s="12"/>
      <c r="E5029" s="10"/>
      <c r="F5029" s="10"/>
      <c r="G5029" s="10"/>
    </row>
    <row r="5030" spans="1:7" x14ac:dyDescent="0.25">
      <c r="A5030" s="10"/>
      <c r="B5030" s="10"/>
      <c r="C5030" s="10"/>
      <c r="D5030" s="12"/>
      <c r="E5030" s="10"/>
      <c r="F5030" s="10"/>
      <c r="G5030" s="10"/>
    </row>
    <row r="5031" spans="1:7" x14ac:dyDescent="0.25">
      <c r="A5031" s="10"/>
      <c r="B5031" s="10"/>
      <c r="C5031" s="10"/>
      <c r="D5031" s="12"/>
      <c r="E5031" s="10"/>
      <c r="F5031" s="10"/>
      <c r="G5031" s="10"/>
    </row>
    <row r="5032" spans="1:7" x14ac:dyDescent="0.25">
      <c r="A5032" s="10"/>
      <c r="B5032" s="10"/>
      <c r="C5032" s="10"/>
      <c r="D5032" s="12"/>
      <c r="E5032" s="10"/>
      <c r="F5032" s="10"/>
      <c r="G5032" s="10"/>
    </row>
    <row r="5033" spans="1:7" x14ac:dyDescent="0.25">
      <c r="A5033" s="10"/>
      <c r="B5033" s="10"/>
      <c r="C5033" s="10"/>
      <c r="D5033" s="12"/>
      <c r="E5033" s="10"/>
      <c r="F5033" s="10"/>
      <c r="G5033" s="10"/>
    </row>
    <row r="5034" spans="1:7" x14ac:dyDescent="0.25">
      <c r="A5034" s="10"/>
      <c r="B5034" s="10"/>
      <c r="C5034" s="10"/>
      <c r="D5034" s="12"/>
      <c r="E5034" s="10"/>
      <c r="F5034" s="10"/>
      <c r="G5034" s="10"/>
    </row>
    <row r="5035" spans="1:7" x14ac:dyDescent="0.25">
      <c r="A5035" s="10"/>
      <c r="B5035" s="10"/>
      <c r="C5035" s="10"/>
      <c r="D5035" s="12"/>
      <c r="E5035" s="10"/>
      <c r="F5035" s="10"/>
      <c r="G5035" s="10"/>
    </row>
    <row r="5036" spans="1:7" x14ac:dyDescent="0.25">
      <c r="A5036" s="10"/>
      <c r="B5036" s="10"/>
      <c r="C5036" s="10"/>
      <c r="D5036" s="12"/>
      <c r="E5036" s="10"/>
      <c r="F5036" s="10"/>
      <c r="G5036" s="10"/>
    </row>
    <row r="5037" spans="1:7" x14ac:dyDescent="0.25">
      <c r="A5037" s="10"/>
      <c r="B5037" s="10"/>
      <c r="C5037" s="10"/>
      <c r="D5037" s="12"/>
      <c r="E5037" s="10"/>
      <c r="F5037" s="10"/>
      <c r="G5037" s="10"/>
    </row>
    <row r="5038" spans="1:7" x14ac:dyDescent="0.25">
      <c r="A5038" s="10"/>
      <c r="B5038" s="10"/>
      <c r="C5038" s="10"/>
      <c r="D5038" s="12"/>
      <c r="E5038" s="10"/>
      <c r="F5038" s="10"/>
      <c r="G5038" s="10"/>
    </row>
    <row r="5039" spans="1:7" x14ac:dyDescent="0.25">
      <c r="A5039" s="10"/>
      <c r="B5039" s="10"/>
      <c r="C5039" s="10"/>
      <c r="D5039" s="12"/>
      <c r="E5039" s="10"/>
      <c r="F5039" s="10"/>
      <c r="G5039" s="10"/>
    </row>
    <row r="5040" spans="1:7" x14ac:dyDescent="0.25">
      <c r="A5040" s="10"/>
      <c r="B5040" s="10"/>
      <c r="C5040" s="10"/>
      <c r="D5040" s="12"/>
      <c r="E5040" s="10"/>
      <c r="F5040" s="10"/>
      <c r="G5040" s="10"/>
    </row>
    <row r="5041" spans="1:7" x14ac:dyDescent="0.25">
      <c r="A5041" s="10"/>
      <c r="B5041" s="10"/>
      <c r="C5041" s="10"/>
      <c r="D5041" s="12"/>
      <c r="E5041" s="10"/>
      <c r="F5041" s="10"/>
      <c r="G5041" s="10"/>
    </row>
    <row r="5042" spans="1:7" x14ac:dyDescent="0.25">
      <c r="A5042" s="10"/>
      <c r="B5042" s="10"/>
      <c r="C5042" s="10"/>
      <c r="D5042" s="12"/>
      <c r="E5042" s="10"/>
      <c r="F5042" s="10"/>
      <c r="G5042" s="10"/>
    </row>
    <row r="5043" spans="1:7" x14ac:dyDescent="0.25">
      <c r="A5043" s="10"/>
      <c r="B5043" s="10"/>
      <c r="C5043" s="10"/>
      <c r="D5043" s="12"/>
      <c r="E5043" s="10"/>
      <c r="F5043" s="10"/>
      <c r="G5043" s="10"/>
    </row>
    <row r="5044" spans="1:7" x14ac:dyDescent="0.25">
      <c r="A5044" s="10"/>
      <c r="B5044" s="10"/>
      <c r="C5044" s="10"/>
      <c r="D5044" s="12"/>
      <c r="E5044" s="10"/>
      <c r="F5044" s="10"/>
      <c r="G5044" s="10"/>
    </row>
    <row r="5045" spans="1:7" x14ac:dyDescent="0.25">
      <c r="A5045" s="10"/>
      <c r="B5045" s="10"/>
      <c r="C5045" s="10"/>
      <c r="D5045" s="12"/>
      <c r="E5045" s="10"/>
      <c r="F5045" s="10"/>
      <c r="G5045" s="10"/>
    </row>
    <row r="5046" spans="1:7" x14ac:dyDescent="0.25">
      <c r="A5046" s="10"/>
      <c r="B5046" s="10"/>
      <c r="C5046" s="10"/>
      <c r="D5046" s="12"/>
      <c r="E5046" s="10"/>
      <c r="F5046" s="10"/>
      <c r="G5046" s="10"/>
    </row>
    <row r="5047" spans="1:7" x14ac:dyDescent="0.25">
      <c r="A5047" s="10"/>
      <c r="B5047" s="10"/>
      <c r="C5047" s="10"/>
      <c r="D5047" s="12"/>
      <c r="E5047" s="10"/>
      <c r="F5047" s="10"/>
      <c r="G5047" s="10"/>
    </row>
    <row r="5048" spans="1:7" x14ac:dyDescent="0.25">
      <c r="A5048" s="10"/>
      <c r="B5048" s="10"/>
      <c r="C5048" s="10"/>
      <c r="D5048" s="12"/>
      <c r="E5048" s="10"/>
      <c r="F5048" s="10"/>
      <c r="G5048" s="10"/>
    </row>
    <row r="5049" spans="1:7" x14ac:dyDescent="0.25">
      <c r="A5049" s="10"/>
      <c r="B5049" s="10"/>
      <c r="C5049" s="10"/>
      <c r="D5049" s="12"/>
      <c r="E5049" s="10"/>
      <c r="F5049" s="10"/>
      <c r="G5049" s="10"/>
    </row>
    <row r="5050" spans="1:7" x14ac:dyDescent="0.25">
      <c r="A5050" s="10"/>
      <c r="B5050" s="10"/>
      <c r="C5050" s="10"/>
      <c r="D5050" s="12"/>
      <c r="E5050" s="10"/>
      <c r="F5050" s="10"/>
      <c r="G5050" s="10"/>
    </row>
    <row r="5051" spans="1:7" x14ac:dyDescent="0.25">
      <c r="A5051" s="10"/>
      <c r="B5051" s="10"/>
      <c r="C5051" s="10"/>
      <c r="D5051" s="12"/>
      <c r="E5051" s="10"/>
      <c r="F5051" s="10"/>
      <c r="G5051" s="10"/>
    </row>
    <row r="5052" spans="1:7" x14ac:dyDescent="0.25">
      <c r="A5052" s="10"/>
      <c r="B5052" s="10"/>
      <c r="C5052" s="10"/>
      <c r="D5052" s="12"/>
      <c r="E5052" s="10"/>
      <c r="F5052" s="10"/>
      <c r="G5052" s="10"/>
    </row>
    <row r="5053" spans="1:7" x14ac:dyDescent="0.25">
      <c r="A5053" s="10"/>
      <c r="B5053" s="10"/>
      <c r="C5053" s="10"/>
      <c r="D5053" s="12"/>
      <c r="E5053" s="10"/>
      <c r="F5053" s="10"/>
      <c r="G5053" s="10"/>
    </row>
    <row r="5054" spans="1:7" x14ac:dyDescent="0.25">
      <c r="A5054" s="10"/>
      <c r="B5054" s="10"/>
      <c r="C5054" s="10"/>
      <c r="D5054" s="12"/>
      <c r="E5054" s="10"/>
      <c r="F5054" s="10"/>
      <c r="G5054" s="10"/>
    </row>
    <row r="5055" spans="1:7" x14ac:dyDescent="0.25">
      <c r="A5055" s="10"/>
      <c r="B5055" s="10"/>
      <c r="C5055" s="10"/>
      <c r="D5055" s="12"/>
      <c r="E5055" s="10"/>
      <c r="F5055" s="10"/>
      <c r="G5055" s="10"/>
    </row>
    <row r="5056" spans="1:7" x14ac:dyDescent="0.25">
      <c r="A5056" s="10"/>
      <c r="B5056" s="10"/>
      <c r="C5056" s="10"/>
      <c r="D5056" s="12"/>
      <c r="E5056" s="10"/>
      <c r="F5056" s="10"/>
      <c r="G5056" s="10"/>
    </row>
    <row r="5057" spans="1:7" x14ac:dyDescent="0.25">
      <c r="A5057" s="10"/>
      <c r="B5057" s="10"/>
      <c r="C5057" s="10"/>
      <c r="D5057" s="12"/>
      <c r="E5057" s="10"/>
      <c r="F5057" s="10"/>
      <c r="G5057" s="10"/>
    </row>
    <row r="5058" spans="1:7" x14ac:dyDescent="0.25">
      <c r="A5058" s="10"/>
      <c r="B5058" s="10"/>
      <c r="C5058" s="10"/>
      <c r="D5058" s="12"/>
      <c r="E5058" s="10"/>
      <c r="F5058" s="10"/>
      <c r="G5058" s="10"/>
    </row>
    <row r="5059" spans="1:7" x14ac:dyDescent="0.25">
      <c r="A5059" s="10"/>
      <c r="B5059" s="10"/>
      <c r="C5059" s="10"/>
      <c r="D5059" s="12"/>
      <c r="E5059" s="10"/>
      <c r="F5059" s="10"/>
      <c r="G5059" s="10"/>
    </row>
    <row r="5060" spans="1:7" x14ac:dyDescent="0.25">
      <c r="A5060" s="10"/>
      <c r="B5060" s="10"/>
      <c r="C5060" s="10"/>
      <c r="D5060" s="12"/>
      <c r="E5060" s="10"/>
      <c r="F5060" s="10"/>
      <c r="G5060" s="10"/>
    </row>
    <row r="5061" spans="1:7" x14ac:dyDescent="0.25">
      <c r="A5061" s="10"/>
      <c r="B5061" s="10"/>
      <c r="C5061" s="10"/>
      <c r="D5061" s="12"/>
      <c r="E5061" s="10"/>
      <c r="F5061" s="10"/>
      <c r="G5061" s="10"/>
    </row>
    <row r="5062" spans="1:7" x14ac:dyDescent="0.25">
      <c r="A5062" s="10"/>
      <c r="B5062" s="10"/>
      <c r="C5062" s="10"/>
      <c r="D5062" s="12"/>
      <c r="E5062" s="10"/>
      <c r="F5062" s="10"/>
      <c r="G5062" s="10"/>
    </row>
    <row r="5063" spans="1:7" x14ac:dyDescent="0.25">
      <c r="A5063" s="10"/>
      <c r="B5063" s="10"/>
      <c r="C5063" s="10"/>
      <c r="D5063" s="12"/>
      <c r="E5063" s="10"/>
      <c r="F5063" s="10"/>
      <c r="G5063" s="10"/>
    </row>
    <row r="5064" spans="1:7" x14ac:dyDescent="0.25">
      <c r="A5064" s="10"/>
      <c r="B5064" s="10"/>
      <c r="C5064" s="10"/>
      <c r="D5064" s="12"/>
      <c r="E5064" s="10"/>
      <c r="F5064" s="10"/>
      <c r="G5064" s="10"/>
    </row>
    <row r="5065" spans="1:7" x14ac:dyDescent="0.25">
      <c r="A5065" s="10"/>
      <c r="B5065" s="10"/>
      <c r="C5065" s="10"/>
      <c r="D5065" s="12"/>
      <c r="E5065" s="10"/>
      <c r="F5065" s="10"/>
      <c r="G5065" s="10"/>
    </row>
    <row r="5066" spans="1:7" x14ac:dyDescent="0.25">
      <c r="A5066" s="10"/>
      <c r="B5066" s="10"/>
      <c r="C5066" s="10"/>
      <c r="D5066" s="12"/>
      <c r="E5066" s="10"/>
      <c r="F5066" s="10"/>
      <c r="G5066" s="10"/>
    </row>
    <row r="5067" spans="1:7" x14ac:dyDescent="0.25">
      <c r="A5067" s="10"/>
      <c r="B5067" s="10"/>
      <c r="C5067" s="10"/>
      <c r="D5067" s="12"/>
      <c r="E5067" s="10"/>
      <c r="F5067" s="10"/>
      <c r="G5067" s="10"/>
    </row>
    <row r="5068" spans="1:7" x14ac:dyDescent="0.25">
      <c r="A5068" s="10"/>
      <c r="B5068" s="10"/>
      <c r="C5068" s="10"/>
      <c r="D5068" s="12"/>
      <c r="E5068" s="10"/>
      <c r="F5068" s="10"/>
      <c r="G5068" s="10"/>
    </row>
    <row r="5069" spans="1:7" x14ac:dyDescent="0.25">
      <c r="A5069" s="10"/>
      <c r="B5069" s="10"/>
      <c r="C5069" s="10"/>
      <c r="D5069" s="12"/>
      <c r="E5069" s="10"/>
      <c r="F5069" s="10"/>
      <c r="G5069" s="10"/>
    </row>
    <row r="5070" spans="1:7" x14ac:dyDescent="0.25">
      <c r="A5070" s="10"/>
      <c r="B5070" s="10"/>
      <c r="C5070" s="10"/>
      <c r="D5070" s="12"/>
      <c r="E5070" s="10"/>
      <c r="F5070" s="10"/>
      <c r="G5070" s="10"/>
    </row>
    <row r="5071" spans="1:7" x14ac:dyDescent="0.25">
      <c r="A5071" s="10"/>
      <c r="B5071" s="10"/>
      <c r="C5071" s="10"/>
      <c r="D5071" s="12"/>
      <c r="E5071" s="10"/>
      <c r="F5071" s="10"/>
      <c r="G5071" s="10"/>
    </row>
    <row r="5072" spans="1:7" x14ac:dyDescent="0.25">
      <c r="A5072" s="10"/>
      <c r="B5072" s="10"/>
      <c r="C5072" s="10"/>
      <c r="D5072" s="12"/>
      <c r="E5072" s="10"/>
      <c r="F5072" s="10"/>
      <c r="G5072" s="10"/>
    </row>
    <row r="5073" spans="1:7" x14ac:dyDescent="0.25">
      <c r="A5073" s="10"/>
      <c r="B5073" s="10"/>
      <c r="C5073" s="10"/>
      <c r="D5073" s="12"/>
      <c r="E5073" s="10"/>
      <c r="F5073" s="10"/>
      <c r="G5073" s="10"/>
    </row>
    <row r="5074" spans="1:7" x14ac:dyDescent="0.25">
      <c r="A5074" s="10"/>
      <c r="B5074" s="10"/>
      <c r="C5074" s="10"/>
      <c r="D5074" s="12"/>
      <c r="E5074" s="10"/>
      <c r="F5074" s="10"/>
      <c r="G5074" s="10"/>
    </row>
    <row r="5075" spans="1:7" x14ac:dyDescent="0.25">
      <c r="A5075" s="10"/>
      <c r="B5075" s="10"/>
      <c r="C5075" s="10"/>
      <c r="D5075" s="12"/>
      <c r="E5075" s="10"/>
      <c r="F5075" s="10"/>
      <c r="G5075" s="10"/>
    </row>
    <row r="5076" spans="1:7" x14ac:dyDescent="0.25">
      <c r="A5076" s="10"/>
      <c r="B5076" s="10"/>
      <c r="C5076" s="10"/>
      <c r="D5076" s="12"/>
      <c r="E5076" s="10"/>
      <c r="F5076" s="10"/>
      <c r="G5076" s="10"/>
    </row>
    <row r="5077" spans="1:7" x14ac:dyDescent="0.25">
      <c r="A5077" s="10"/>
      <c r="B5077" s="10"/>
      <c r="C5077" s="10"/>
      <c r="D5077" s="12"/>
      <c r="E5077" s="10"/>
      <c r="F5077" s="10"/>
      <c r="G5077" s="10"/>
    </row>
    <row r="5078" spans="1:7" x14ac:dyDescent="0.25">
      <c r="A5078" s="10"/>
      <c r="B5078" s="10"/>
      <c r="C5078" s="10"/>
      <c r="D5078" s="12"/>
      <c r="E5078" s="10"/>
      <c r="F5078" s="10"/>
      <c r="G5078" s="10"/>
    </row>
    <row r="5079" spans="1:7" x14ac:dyDescent="0.25">
      <c r="A5079" s="10"/>
      <c r="B5079" s="10"/>
      <c r="C5079" s="10"/>
      <c r="D5079" s="12"/>
      <c r="E5079" s="10"/>
      <c r="F5079" s="10"/>
      <c r="G5079" s="10"/>
    </row>
    <row r="5080" spans="1:7" x14ac:dyDescent="0.25">
      <c r="A5080" s="10"/>
      <c r="B5080" s="10"/>
      <c r="C5080" s="10"/>
      <c r="D5080" s="12"/>
      <c r="E5080" s="10"/>
      <c r="F5080" s="10"/>
      <c r="G5080" s="10"/>
    </row>
    <row r="5081" spans="1:7" x14ac:dyDescent="0.25">
      <c r="A5081" s="10"/>
      <c r="B5081" s="10"/>
      <c r="C5081" s="10"/>
      <c r="D5081" s="12"/>
      <c r="E5081" s="10"/>
      <c r="F5081" s="10"/>
      <c r="G5081" s="10"/>
    </row>
    <row r="5082" spans="1:7" x14ac:dyDescent="0.25">
      <c r="A5082" s="10"/>
      <c r="B5082" s="10"/>
      <c r="C5082" s="10"/>
      <c r="D5082" s="12"/>
      <c r="E5082" s="10"/>
      <c r="F5082" s="10"/>
      <c r="G5082" s="10"/>
    </row>
    <row r="5083" spans="1:7" x14ac:dyDescent="0.25">
      <c r="A5083" s="10"/>
      <c r="B5083" s="10"/>
      <c r="C5083" s="10"/>
      <c r="D5083" s="12"/>
      <c r="E5083" s="10"/>
      <c r="F5083" s="10"/>
      <c r="G5083" s="10"/>
    </row>
    <row r="5084" spans="1:7" x14ac:dyDescent="0.25">
      <c r="A5084" s="10"/>
      <c r="B5084" s="10"/>
      <c r="C5084" s="10"/>
      <c r="D5084" s="12"/>
      <c r="E5084" s="10"/>
      <c r="F5084" s="10"/>
      <c r="G5084" s="10"/>
    </row>
    <row r="5085" spans="1:7" x14ac:dyDescent="0.25">
      <c r="A5085" s="10"/>
      <c r="B5085" s="10"/>
      <c r="C5085" s="10"/>
      <c r="D5085" s="12"/>
      <c r="E5085" s="10"/>
      <c r="F5085" s="10"/>
      <c r="G5085" s="10"/>
    </row>
    <row r="5086" spans="1:7" x14ac:dyDescent="0.25">
      <c r="A5086" s="10"/>
      <c r="B5086" s="10"/>
      <c r="C5086" s="10"/>
      <c r="D5086" s="12"/>
      <c r="E5086" s="10"/>
      <c r="F5086" s="10"/>
      <c r="G5086" s="10"/>
    </row>
    <row r="5087" spans="1:7" x14ac:dyDescent="0.25">
      <c r="A5087" s="10"/>
      <c r="B5087" s="10"/>
      <c r="C5087" s="10"/>
      <c r="D5087" s="12"/>
      <c r="E5087" s="10"/>
      <c r="F5087" s="10"/>
      <c r="G5087" s="10"/>
    </row>
    <row r="5088" spans="1:7" x14ac:dyDescent="0.25">
      <c r="A5088" s="10"/>
      <c r="B5088" s="10"/>
      <c r="C5088" s="10"/>
      <c r="D5088" s="12"/>
      <c r="E5088" s="10"/>
      <c r="F5088" s="10"/>
      <c r="G5088" s="10"/>
    </row>
    <row r="5089" spans="1:7" x14ac:dyDescent="0.25">
      <c r="A5089" s="10"/>
      <c r="B5089" s="10"/>
      <c r="C5089" s="10"/>
      <c r="D5089" s="12"/>
      <c r="E5089" s="10"/>
      <c r="F5089" s="10"/>
      <c r="G5089" s="10"/>
    </row>
    <row r="5090" spans="1:7" x14ac:dyDescent="0.25">
      <c r="A5090" s="10"/>
      <c r="B5090" s="10"/>
      <c r="C5090" s="10"/>
      <c r="D5090" s="12"/>
      <c r="E5090" s="10"/>
      <c r="F5090" s="10"/>
      <c r="G5090" s="10"/>
    </row>
    <row r="5091" spans="1:7" x14ac:dyDescent="0.25">
      <c r="A5091" s="10"/>
      <c r="B5091" s="10"/>
      <c r="C5091" s="10"/>
      <c r="D5091" s="12"/>
      <c r="E5091" s="10"/>
      <c r="F5091" s="10"/>
      <c r="G5091" s="10"/>
    </row>
    <row r="5092" spans="1:7" x14ac:dyDescent="0.25">
      <c r="A5092" s="10"/>
      <c r="B5092" s="10"/>
      <c r="C5092" s="10"/>
      <c r="D5092" s="12"/>
      <c r="E5092" s="10"/>
      <c r="F5092" s="10"/>
      <c r="G5092" s="10"/>
    </row>
    <row r="5093" spans="1:7" x14ac:dyDescent="0.25">
      <c r="A5093" s="10"/>
      <c r="B5093" s="10"/>
      <c r="C5093" s="10"/>
      <c r="D5093" s="12"/>
      <c r="E5093" s="10"/>
      <c r="F5093" s="10"/>
      <c r="G5093" s="10"/>
    </row>
    <row r="5094" spans="1:7" x14ac:dyDescent="0.25">
      <c r="A5094" s="10"/>
      <c r="B5094" s="10"/>
      <c r="C5094" s="10"/>
      <c r="D5094" s="12"/>
      <c r="E5094" s="10"/>
      <c r="F5094" s="10"/>
      <c r="G5094" s="10"/>
    </row>
    <row r="5095" spans="1:7" x14ac:dyDescent="0.25">
      <c r="A5095" s="10"/>
      <c r="B5095" s="10"/>
      <c r="C5095" s="10"/>
      <c r="D5095" s="12"/>
      <c r="E5095" s="10"/>
      <c r="F5095" s="10"/>
      <c r="G5095" s="10"/>
    </row>
    <row r="5096" spans="1:7" x14ac:dyDescent="0.25">
      <c r="A5096" s="10"/>
      <c r="B5096" s="10"/>
      <c r="C5096" s="10"/>
      <c r="D5096" s="12"/>
      <c r="E5096" s="10"/>
      <c r="F5096" s="10"/>
      <c r="G5096" s="10"/>
    </row>
    <row r="5097" spans="1:7" x14ac:dyDescent="0.25">
      <c r="A5097" s="10"/>
      <c r="B5097" s="10"/>
      <c r="C5097" s="10"/>
      <c r="D5097" s="12"/>
      <c r="E5097" s="10"/>
      <c r="F5097" s="10"/>
      <c r="G5097" s="10"/>
    </row>
    <row r="5098" spans="1:7" x14ac:dyDescent="0.25">
      <c r="A5098" s="10"/>
      <c r="B5098" s="10"/>
      <c r="C5098" s="10"/>
      <c r="D5098" s="12"/>
      <c r="E5098" s="10"/>
      <c r="F5098" s="10"/>
      <c r="G5098" s="10"/>
    </row>
    <row r="5099" spans="1:7" x14ac:dyDescent="0.25">
      <c r="A5099" s="10"/>
      <c r="B5099" s="10"/>
      <c r="C5099" s="10"/>
      <c r="D5099" s="12"/>
      <c r="E5099" s="10"/>
      <c r="F5099" s="10"/>
      <c r="G5099" s="10"/>
    </row>
    <row r="5100" spans="1:7" x14ac:dyDescent="0.25">
      <c r="A5100" s="10"/>
      <c r="B5100" s="10"/>
      <c r="C5100" s="10"/>
      <c r="D5100" s="12"/>
      <c r="E5100" s="10"/>
      <c r="F5100" s="10"/>
      <c r="G5100" s="10"/>
    </row>
    <row r="5101" spans="1:7" x14ac:dyDescent="0.25">
      <c r="A5101" s="10"/>
      <c r="B5101" s="10"/>
      <c r="C5101" s="10"/>
      <c r="D5101" s="12"/>
      <c r="E5101" s="10"/>
      <c r="F5101" s="10"/>
      <c r="G5101" s="10"/>
    </row>
    <row r="5102" spans="1:7" x14ac:dyDescent="0.25">
      <c r="A5102" s="10"/>
      <c r="B5102" s="10"/>
      <c r="C5102" s="10"/>
      <c r="D5102" s="12"/>
      <c r="E5102" s="10"/>
      <c r="F5102" s="10"/>
      <c r="G5102" s="10"/>
    </row>
    <row r="5103" spans="1:7" x14ac:dyDescent="0.25">
      <c r="A5103" s="10"/>
      <c r="B5103" s="10"/>
      <c r="C5103" s="10"/>
      <c r="D5103" s="12"/>
      <c r="E5103" s="10"/>
      <c r="F5103" s="10"/>
      <c r="G5103" s="10"/>
    </row>
    <row r="5104" spans="1:7" x14ac:dyDescent="0.25">
      <c r="A5104" s="10"/>
      <c r="B5104" s="10"/>
      <c r="C5104" s="10"/>
      <c r="D5104" s="12"/>
      <c r="E5104" s="10"/>
      <c r="F5104" s="10"/>
      <c r="G5104" s="10"/>
    </row>
    <row r="5105" spans="1:7" x14ac:dyDescent="0.25">
      <c r="A5105" s="10"/>
      <c r="B5105" s="10"/>
      <c r="C5105" s="10"/>
      <c r="D5105" s="12"/>
      <c r="E5105" s="10"/>
      <c r="F5105" s="10"/>
      <c r="G5105" s="10"/>
    </row>
    <row r="5106" spans="1:7" x14ac:dyDescent="0.25">
      <c r="A5106" s="10"/>
      <c r="B5106" s="10"/>
      <c r="C5106" s="10"/>
      <c r="D5106" s="12"/>
      <c r="E5106" s="10"/>
      <c r="F5106" s="10"/>
      <c r="G5106" s="10"/>
    </row>
  </sheetData>
  <autoFilter ref="A1:G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010"/>
  <sheetViews>
    <sheetView workbookViewId="0">
      <pane ySplit="7" topLeftCell="A8" activePane="bottomLeft" state="frozen"/>
      <selection pane="bottomLeft" activeCell="E8" sqref="E8"/>
    </sheetView>
  </sheetViews>
  <sheetFormatPr defaultRowHeight="15" x14ac:dyDescent="0.25"/>
  <cols>
    <col min="1" max="1" width="14.42578125" style="10" customWidth="1"/>
    <col min="2" max="3" width="20" style="10" customWidth="1"/>
    <col min="4" max="4" width="28" style="10" bestFit="1" customWidth="1"/>
    <col min="5" max="5" width="24.5703125" style="10" bestFit="1" customWidth="1"/>
    <col min="6" max="6" width="9.140625" style="4"/>
    <col min="7" max="7" width="25.28515625" style="3" bestFit="1" customWidth="1"/>
    <col min="8" max="8" width="25.28515625" customWidth="1"/>
    <col min="9" max="9" width="22.140625" customWidth="1"/>
    <col min="10" max="10" width="20.7109375" customWidth="1"/>
    <col min="11" max="11" width="16.28515625" customWidth="1"/>
    <col min="12" max="12" width="35.28515625" customWidth="1"/>
    <col min="13" max="13" width="12.85546875" bestFit="1" customWidth="1"/>
    <col min="14" max="14" width="17.28515625" customWidth="1"/>
  </cols>
  <sheetData>
    <row r="1" spans="1:15" x14ac:dyDescent="0.25">
      <c r="G1"/>
      <c r="H1" s="19"/>
    </row>
    <row r="2" spans="1:15" x14ac:dyDescent="0.25">
      <c r="B2" s="20" t="s">
        <v>9</v>
      </c>
      <c r="C2" s="22" t="s">
        <v>63</v>
      </c>
      <c r="H2" s="19"/>
      <c r="J2" s="60" t="s">
        <v>43</v>
      </c>
      <c r="K2" s="60"/>
      <c r="L2" s="60"/>
    </row>
    <row r="3" spans="1:15" x14ac:dyDescent="0.25">
      <c r="B3" s="21" t="s">
        <v>10</v>
      </c>
      <c r="C3" s="61" t="s">
        <v>42</v>
      </c>
      <c r="D3" s="61"/>
      <c r="E3" s="13" t="str">
        <f>IF(LEN(WorkfileCode&gt;10),"Workfile Code is too long!","")</f>
        <v>Workfile Code is too long!</v>
      </c>
      <c r="J3" s="59" t="s">
        <v>41</v>
      </c>
      <c r="K3" s="59"/>
      <c r="L3" s="59"/>
    </row>
    <row r="4" spans="1:15" x14ac:dyDescent="0.25">
      <c r="B4" s="21" t="s">
        <v>0</v>
      </c>
      <c r="C4" s="61" t="s">
        <v>31</v>
      </c>
      <c r="D4" s="61"/>
      <c r="J4" s="58" t="s">
        <v>62</v>
      </c>
      <c r="K4" s="58"/>
      <c r="L4" s="58"/>
    </row>
    <row r="5" spans="1:15" x14ac:dyDescent="0.25">
      <c r="I5" s="1"/>
    </row>
    <row r="6" spans="1:15" x14ac:dyDescent="0.25">
      <c r="A6" s="56" t="s">
        <v>39</v>
      </c>
      <c r="B6" s="56"/>
      <c r="C6" s="57"/>
      <c r="D6" s="56"/>
      <c r="F6" s="56" t="s">
        <v>40</v>
      </c>
      <c r="G6" s="56"/>
      <c r="H6" s="56"/>
      <c r="I6" s="56"/>
      <c r="J6" s="56"/>
      <c r="K6" s="56"/>
      <c r="L6" s="56"/>
    </row>
    <row r="7" spans="1:15" s="15" customFormat="1" x14ac:dyDescent="0.25">
      <c r="A7" s="14" t="s">
        <v>5</v>
      </c>
      <c r="B7" s="14" t="s">
        <v>37</v>
      </c>
      <c r="C7" s="14" t="s">
        <v>38</v>
      </c>
      <c r="D7" s="14" t="s">
        <v>35</v>
      </c>
      <c r="E7" s="14" t="s">
        <v>32</v>
      </c>
      <c r="F7" s="14" t="s">
        <v>23</v>
      </c>
      <c r="G7" s="14" t="s">
        <v>36</v>
      </c>
      <c r="H7" s="14" t="s">
        <v>7</v>
      </c>
      <c r="I7" s="14" t="s">
        <v>11</v>
      </c>
      <c r="J7" s="14" t="s">
        <v>1</v>
      </c>
      <c r="K7" s="14" t="s">
        <v>4</v>
      </c>
      <c r="L7" s="14" t="s">
        <v>2</v>
      </c>
      <c r="M7" s="26" t="s">
        <v>8</v>
      </c>
    </row>
    <row r="8" spans="1:15" s="17" customFormat="1" x14ac:dyDescent="0.25">
      <c r="A8" s="16" t="str">
        <f>IF(URN&lt;&gt;"",_xll.mdValue("Resident",_xlnm.Database,$F8),"")</f>
        <v/>
      </c>
      <c r="B8" s="16" t="str">
        <f>IF(PersonId&lt;&gt;"",_xll.mdValue("Resident First Name",_xlnm.Database,$A$8),"")</f>
        <v/>
      </c>
      <c r="C8" s="16" t="str">
        <f>IF(PersonId&lt;&gt;"",_xll.mdValue("Resident Last Name",_xlnm.Database,$A$8),"")</f>
        <v/>
      </c>
      <c r="D8" s="16" t="str">
        <f>IF(PersonId&lt;&gt;"",_xll.mdValue("Person Accomodation Code",_xlnm.Database,$A8),"")</f>
        <v/>
      </c>
      <c r="E8" s="28" t="str">
        <f t="shared" ref="E8:E71" si="0">IF(ClientCare_Accommodation&lt;&gt;"",IF(ClientCare_Accommodation&lt;&gt;AccommodationCode,"Missing Accommodation",""),"")</f>
        <v/>
      </c>
      <c r="F8" s="16" t="str">
        <f>IF('Paste Here'!$A2&lt;&gt;"",'Paste Here'!$A2,"")</f>
        <v/>
      </c>
      <c r="G8" s="16" t="str">
        <f>IF('Paste Here'!$B2&lt;&gt;"",'Paste Here'!$B2,"")</f>
        <v/>
      </c>
      <c r="H8" s="16" t="str">
        <f>IF('Paste Here'!$C2&lt;&gt;"",'Paste Here'!$C2,"")</f>
        <v/>
      </c>
      <c r="I8" s="25" t="str">
        <f>IF('Paste Here'!$D2&lt;&gt;"",'Paste Here'!$D2,"")</f>
        <v/>
      </c>
      <c r="J8" s="27" t="str">
        <f>IF('Paste Here'!$E2&lt;&gt;"",'Paste Here'!$E2,"")</f>
        <v/>
      </c>
      <c r="K8" s="16" t="str">
        <f>IF('Paste Here'!$F2&lt;&gt;"",'Paste Here'!$F2,"")</f>
        <v/>
      </c>
      <c r="L8" s="16" t="str">
        <f>IF('Paste Here'!$G2&lt;&gt;"",'Paste Here'!$G2,"")</f>
        <v/>
      </c>
      <c r="M8" s="18" t="str">
        <f t="shared" ref="M8:M71" si="1">IF(PersonId&lt;&gt;"","Normal","")</f>
        <v/>
      </c>
      <c r="O8" s="17" t="str">
        <f>IF(PersonId&lt;&gt;"","Normal","")</f>
        <v/>
      </c>
    </row>
    <row r="9" spans="1:15" s="17" customFormat="1" x14ac:dyDescent="0.25">
      <c r="A9" s="16" t="str">
        <f>IF(URN&lt;&gt;"",_xll.mdValue("Resident",_xlnm.Database,$F9),"")</f>
        <v/>
      </c>
      <c r="B9" s="16" t="str">
        <f>IF(PersonId&lt;&gt;"",_xll.mdValue("Resident First Name",_xlnm.Database,$A$8),"")</f>
        <v/>
      </c>
      <c r="C9" s="16" t="str">
        <f>IF(PersonId&lt;&gt;"",_xll.mdValue("Resident Last Name",_xlnm.Database,$A$8),"")</f>
        <v/>
      </c>
      <c r="D9" s="16" t="str">
        <f>IF(PersonId&lt;&gt;"",_xll.mdValue("Person Accomodation Code",_xlnm.Database,$A9),"")</f>
        <v/>
      </c>
      <c r="E9" s="28" t="str">
        <f t="shared" si="0"/>
        <v/>
      </c>
      <c r="F9" s="16" t="str">
        <f>IF('Paste Here'!$A3&lt;&gt;"",'Paste Here'!$A3,"")</f>
        <v/>
      </c>
      <c r="G9" s="16" t="str">
        <f>IF('Paste Here'!$B3&lt;&gt;"",'Paste Here'!$B3,"")</f>
        <v/>
      </c>
      <c r="H9" s="16" t="str">
        <f>IF('Paste Here'!$C3&lt;&gt;"",'Paste Here'!$C3,"")</f>
        <v/>
      </c>
      <c r="I9" s="25" t="str">
        <f>IF('Paste Here'!$D3&lt;&gt;"",'Paste Here'!$D3,"")</f>
        <v/>
      </c>
      <c r="J9" s="27" t="str">
        <f>IF('Paste Here'!$E3&lt;&gt;"",'Paste Here'!$E3,"")</f>
        <v/>
      </c>
      <c r="K9" s="16" t="str">
        <f>IF('Paste Here'!$F3&lt;&gt;"",'Paste Here'!$F3,"")</f>
        <v/>
      </c>
      <c r="L9" s="16" t="str">
        <f>IF('Paste Here'!$G3&lt;&gt;"",'Paste Here'!$G3,"")</f>
        <v/>
      </c>
      <c r="M9" s="18" t="str">
        <f t="shared" si="1"/>
        <v/>
      </c>
    </row>
    <row r="10" spans="1:15" s="17" customFormat="1" x14ac:dyDescent="0.25">
      <c r="A10" s="16" t="str">
        <f>IF(URN&lt;&gt;"",_xll.mdValue("Resident",_xlnm.Database,$F10),"")</f>
        <v/>
      </c>
      <c r="B10" s="16" t="str">
        <f>IF(PersonId&lt;&gt;"",_xll.mdValue("Resident First Name",_xlnm.Database,$A$8),"")</f>
        <v/>
      </c>
      <c r="C10" s="16" t="str">
        <f>IF(PersonId&lt;&gt;"",_xll.mdValue("Resident Last Name",_xlnm.Database,$A$8),"")</f>
        <v/>
      </c>
      <c r="D10" s="16" t="str">
        <f>IF(PersonId&lt;&gt;"",_xll.mdValue("Person Accomodation Code",_xlnm.Database,$A10),"")</f>
        <v/>
      </c>
      <c r="E10" s="28" t="str">
        <f t="shared" si="0"/>
        <v/>
      </c>
      <c r="F10" s="16" t="str">
        <f>IF('Paste Here'!$A4&lt;&gt;"",'Paste Here'!$A4,"")</f>
        <v/>
      </c>
      <c r="G10" s="16" t="str">
        <f>IF('Paste Here'!$B4&lt;&gt;"",'Paste Here'!$B4,"")</f>
        <v/>
      </c>
      <c r="H10" s="16" t="str">
        <f>IF('Paste Here'!$C4&lt;&gt;"",'Paste Here'!$C4,"")</f>
        <v/>
      </c>
      <c r="I10" s="25" t="str">
        <f>IF('Paste Here'!$D4&lt;&gt;"",'Paste Here'!$D4,"")</f>
        <v/>
      </c>
      <c r="J10" s="27" t="str">
        <f>IF('Paste Here'!$E4&lt;&gt;"",'Paste Here'!$E4,"")</f>
        <v/>
      </c>
      <c r="K10" s="16" t="str">
        <f>IF('Paste Here'!$F4&lt;&gt;"",'Paste Here'!$F4,"")</f>
        <v/>
      </c>
      <c r="L10" s="16" t="str">
        <f>IF('Paste Here'!$G4&lt;&gt;"",'Paste Here'!$G4,"")</f>
        <v/>
      </c>
      <c r="M10" s="18" t="str">
        <f t="shared" si="1"/>
        <v/>
      </c>
    </row>
    <row r="11" spans="1:15" s="17" customFormat="1" x14ac:dyDescent="0.25">
      <c r="A11" s="16" t="str">
        <f>IF(URN&lt;&gt;"",_xll.mdValue("Resident",_xlnm.Database,$F11),"")</f>
        <v/>
      </c>
      <c r="B11" s="16" t="str">
        <f>IF(PersonId&lt;&gt;"",_xll.mdValue("Resident First Name",_xlnm.Database,$A$8),"")</f>
        <v/>
      </c>
      <c r="C11" s="16" t="str">
        <f>IF(PersonId&lt;&gt;"",_xll.mdValue("Resident Last Name",_xlnm.Database,$A$8),"")</f>
        <v/>
      </c>
      <c r="D11" s="16" t="str">
        <f>IF(PersonId&lt;&gt;"",_xll.mdValue("Person Accomodation Code",_xlnm.Database,$A11),"")</f>
        <v/>
      </c>
      <c r="E11" s="28" t="str">
        <f t="shared" si="0"/>
        <v/>
      </c>
      <c r="F11" s="16" t="str">
        <f>IF('Paste Here'!$A5&lt;&gt;"",'Paste Here'!$A5,"")</f>
        <v/>
      </c>
      <c r="G11" s="16" t="str">
        <f>IF('Paste Here'!$B5&lt;&gt;"",'Paste Here'!$B5,"")</f>
        <v/>
      </c>
      <c r="H11" s="16" t="str">
        <f>IF('Paste Here'!$C5&lt;&gt;"",'Paste Here'!$C5,"")</f>
        <v/>
      </c>
      <c r="I11" s="25" t="str">
        <f>IF('Paste Here'!$D5&lt;&gt;"",'Paste Here'!$D5,"")</f>
        <v/>
      </c>
      <c r="J11" s="27" t="str">
        <f>IF('Paste Here'!$E5&lt;&gt;"",'Paste Here'!$E5,"")</f>
        <v/>
      </c>
      <c r="K11" s="16" t="str">
        <f>IF('Paste Here'!$F5&lt;&gt;"",'Paste Here'!$F5,"")</f>
        <v/>
      </c>
      <c r="L11" s="16" t="str">
        <f>IF('Paste Here'!$G5&lt;&gt;"",'Paste Here'!$G5,"")</f>
        <v/>
      </c>
      <c r="M11" s="18" t="str">
        <f t="shared" si="1"/>
        <v/>
      </c>
    </row>
    <row r="12" spans="1:15" s="17" customFormat="1" x14ac:dyDescent="0.25">
      <c r="A12" s="16" t="str">
        <f>IF(URN&lt;&gt;"",_xll.mdValue("Resident",_xlnm.Database,$F12),"")</f>
        <v/>
      </c>
      <c r="B12" s="16" t="str">
        <f>IF(PersonId&lt;&gt;"",_xll.mdValue("Resident First Name",_xlnm.Database,$A$8),"")</f>
        <v/>
      </c>
      <c r="C12" s="16" t="str">
        <f>IF(PersonId&lt;&gt;"",_xll.mdValue("Resident Last Name",_xlnm.Database,$A$8),"")</f>
        <v/>
      </c>
      <c r="D12" s="16" t="str">
        <f>IF(PersonId&lt;&gt;"",_xll.mdValue("Person Accomodation Code",_xlnm.Database,$A12),"")</f>
        <v/>
      </c>
      <c r="E12" s="28" t="str">
        <f t="shared" si="0"/>
        <v/>
      </c>
      <c r="F12" s="16" t="str">
        <f>IF('Paste Here'!$A6&lt;&gt;"",'Paste Here'!$A6,"")</f>
        <v/>
      </c>
      <c r="G12" s="16" t="str">
        <f>IF('Paste Here'!$B6&lt;&gt;"",'Paste Here'!$B6,"")</f>
        <v/>
      </c>
      <c r="H12" s="16" t="str">
        <f>IF('Paste Here'!$C6&lt;&gt;"",'Paste Here'!$C6,"")</f>
        <v/>
      </c>
      <c r="I12" s="25" t="str">
        <f>IF('Paste Here'!$D6&lt;&gt;"",'Paste Here'!$D6,"")</f>
        <v/>
      </c>
      <c r="J12" s="27" t="str">
        <f>IF('Paste Here'!$E6&lt;&gt;"",'Paste Here'!$E6,"")</f>
        <v/>
      </c>
      <c r="K12" s="16" t="str">
        <f>IF('Paste Here'!$F6&lt;&gt;"",'Paste Here'!$F6,"")</f>
        <v/>
      </c>
      <c r="L12" s="16" t="str">
        <f>IF('Paste Here'!$G6&lt;&gt;"",'Paste Here'!$G6,"")</f>
        <v/>
      </c>
      <c r="M12" s="18" t="str">
        <f t="shared" si="1"/>
        <v/>
      </c>
    </row>
    <row r="13" spans="1:15" s="17" customFormat="1" x14ac:dyDescent="0.25">
      <c r="A13" s="16" t="str">
        <f>IF(URN&lt;&gt;"",_xll.mdValue("Resident",_xlnm.Database,$F13),"")</f>
        <v/>
      </c>
      <c r="B13" s="16" t="str">
        <f>IF(PersonId&lt;&gt;"",_xll.mdValue("Resident First Name",_xlnm.Database,$A$8),"")</f>
        <v/>
      </c>
      <c r="C13" s="16" t="str">
        <f>IF(PersonId&lt;&gt;"",_xll.mdValue("Resident Last Name",_xlnm.Database,$A$8),"")</f>
        <v/>
      </c>
      <c r="D13" s="16" t="str">
        <f>IF(PersonId&lt;&gt;"",_xll.mdValue("Person Accomodation Code",_xlnm.Database,$A13),"")</f>
        <v/>
      </c>
      <c r="E13" s="28" t="str">
        <f t="shared" si="0"/>
        <v/>
      </c>
      <c r="F13" s="16" t="str">
        <f>IF('Paste Here'!$A7&lt;&gt;"",'Paste Here'!$A7,"")</f>
        <v/>
      </c>
      <c r="G13" s="16" t="str">
        <f>IF('Paste Here'!$B7&lt;&gt;"",'Paste Here'!$B7,"")</f>
        <v/>
      </c>
      <c r="H13" s="16" t="str">
        <f>IF('Paste Here'!$C7&lt;&gt;"",'Paste Here'!$C7,"")</f>
        <v/>
      </c>
      <c r="I13" s="25" t="str">
        <f>IF('Paste Here'!$D7&lt;&gt;"",'Paste Here'!$D7,"")</f>
        <v/>
      </c>
      <c r="J13" s="27" t="str">
        <f>IF('Paste Here'!$E7&lt;&gt;"",'Paste Here'!$E7,"")</f>
        <v/>
      </c>
      <c r="K13" s="16" t="str">
        <f>IF('Paste Here'!$F7&lt;&gt;"",'Paste Here'!$F7,"")</f>
        <v/>
      </c>
      <c r="L13" s="16" t="str">
        <f>IF('Paste Here'!$G7&lt;&gt;"",'Paste Here'!$G7,"")</f>
        <v/>
      </c>
      <c r="M13" s="18" t="str">
        <f t="shared" si="1"/>
        <v/>
      </c>
    </row>
    <row r="14" spans="1:15" s="17" customFormat="1" x14ac:dyDescent="0.25">
      <c r="A14" s="16" t="str">
        <f>IF(URN&lt;&gt;"",_xll.mdValue("Resident",_xlnm.Database,$F14),"")</f>
        <v/>
      </c>
      <c r="B14" s="16" t="str">
        <f>IF(PersonId&lt;&gt;"",_xll.mdValue("Resident First Name",_xlnm.Database,$A$8),"")</f>
        <v/>
      </c>
      <c r="C14" s="16" t="str">
        <f>IF(PersonId&lt;&gt;"",_xll.mdValue("Resident Last Name",_xlnm.Database,$A$8),"")</f>
        <v/>
      </c>
      <c r="D14" s="16" t="str">
        <f>IF(PersonId&lt;&gt;"",_xll.mdValue("Person Accomodation Code",_xlnm.Database,$A14),"")</f>
        <v/>
      </c>
      <c r="E14" s="28" t="str">
        <f t="shared" si="0"/>
        <v/>
      </c>
      <c r="F14" s="16" t="str">
        <f>IF('Paste Here'!$A8&lt;&gt;"",'Paste Here'!$A8,"")</f>
        <v/>
      </c>
      <c r="G14" s="16" t="str">
        <f>IF('Paste Here'!$B8&lt;&gt;"",'Paste Here'!$B8,"")</f>
        <v/>
      </c>
      <c r="H14" s="16" t="str">
        <f>IF('Paste Here'!$C8&lt;&gt;"",'Paste Here'!$C8,"")</f>
        <v/>
      </c>
      <c r="I14" s="25" t="str">
        <f>IF('Paste Here'!$D8&lt;&gt;"",'Paste Here'!$D8,"")</f>
        <v/>
      </c>
      <c r="J14" s="27" t="str">
        <f>IF('Paste Here'!$E8&lt;&gt;"",'Paste Here'!$E8,"")</f>
        <v/>
      </c>
      <c r="K14" s="16" t="str">
        <f>IF('Paste Here'!$F8&lt;&gt;"",'Paste Here'!$F8,"")</f>
        <v/>
      </c>
      <c r="L14" s="16" t="str">
        <f>IF('Paste Here'!$G8&lt;&gt;"",'Paste Here'!$G8,"")</f>
        <v/>
      </c>
      <c r="M14" s="18" t="str">
        <f t="shared" si="1"/>
        <v/>
      </c>
    </row>
    <row r="15" spans="1:15" s="17" customFormat="1" x14ac:dyDescent="0.25">
      <c r="A15" s="16" t="str">
        <f>IF(URN&lt;&gt;"",_xll.mdValue("Resident",_xlnm.Database,$F15),"")</f>
        <v/>
      </c>
      <c r="B15" s="16" t="str">
        <f>IF(PersonId&lt;&gt;"",_xll.mdValue("Resident First Name",_xlnm.Database,$A$8),"")</f>
        <v/>
      </c>
      <c r="C15" s="16" t="str">
        <f>IF(PersonId&lt;&gt;"",_xll.mdValue("Resident Last Name",_xlnm.Database,$A$8),"")</f>
        <v/>
      </c>
      <c r="D15" s="16" t="str">
        <f>IF(PersonId&lt;&gt;"",_xll.mdValue("Person Accomodation Code",_xlnm.Database,$A15),"")</f>
        <v/>
      </c>
      <c r="E15" s="28" t="str">
        <f t="shared" si="0"/>
        <v/>
      </c>
      <c r="F15" s="16" t="str">
        <f>IF('Paste Here'!$A9&lt;&gt;"",'Paste Here'!$A9,"")</f>
        <v/>
      </c>
      <c r="G15" s="16" t="str">
        <f>IF('Paste Here'!$B9&lt;&gt;"",'Paste Here'!$B9,"")</f>
        <v/>
      </c>
      <c r="H15" s="16" t="str">
        <f>IF('Paste Here'!$C9&lt;&gt;"",'Paste Here'!$C9,"")</f>
        <v/>
      </c>
      <c r="I15" s="25" t="str">
        <f>IF('Paste Here'!$D9&lt;&gt;"",'Paste Here'!$D9,"")</f>
        <v/>
      </c>
      <c r="J15" s="27" t="str">
        <f>IF('Paste Here'!$E9&lt;&gt;"",'Paste Here'!$E9,"")</f>
        <v/>
      </c>
      <c r="K15" s="16" t="str">
        <f>IF('Paste Here'!$F9&lt;&gt;"",'Paste Here'!$F9,"")</f>
        <v/>
      </c>
      <c r="L15" s="16" t="str">
        <f>IF('Paste Here'!$G9&lt;&gt;"",'Paste Here'!$G9,"")</f>
        <v/>
      </c>
      <c r="M15" s="18" t="str">
        <f t="shared" si="1"/>
        <v/>
      </c>
    </row>
    <row r="16" spans="1:15" s="17" customFormat="1" x14ac:dyDescent="0.25">
      <c r="A16" s="16" t="str">
        <f>IF(URN&lt;&gt;"",_xll.mdValue("Resident",_xlnm.Database,$F16),"")</f>
        <v/>
      </c>
      <c r="B16" s="16" t="str">
        <f>IF(PersonId&lt;&gt;"",_xll.mdValue("Resident First Name",_xlnm.Database,$A$8),"")</f>
        <v/>
      </c>
      <c r="C16" s="16" t="str">
        <f>IF(PersonId&lt;&gt;"",_xll.mdValue("Resident Last Name",_xlnm.Database,$A$8),"")</f>
        <v/>
      </c>
      <c r="D16" s="16" t="str">
        <f>IF(PersonId&lt;&gt;"",_xll.mdValue("Person Accomodation Code",_xlnm.Database,$A16),"")</f>
        <v/>
      </c>
      <c r="E16" s="28" t="str">
        <f t="shared" si="0"/>
        <v/>
      </c>
      <c r="F16" s="16" t="str">
        <f>IF('Paste Here'!$A10&lt;&gt;"",'Paste Here'!$A10,"")</f>
        <v/>
      </c>
      <c r="G16" s="16" t="str">
        <f>IF('Paste Here'!$B10&lt;&gt;"",'Paste Here'!$B10,"")</f>
        <v/>
      </c>
      <c r="H16" s="16" t="str">
        <f>IF('Paste Here'!$C10&lt;&gt;"",'Paste Here'!$C10,"")</f>
        <v/>
      </c>
      <c r="I16" s="25" t="str">
        <f>IF('Paste Here'!$D10&lt;&gt;"",'Paste Here'!$D10,"")</f>
        <v/>
      </c>
      <c r="J16" s="27" t="str">
        <f>IF('Paste Here'!$E10&lt;&gt;"",'Paste Here'!$E10,"")</f>
        <v/>
      </c>
      <c r="K16" s="16" t="str">
        <f>IF('Paste Here'!$F10&lt;&gt;"",'Paste Here'!$F10,"")</f>
        <v/>
      </c>
      <c r="L16" s="16" t="str">
        <f>IF('Paste Here'!$G10&lt;&gt;"",'Paste Here'!$G10,"")</f>
        <v/>
      </c>
      <c r="M16" s="18" t="str">
        <f t="shared" si="1"/>
        <v/>
      </c>
    </row>
    <row r="17" spans="1:13" s="17" customFormat="1" x14ac:dyDescent="0.25">
      <c r="A17" s="16" t="str">
        <f>IF(URN&lt;&gt;"",_xll.mdValue("Resident",_xlnm.Database,$F17),"")</f>
        <v/>
      </c>
      <c r="B17" s="16" t="str">
        <f>IF(PersonId&lt;&gt;"",_xll.mdValue("Resident First Name",_xlnm.Database,$A$8),"")</f>
        <v/>
      </c>
      <c r="C17" s="16" t="str">
        <f>IF(PersonId&lt;&gt;"",_xll.mdValue("Resident Last Name",_xlnm.Database,$A$8),"")</f>
        <v/>
      </c>
      <c r="D17" s="16" t="str">
        <f>IF(PersonId&lt;&gt;"",_xll.mdValue("Person Accomodation Code",_xlnm.Database,$A17),"")</f>
        <v/>
      </c>
      <c r="E17" s="28" t="str">
        <f t="shared" si="0"/>
        <v/>
      </c>
      <c r="F17" s="16" t="str">
        <f>IF('Paste Here'!$A11&lt;&gt;"",'Paste Here'!$A11,"")</f>
        <v/>
      </c>
      <c r="G17" s="16" t="str">
        <f>IF('Paste Here'!$B11&lt;&gt;"",'Paste Here'!$B11,"")</f>
        <v/>
      </c>
      <c r="H17" s="16" t="str">
        <f>IF('Paste Here'!$C11&lt;&gt;"",'Paste Here'!$C11,"")</f>
        <v/>
      </c>
      <c r="I17" s="25" t="str">
        <f>IF('Paste Here'!$D11&lt;&gt;"",'Paste Here'!$D11,"")</f>
        <v/>
      </c>
      <c r="J17" s="27" t="str">
        <f>IF('Paste Here'!$E11&lt;&gt;"",'Paste Here'!$E11,"")</f>
        <v/>
      </c>
      <c r="K17" s="16" t="str">
        <f>IF('Paste Here'!$F11&lt;&gt;"",'Paste Here'!$F11,"")</f>
        <v/>
      </c>
      <c r="L17" s="16" t="str">
        <f>IF('Paste Here'!$G11&lt;&gt;"",'Paste Here'!$G11,"")</f>
        <v/>
      </c>
      <c r="M17" s="18" t="str">
        <f t="shared" si="1"/>
        <v/>
      </c>
    </row>
    <row r="18" spans="1:13" s="17" customFormat="1" x14ac:dyDescent="0.25">
      <c r="A18" s="16" t="str">
        <f>IF(URN&lt;&gt;"",_xll.mdValue("Resident",_xlnm.Database,$F18),"")</f>
        <v/>
      </c>
      <c r="B18" s="16" t="str">
        <f>IF(PersonId&lt;&gt;"",_xll.mdValue("Resident First Name",_xlnm.Database,$A$8),"")</f>
        <v/>
      </c>
      <c r="C18" s="16" t="str">
        <f>IF(PersonId&lt;&gt;"",_xll.mdValue("Resident Last Name",_xlnm.Database,$A$8),"")</f>
        <v/>
      </c>
      <c r="D18" s="16" t="str">
        <f>IF(PersonId&lt;&gt;"",_xll.mdValue("Person Accomodation Code",_xlnm.Database,$A18),"")</f>
        <v/>
      </c>
      <c r="E18" s="28" t="str">
        <f t="shared" si="0"/>
        <v/>
      </c>
      <c r="F18" s="16" t="str">
        <f>IF('Paste Here'!$A12&lt;&gt;"",'Paste Here'!$A12,"")</f>
        <v/>
      </c>
      <c r="G18" s="16" t="str">
        <f>IF('Paste Here'!$B12&lt;&gt;"",'Paste Here'!$B12,"")</f>
        <v/>
      </c>
      <c r="H18" s="16" t="str">
        <f>IF('Paste Here'!$C12&lt;&gt;"",'Paste Here'!$C12,"")</f>
        <v/>
      </c>
      <c r="I18" s="25" t="str">
        <f>IF('Paste Here'!$D12&lt;&gt;"",'Paste Here'!$D12,"")</f>
        <v/>
      </c>
      <c r="J18" s="27" t="str">
        <f>IF('Paste Here'!$E12&lt;&gt;"",'Paste Here'!$E12,"")</f>
        <v/>
      </c>
      <c r="K18" s="16" t="str">
        <f>IF('Paste Here'!$F12&lt;&gt;"",'Paste Here'!$F12,"")</f>
        <v/>
      </c>
      <c r="L18" s="16" t="str">
        <f>IF('Paste Here'!$G12&lt;&gt;"",'Paste Here'!$G12,"")</f>
        <v/>
      </c>
      <c r="M18" s="18" t="str">
        <f t="shared" si="1"/>
        <v/>
      </c>
    </row>
    <row r="19" spans="1:13" s="17" customFormat="1" x14ac:dyDescent="0.25">
      <c r="A19" s="16" t="str">
        <f>IF(URN&lt;&gt;"",_xll.mdValue("Resident",_xlnm.Database,$F19),"")</f>
        <v/>
      </c>
      <c r="B19" s="16" t="str">
        <f>IF(PersonId&lt;&gt;"",_xll.mdValue("Resident First Name",_xlnm.Database,$A$8),"")</f>
        <v/>
      </c>
      <c r="C19" s="16" t="str">
        <f>IF(PersonId&lt;&gt;"",_xll.mdValue("Resident Last Name",_xlnm.Database,$A$8),"")</f>
        <v/>
      </c>
      <c r="D19" s="16" t="str">
        <f>IF(PersonId&lt;&gt;"",_xll.mdValue("Person Accomodation Code",_xlnm.Database,$A19),"")</f>
        <v/>
      </c>
      <c r="E19" s="28" t="str">
        <f t="shared" si="0"/>
        <v/>
      </c>
      <c r="F19" s="16" t="str">
        <f>IF('Paste Here'!$A13&lt;&gt;"",'Paste Here'!$A13,"")</f>
        <v/>
      </c>
      <c r="G19" s="16" t="str">
        <f>IF('Paste Here'!$B13&lt;&gt;"",'Paste Here'!$B13,"")</f>
        <v/>
      </c>
      <c r="H19" s="16" t="str">
        <f>IF('Paste Here'!$C13&lt;&gt;"",'Paste Here'!$C13,"")</f>
        <v/>
      </c>
      <c r="I19" s="25" t="str">
        <f>IF('Paste Here'!$D13&lt;&gt;"",'Paste Here'!$D13,"")</f>
        <v/>
      </c>
      <c r="J19" s="27" t="str">
        <f>IF('Paste Here'!$E13&lt;&gt;"",'Paste Here'!$E13,"")</f>
        <v/>
      </c>
      <c r="K19" s="16" t="str">
        <f>IF('Paste Here'!$F13&lt;&gt;"",'Paste Here'!$F13,"")</f>
        <v/>
      </c>
      <c r="L19" s="16" t="str">
        <f>IF('Paste Here'!$G13&lt;&gt;"",'Paste Here'!$G13,"")</f>
        <v/>
      </c>
      <c r="M19" s="18" t="str">
        <f t="shared" si="1"/>
        <v/>
      </c>
    </row>
    <row r="20" spans="1:13" s="17" customFormat="1" x14ac:dyDescent="0.25">
      <c r="A20" s="16" t="str">
        <f>IF(URN&lt;&gt;"",_xll.mdValue("Resident",_xlnm.Database,$F20),"")</f>
        <v/>
      </c>
      <c r="B20" s="16" t="str">
        <f>IF(PersonId&lt;&gt;"",_xll.mdValue("Resident First Name",_xlnm.Database,$A$8),"")</f>
        <v/>
      </c>
      <c r="C20" s="16" t="str">
        <f>IF(PersonId&lt;&gt;"",_xll.mdValue("Resident Last Name",_xlnm.Database,$A$8),"")</f>
        <v/>
      </c>
      <c r="D20" s="16" t="str">
        <f>IF(PersonId&lt;&gt;"",_xll.mdValue("Person Accomodation Code",_xlnm.Database,$A20),"")</f>
        <v/>
      </c>
      <c r="E20" s="28" t="str">
        <f t="shared" si="0"/>
        <v/>
      </c>
      <c r="F20" s="16" t="str">
        <f>IF('Paste Here'!$A14&lt;&gt;"",'Paste Here'!$A14,"")</f>
        <v/>
      </c>
      <c r="G20" s="16" t="str">
        <f>IF('Paste Here'!$B14&lt;&gt;"",'Paste Here'!$B14,"")</f>
        <v/>
      </c>
      <c r="H20" s="16" t="str">
        <f>IF('Paste Here'!$C14&lt;&gt;"",'Paste Here'!$C14,"")</f>
        <v/>
      </c>
      <c r="I20" s="25" t="str">
        <f>IF('Paste Here'!$D14&lt;&gt;"",'Paste Here'!$D14,"")</f>
        <v/>
      </c>
      <c r="J20" s="27" t="str">
        <f>IF('Paste Here'!$E14&lt;&gt;"",'Paste Here'!$E14,"")</f>
        <v/>
      </c>
      <c r="K20" s="16" t="str">
        <f>IF('Paste Here'!$F14&lt;&gt;"",'Paste Here'!$F14,"")</f>
        <v/>
      </c>
      <c r="L20" s="16" t="str">
        <f>IF('Paste Here'!$G14&lt;&gt;"",'Paste Here'!$G14,"")</f>
        <v/>
      </c>
      <c r="M20" s="18" t="str">
        <f t="shared" si="1"/>
        <v/>
      </c>
    </row>
    <row r="21" spans="1:13" s="17" customFormat="1" x14ac:dyDescent="0.25">
      <c r="A21" s="16" t="str">
        <f>IF(URN&lt;&gt;"",_xll.mdValue("Resident",_xlnm.Database,$F21),"")</f>
        <v/>
      </c>
      <c r="B21" s="16" t="str">
        <f>IF(PersonId&lt;&gt;"",_xll.mdValue("Resident First Name",_xlnm.Database,$A$8),"")</f>
        <v/>
      </c>
      <c r="C21" s="16" t="str">
        <f>IF(PersonId&lt;&gt;"",_xll.mdValue("Resident Last Name",_xlnm.Database,$A$8),"")</f>
        <v/>
      </c>
      <c r="D21" s="16" t="str">
        <f>IF(PersonId&lt;&gt;"",_xll.mdValue("Person Accomodation Code",_xlnm.Database,$A21),"")</f>
        <v/>
      </c>
      <c r="E21" s="28" t="str">
        <f t="shared" si="0"/>
        <v/>
      </c>
      <c r="F21" s="16" t="str">
        <f>IF('Paste Here'!$A15&lt;&gt;"",'Paste Here'!$A15,"")</f>
        <v/>
      </c>
      <c r="G21" s="16" t="str">
        <f>IF('Paste Here'!$B15&lt;&gt;"",'Paste Here'!$B15,"")</f>
        <v/>
      </c>
      <c r="H21" s="16" t="str">
        <f>IF('Paste Here'!$C15&lt;&gt;"",'Paste Here'!$C15,"")</f>
        <v/>
      </c>
      <c r="I21" s="25" t="str">
        <f>IF('Paste Here'!$D15&lt;&gt;"",'Paste Here'!$D15,"")</f>
        <v/>
      </c>
      <c r="J21" s="27" t="str">
        <f>IF('Paste Here'!$E15&lt;&gt;"",'Paste Here'!$E15,"")</f>
        <v/>
      </c>
      <c r="K21" s="16" t="str">
        <f>IF('Paste Here'!$F15&lt;&gt;"",'Paste Here'!$F15,"")</f>
        <v/>
      </c>
      <c r="L21" s="16" t="str">
        <f>IF('Paste Here'!$G15&lt;&gt;"",'Paste Here'!$G15,"")</f>
        <v/>
      </c>
      <c r="M21" s="18" t="str">
        <f t="shared" si="1"/>
        <v/>
      </c>
    </row>
    <row r="22" spans="1:13" s="17" customFormat="1" x14ac:dyDescent="0.25">
      <c r="A22" s="16" t="str">
        <f>IF(URN&lt;&gt;"",_xll.mdValue("Resident",_xlnm.Database,$F22),"")</f>
        <v/>
      </c>
      <c r="B22" s="16" t="str">
        <f>IF(PersonId&lt;&gt;"",_xll.mdValue("Resident First Name",_xlnm.Database,$A$8),"")</f>
        <v/>
      </c>
      <c r="C22" s="16" t="str">
        <f>IF(PersonId&lt;&gt;"",_xll.mdValue("Resident Last Name",_xlnm.Database,$A$8),"")</f>
        <v/>
      </c>
      <c r="D22" s="16" t="str">
        <f>IF(PersonId&lt;&gt;"",_xll.mdValue("Person Accomodation Code",_xlnm.Database,$A22),"")</f>
        <v/>
      </c>
      <c r="E22" s="28" t="str">
        <f t="shared" si="0"/>
        <v/>
      </c>
      <c r="F22" s="16" t="str">
        <f>IF('Paste Here'!$A16&lt;&gt;"",'Paste Here'!$A16,"")</f>
        <v/>
      </c>
      <c r="G22" s="16" t="str">
        <f>IF('Paste Here'!$B16&lt;&gt;"",'Paste Here'!$B16,"")</f>
        <v/>
      </c>
      <c r="H22" s="16" t="str">
        <f>IF('Paste Here'!$C16&lt;&gt;"",'Paste Here'!$C16,"")</f>
        <v/>
      </c>
      <c r="I22" s="25" t="str">
        <f>IF('Paste Here'!$D16&lt;&gt;"",'Paste Here'!$D16,"")</f>
        <v/>
      </c>
      <c r="J22" s="27" t="str">
        <f>IF('Paste Here'!$E16&lt;&gt;"",'Paste Here'!$E16,"")</f>
        <v/>
      </c>
      <c r="K22" s="16" t="str">
        <f>IF('Paste Here'!$F16&lt;&gt;"",'Paste Here'!$F16,"")</f>
        <v/>
      </c>
      <c r="L22" s="16" t="str">
        <f>IF('Paste Here'!$G16&lt;&gt;"",'Paste Here'!$G16,"")</f>
        <v/>
      </c>
      <c r="M22" s="18" t="str">
        <f t="shared" si="1"/>
        <v/>
      </c>
    </row>
    <row r="23" spans="1:13" s="17" customFormat="1" x14ac:dyDescent="0.25">
      <c r="A23" s="16" t="str">
        <f>IF(URN&lt;&gt;"",_xll.mdValue("Resident",_xlnm.Database,$F23),"")</f>
        <v/>
      </c>
      <c r="B23" s="16" t="str">
        <f>IF(PersonId&lt;&gt;"",_xll.mdValue("Resident First Name",_xlnm.Database,$A$8),"")</f>
        <v/>
      </c>
      <c r="C23" s="16" t="str">
        <f>IF(PersonId&lt;&gt;"",_xll.mdValue("Resident Last Name",_xlnm.Database,$A$8),"")</f>
        <v/>
      </c>
      <c r="D23" s="16" t="str">
        <f>IF(PersonId&lt;&gt;"",_xll.mdValue("Person Accomodation Code",_xlnm.Database,$A23),"")</f>
        <v/>
      </c>
      <c r="E23" s="28" t="str">
        <f t="shared" si="0"/>
        <v/>
      </c>
      <c r="F23" s="16" t="str">
        <f>IF('Paste Here'!$A17&lt;&gt;"",'Paste Here'!$A17,"")</f>
        <v/>
      </c>
      <c r="G23" s="16" t="str">
        <f>IF('Paste Here'!$B17&lt;&gt;"",'Paste Here'!$B17,"")</f>
        <v/>
      </c>
      <c r="H23" s="16" t="str">
        <f>IF('Paste Here'!$C17&lt;&gt;"",'Paste Here'!$C17,"")</f>
        <v/>
      </c>
      <c r="I23" s="25" t="str">
        <f>IF('Paste Here'!$D17&lt;&gt;"",'Paste Here'!$D17,"")</f>
        <v/>
      </c>
      <c r="J23" s="27" t="str">
        <f>IF('Paste Here'!$E17&lt;&gt;"",'Paste Here'!$E17,"")</f>
        <v/>
      </c>
      <c r="K23" s="16" t="str">
        <f>IF('Paste Here'!$F17&lt;&gt;"",'Paste Here'!$F17,"")</f>
        <v/>
      </c>
      <c r="L23" s="16" t="str">
        <f>IF('Paste Here'!$G17&lt;&gt;"",'Paste Here'!$G17,"")</f>
        <v/>
      </c>
      <c r="M23" s="18" t="str">
        <f t="shared" si="1"/>
        <v/>
      </c>
    </row>
    <row r="24" spans="1:13" s="17" customFormat="1" x14ac:dyDescent="0.25">
      <c r="A24" s="16" t="str">
        <f>IF(URN&lt;&gt;"",_xll.mdValue("Resident",_xlnm.Database,$F24),"")</f>
        <v/>
      </c>
      <c r="B24" s="16" t="str">
        <f>IF(PersonId&lt;&gt;"",_xll.mdValue("Resident First Name",_xlnm.Database,$A$8),"")</f>
        <v/>
      </c>
      <c r="C24" s="16" t="str">
        <f>IF(PersonId&lt;&gt;"",_xll.mdValue("Resident Last Name",_xlnm.Database,$A$8),"")</f>
        <v/>
      </c>
      <c r="D24" s="16" t="str">
        <f>IF(PersonId&lt;&gt;"",_xll.mdValue("Person Accomodation Code",_xlnm.Database,$A24),"")</f>
        <v/>
      </c>
      <c r="E24" s="28" t="str">
        <f t="shared" si="0"/>
        <v/>
      </c>
      <c r="F24" s="16" t="str">
        <f>IF('Paste Here'!$A18&lt;&gt;"",'Paste Here'!$A18,"")</f>
        <v/>
      </c>
      <c r="G24" s="16" t="str">
        <f>IF('Paste Here'!$B18&lt;&gt;"",'Paste Here'!$B18,"")</f>
        <v/>
      </c>
      <c r="H24" s="16" t="str">
        <f>IF('Paste Here'!$C18&lt;&gt;"",'Paste Here'!$C18,"")</f>
        <v/>
      </c>
      <c r="I24" s="25" t="str">
        <f>IF('Paste Here'!$D18&lt;&gt;"",'Paste Here'!$D18,"")</f>
        <v/>
      </c>
      <c r="J24" s="27" t="str">
        <f>IF('Paste Here'!$E18&lt;&gt;"",'Paste Here'!$E18,"")</f>
        <v/>
      </c>
      <c r="K24" s="16" t="str">
        <f>IF('Paste Here'!$F18&lt;&gt;"",'Paste Here'!$F18,"")</f>
        <v/>
      </c>
      <c r="L24" s="16" t="str">
        <f>IF('Paste Here'!$G18&lt;&gt;"",'Paste Here'!$G18,"")</f>
        <v/>
      </c>
      <c r="M24" s="18" t="str">
        <f t="shared" si="1"/>
        <v/>
      </c>
    </row>
    <row r="25" spans="1:13" s="17" customFormat="1" x14ac:dyDescent="0.25">
      <c r="A25" s="16" t="str">
        <f>IF(URN&lt;&gt;"",_xll.mdValue("Resident",_xlnm.Database,$F25),"")</f>
        <v/>
      </c>
      <c r="B25" s="16" t="str">
        <f>IF(PersonId&lt;&gt;"",_xll.mdValue("Resident First Name",_xlnm.Database,$A$8),"")</f>
        <v/>
      </c>
      <c r="C25" s="16" t="str">
        <f>IF(PersonId&lt;&gt;"",_xll.mdValue("Resident Last Name",_xlnm.Database,$A$8),"")</f>
        <v/>
      </c>
      <c r="D25" s="16" t="str">
        <f>IF(PersonId&lt;&gt;"",_xll.mdValue("Person Accomodation Code",_xlnm.Database,$A25),"")</f>
        <v/>
      </c>
      <c r="E25" s="28" t="str">
        <f t="shared" si="0"/>
        <v/>
      </c>
      <c r="F25" s="16" t="str">
        <f>IF('Paste Here'!$A19&lt;&gt;"",'Paste Here'!$A19,"")</f>
        <v/>
      </c>
      <c r="G25" s="16" t="str">
        <f>IF('Paste Here'!$B19&lt;&gt;"",'Paste Here'!$B19,"")</f>
        <v/>
      </c>
      <c r="H25" s="16" t="str">
        <f>IF('Paste Here'!$C19&lt;&gt;"",'Paste Here'!$C19,"")</f>
        <v/>
      </c>
      <c r="I25" s="25" t="str">
        <f>IF('Paste Here'!$D19&lt;&gt;"",'Paste Here'!$D19,"")</f>
        <v/>
      </c>
      <c r="J25" s="27" t="str">
        <f>IF('Paste Here'!$E19&lt;&gt;"",'Paste Here'!$E19,"")</f>
        <v/>
      </c>
      <c r="K25" s="16" t="str">
        <f>IF('Paste Here'!$F19&lt;&gt;"",'Paste Here'!$F19,"")</f>
        <v/>
      </c>
      <c r="L25" s="16" t="str">
        <f>IF('Paste Here'!$G19&lt;&gt;"",'Paste Here'!$G19,"")</f>
        <v/>
      </c>
      <c r="M25" s="18" t="str">
        <f t="shared" si="1"/>
        <v/>
      </c>
    </row>
    <row r="26" spans="1:13" s="17" customFormat="1" x14ac:dyDescent="0.25">
      <c r="A26" s="16" t="str">
        <f>IF(URN&lt;&gt;"",_xll.mdValue("Resident",_xlnm.Database,$F26),"")</f>
        <v/>
      </c>
      <c r="B26" s="16" t="str">
        <f>IF(PersonId&lt;&gt;"",_xll.mdValue("Resident First Name",_xlnm.Database,$A$8),"")</f>
        <v/>
      </c>
      <c r="C26" s="16" t="str">
        <f>IF(PersonId&lt;&gt;"",_xll.mdValue("Resident Last Name",_xlnm.Database,$A$8),"")</f>
        <v/>
      </c>
      <c r="D26" s="16" t="str">
        <f>IF(PersonId&lt;&gt;"",_xll.mdValue("Person Accomodation Code",_xlnm.Database,$A26),"")</f>
        <v/>
      </c>
      <c r="E26" s="28" t="str">
        <f t="shared" si="0"/>
        <v/>
      </c>
      <c r="F26" s="16" t="str">
        <f>IF('Paste Here'!$A20&lt;&gt;"",'Paste Here'!$A20,"")</f>
        <v/>
      </c>
      <c r="G26" s="16" t="str">
        <f>IF('Paste Here'!$B20&lt;&gt;"",'Paste Here'!$B20,"")</f>
        <v/>
      </c>
      <c r="H26" s="16" t="str">
        <f>IF('Paste Here'!$C20&lt;&gt;"",'Paste Here'!$C20,"")</f>
        <v/>
      </c>
      <c r="I26" s="25" t="str">
        <f>IF('Paste Here'!$D20&lt;&gt;"",'Paste Here'!$D20,"")</f>
        <v/>
      </c>
      <c r="J26" s="27" t="str">
        <f>IF('Paste Here'!$E20&lt;&gt;"",'Paste Here'!$E20,"")</f>
        <v/>
      </c>
      <c r="K26" s="16" t="str">
        <f>IF('Paste Here'!$F20&lt;&gt;"",'Paste Here'!$F20,"")</f>
        <v/>
      </c>
      <c r="L26" s="16" t="str">
        <f>IF('Paste Here'!$G20&lt;&gt;"",'Paste Here'!$G20,"")</f>
        <v/>
      </c>
      <c r="M26" s="18" t="str">
        <f t="shared" si="1"/>
        <v/>
      </c>
    </row>
    <row r="27" spans="1:13" s="17" customFormat="1" x14ac:dyDescent="0.25">
      <c r="A27" s="16" t="str">
        <f>IF(URN&lt;&gt;"",_xll.mdValue("Resident",_xlnm.Database,$F27),"")</f>
        <v/>
      </c>
      <c r="B27" s="16" t="str">
        <f>IF(PersonId&lt;&gt;"",_xll.mdValue("Resident First Name",_xlnm.Database,$A$8),"")</f>
        <v/>
      </c>
      <c r="C27" s="16" t="str">
        <f>IF(PersonId&lt;&gt;"",_xll.mdValue("Resident Last Name",_xlnm.Database,$A$8),"")</f>
        <v/>
      </c>
      <c r="D27" s="16" t="str">
        <f>IF(PersonId&lt;&gt;"",_xll.mdValue("Person Accomodation Code",_xlnm.Database,$A27),"")</f>
        <v/>
      </c>
      <c r="E27" s="28" t="str">
        <f t="shared" si="0"/>
        <v/>
      </c>
      <c r="F27" s="16" t="str">
        <f>IF('Paste Here'!$A21&lt;&gt;"",'Paste Here'!$A21,"")</f>
        <v/>
      </c>
      <c r="G27" s="16" t="str">
        <f>IF('Paste Here'!$B21&lt;&gt;"",'Paste Here'!$B21,"")</f>
        <v/>
      </c>
      <c r="H27" s="16" t="str">
        <f>IF('Paste Here'!$C21&lt;&gt;"",'Paste Here'!$C21,"")</f>
        <v/>
      </c>
      <c r="I27" s="25" t="str">
        <f>IF('Paste Here'!$D21&lt;&gt;"",'Paste Here'!$D21,"")</f>
        <v/>
      </c>
      <c r="J27" s="27" t="str">
        <f>IF('Paste Here'!$E21&lt;&gt;"",'Paste Here'!$E21,"")</f>
        <v/>
      </c>
      <c r="K27" s="16" t="str">
        <f>IF('Paste Here'!$F21&lt;&gt;"",'Paste Here'!$F21,"")</f>
        <v/>
      </c>
      <c r="L27" s="16" t="str">
        <f>IF('Paste Here'!$G21&lt;&gt;"",'Paste Here'!$G21,"")</f>
        <v/>
      </c>
      <c r="M27" s="18" t="str">
        <f t="shared" si="1"/>
        <v/>
      </c>
    </row>
    <row r="28" spans="1:13" s="17" customFormat="1" x14ac:dyDescent="0.25">
      <c r="A28" s="16" t="str">
        <f>IF(URN&lt;&gt;"",_xll.mdValue("Resident",_xlnm.Database,$F28),"")</f>
        <v/>
      </c>
      <c r="B28" s="16" t="str">
        <f>IF(PersonId&lt;&gt;"",_xll.mdValue("Resident First Name",_xlnm.Database,$A$8),"")</f>
        <v/>
      </c>
      <c r="C28" s="16" t="str">
        <f>IF(PersonId&lt;&gt;"",_xll.mdValue("Resident Last Name",_xlnm.Database,$A$8),"")</f>
        <v/>
      </c>
      <c r="D28" s="16" t="str">
        <f>IF(PersonId&lt;&gt;"",_xll.mdValue("Person Accomodation Code",_xlnm.Database,$A28),"")</f>
        <v/>
      </c>
      <c r="E28" s="28" t="str">
        <f t="shared" si="0"/>
        <v/>
      </c>
      <c r="F28" s="16" t="str">
        <f>IF('Paste Here'!$A22&lt;&gt;"",'Paste Here'!$A22,"")</f>
        <v/>
      </c>
      <c r="G28" s="16" t="str">
        <f>IF('Paste Here'!$B22&lt;&gt;"",'Paste Here'!$B22,"")</f>
        <v/>
      </c>
      <c r="H28" s="16" t="str">
        <f>IF('Paste Here'!$C22&lt;&gt;"",'Paste Here'!$C22,"")</f>
        <v/>
      </c>
      <c r="I28" s="25" t="str">
        <f>IF('Paste Here'!$D22&lt;&gt;"",'Paste Here'!$D22,"")</f>
        <v/>
      </c>
      <c r="J28" s="27" t="str">
        <f>IF('Paste Here'!$E22&lt;&gt;"",'Paste Here'!$E22,"")</f>
        <v/>
      </c>
      <c r="K28" s="16" t="str">
        <f>IF('Paste Here'!$F22&lt;&gt;"",'Paste Here'!$F22,"")</f>
        <v/>
      </c>
      <c r="L28" s="16" t="str">
        <f>IF('Paste Here'!$G22&lt;&gt;"",'Paste Here'!$G22,"")</f>
        <v/>
      </c>
      <c r="M28" s="18" t="str">
        <f t="shared" si="1"/>
        <v/>
      </c>
    </row>
    <row r="29" spans="1:13" s="17" customFormat="1" x14ac:dyDescent="0.25">
      <c r="A29" s="16" t="str">
        <f>IF(URN&lt;&gt;"",_xll.mdValue("Resident",_xlnm.Database,$F29),"")</f>
        <v/>
      </c>
      <c r="B29" s="16" t="str">
        <f>IF(PersonId&lt;&gt;"",_xll.mdValue("Resident First Name",_xlnm.Database,$A$8),"")</f>
        <v/>
      </c>
      <c r="C29" s="16" t="str">
        <f>IF(PersonId&lt;&gt;"",_xll.mdValue("Resident Last Name",_xlnm.Database,$A$8),"")</f>
        <v/>
      </c>
      <c r="D29" s="16" t="str">
        <f>IF(PersonId&lt;&gt;"",_xll.mdValue("Person Accomodation Code",_xlnm.Database,$A29),"")</f>
        <v/>
      </c>
      <c r="E29" s="28" t="str">
        <f t="shared" si="0"/>
        <v/>
      </c>
      <c r="F29" s="16" t="str">
        <f>IF('Paste Here'!$A23&lt;&gt;"",'Paste Here'!$A23,"")</f>
        <v/>
      </c>
      <c r="G29" s="16" t="str">
        <f>IF('Paste Here'!$B23&lt;&gt;"",'Paste Here'!$B23,"")</f>
        <v/>
      </c>
      <c r="H29" s="16" t="str">
        <f>IF('Paste Here'!$C23&lt;&gt;"",'Paste Here'!$C23,"")</f>
        <v/>
      </c>
      <c r="I29" s="25" t="str">
        <f>IF('Paste Here'!$D23&lt;&gt;"",'Paste Here'!$D23,"")</f>
        <v/>
      </c>
      <c r="J29" s="27" t="str">
        <f>IF('Paste Here'!$E23&lt;&gt;"",'Paste Here'!$E23,"")</f>
        <v/>
      </c>
      <c r="K29" s="16" t="str">
        <f>IF('Paste Here'!$F23&lt;&gt;"",'Paste Here'!$F23,"")</f>
        <v/>
      </c>
      <c r="L29" s="16" t="str">
        <f>IF('Paste Here'!$G23&lt;&gt;"",'Paste Here'!$G23,"")</f>
        <v/>
      </c>
      <c r="M29" s="18" t="str">
        <f t="shared" si="1"/>
        <v/>
      </c>
    </row>
    <row r="30" spans="1:13" s="17" customFormat="1" x14ac:dyDescent="0.25">
      <c r="A30" s="16" t="str">
        <f>IF(URN&lt;&gt;"",_xll.mdValue("Resident",_xlnm.Database,$F30),"")</f>
        <v/>
      </c>
      <c r="B30" s="16" t="str">
        <f>IF(PersonId&lt;&gt;"",_xll.mdValue("Resident First Name",_xlnm.Database,$A$8),"")</f>
        <v/>
      </c>
      <c r="C30" s="16" t="str">
        <f>IF(PersonId&lt;&gt;"",_xll.mdValue("Resident Last Name",_xlnm.Database,$A$8),"")</f>
        <v/>
      </c>
      <c r="D30" s="16" t="str">
        <f>IF(PersonId&lt;&gt;"",_xll.mdValue("Person Accomodation Code",_xlnm.Database,$A30),"")</f>
        <v/>
      </c>
      <c r="E30" s="28" t="str">
        <f t="shared" si="0"/>
        <v/>
      </c>
      <c r="F30" s="16" t="str">
        <f>IF('Paste Here'!$A24&lt;&gt;"",'Paste Here'!$A24,"")</f>
        <v/>
      </c>
      <c r="G30" s="16" t="str">
        <f>IF('Paste Here'!$B24&lt;&gt;"",'Paste Here'!$B24,"")</f>
        <v/>
      </c>
      <c r="H30" s="16" t="str">
        <f>IF('Paste Here'!$C24&lt;&gt;"",'Paste Here'!$C24,"")</f>
        <v/>
      </c>
      <c r="I30" s="25" t="str">
        <f>IF('Paste Here'!$D24&lt;&gt;"",'Paste Here'!$D24,"")</f>
        <v/>
      </c>
      <c r="J30" s="27" t="str">
        <f>IF('Paste Here'!$E24&lt;&gt;"",'Paste Here'!$E24,"")</f>
        <v/>
      </c>
      <c r="K30" s="16" t="str">
        <f>IF('Paste Here'!$F24&lt;&gt;"",'Paste Here'!$F24,"")</f>
        <v/>
      </c>
      <c r="L30" s="16" t="str">
        <f>IF('Paste Here'!$G24&lt;&gt;"",'Paste Here'!$G24,"")</f>
        <v/>
      </c>
      <c r="M30" s="18" t="str">
        <f t="shared" si="1"/>
        <v/>
      </c>
    </row>
    <row r="31" spans="1:13" s="17" customFormat="1" x14ac:dyDescent="0.25">
      <c r="A31" s="16" t="str">
        <f>IF(URN&lt;&gt;"",_xll.mdValue("Resident",_xlnm.Database,$F31),"")</f>
        <v/>
      </c>
      <c r="B31" s="16" t="str">
        <f>IF(PersonId&lt;&gt;"",_xll.mdValue("Resident First Name",_xlnm.Database,$A$8),"")</f>
        <v/>
      </c>
      <c r="C31" s="16" t="str">
        <f>IF(PersonId&lt;&gt;"",_xll.mdValue("Resident Last Name",_xlnm.Database,$A$8),"")</f>
        <v/>
      </c>
      <c r="D31" s="16" t="str">
        <f>IF(PersonId&lt;&gt;"",_xll.mdValue("Person Accomodation Code",_xlnm.Database,$A31),"")</f>
        <v/>
      </c>
      <c r="E31" s="28" t="str">
        <f t="shared" si="0"/>
        <v/>
      </c>
      <c r="F31" s="16" t="str">
        <f>IF('Paste Here'!$A25&lt;&gt;"",'Paste Here'!$A25,"")</f>
        <v/>
      </c>
      <c r="G31" s="16" t="str">
        <f>IF('Paste Here'!$B25&lt;&gt;"",'Paste Here'!$B25,"")</f>
        <v/>
      </c>
      <c r="H31" s="16" t="str">
        <f>IF('Paste Here'!$C25&lt;&gt;"",'Paste Here'!$C25,"")</f>
        <v/>
      </c>
      <c r="I31" s="25" t="str">
        <f>IF('Paste Here'!$D25&lt;&gt;"",'Paste Here'!$D25,"")</f>
        <v/>
      </c>
      <c r="J31" s="27" t="str">
        <f>IF('Paste Here'!$E25&lt;&gt;"",'Paste Here'!$E25,"")</f>
        <v/>
      </c>
      <c r="K31" s="16" t="str">
        <f>IF('Paste Here'!$F25&lt;&gt;"",'Paste Here'!$F25,"")</f>
        <v/>
      </c>
      <c r="L31" s="16" t="str">
        <f>IF('Paste Here'!$G25&lt;&gt;"",'Paste Here'!$G25,"")</f>
        <v/>
      </c>
      <c r="M31" s="18" t="str">
        <f t="shared" si="1"/>
        <v/>
      </c>
    </row>
    <row r="32" spans="1:13" s="17" customFormat="1" x14ac:dyDescent="0.25">
      <c r="A32" s="16" t="str">
        <f>IF(URN&lt;&gt;"",_xll.mdValue("Resident",_xlnm.Database,$F32),"")</f>
        <v/>
      </c>
      <c r="B32" s="16" t="str">
        <f>IF(PersonId&lt;&gt;"",_xll.mdValue("Resident First Name",_xlnm.Database,$A$8),"")</f>
        <v/>
      </c>
      <c r="C32" s="16" t="str">
        <f>IF(PersonId&lt;&gt;"",_xll.mdValue("Resident Last Name",_xlnm.Database,$A$8),"")</f>
        <v/>
      </c>
      <c r="D32" s="16" t="str">
        <f>IF(PersonId&lt;&gt;"",_xll.mdValue("Person Accomodation Code",_xlnm.Database,$A32),"")</f>
        <v/>
      </c>
      <c r="E32" s="28" t="str">
        <f t="shared" si="0"/>
        <v/>
      </c>
      <c r="F32" s="16" t="str">
        <f>IF('Paste Here'!$A26&lt;&gt;"",'Paste Here'!$A26,"")</f>
        <v/>
      </c>
      <c r="G32" s="16" t="str">
        <f>IF('Paste Here'!$B26&lt;&gt;"",'Paste Here'!$B26,"")</f>
        <v/>
      </c>
      <c r="H32" s="16" t="str">
        <f>IF('Paste Here'!$C26&lt;&gt;"",'Paste Here'!$C26,"")</f>
        <v/>
      </c>
      <c r="I32" s="25" t="str">
        <f>IF('Paste Here'!$D26&lt;&gt;"",'Paste Here'!$D26,"")</f>
        <v/>
      </c>
      <c r="J32" s="27" t="str">
        <f>IF('Paste Here'!$E26&lt;&gt;"",'Paste Here'!$E26,"")</f>
        <v/>
      </c>
      <c r="K32" s="16" t="str">
        <f>IF('Paste Here'!$F26&lt;&gt;"",'Paste Here'!$F26,"")</f>
        <v/>
      </c>
      <c r="L32" s="16" t="str">
        <f>IF('Paste Here'!$G26&lt;&gt;"",'Paste Here'!$G26,"")</f>
        <v/>
      </c>
      <c r="M32" s="18" t="str">
        <f t="shared" si="1"/>
        <v/>
      </c>
    </row>
    <row r="33" spans="1:13" s="17" customFormat="1" x14ac:dyDescent="0.25">
      <c r="A33" s="16" t="str">
        <f>IF(URN&lt;&gt;"",_xll.mdValue("Resident",_xlnm.Database,$F33),"")</f>
        <v/>
      </c>
      <c r="B33" s="16" t="str">
        <f>IF(PersonId&lt;&gt;"",_xll.mdValue("Resident First Name",_xlnm.Database,$A$8),"")</f>
        <v/>
      </c>
      <c r="C33" s="16" t="str">
        <f>IF(PersonId&lt;&gt;"",_xll.mdValue("Resident Last Name",_xlnm.Database,$A$8),"")</f>
        <v/>
      </c>
      <c r="D33" s="16" t="str">
        <f>IF(PersonId&lt;&gt;"",_xll.mdValue("Person Accomodation Code",_xlnm.Database,$A33),"")</f>
        <v/>
      </c>
      <c r="E33" s="28" t="str">
        <f t="shared" si="0"/>
        <v/>
      </c>
      <c r="F33" s="16" t="str">
        <f>IF('Paste Here'!$A27&lt;&gt;"",'Paste Here'!$A27,"")</f>
        <v/>
      </c>
      <c r="G33" s="16" t="str">
        <f>IF('Paste Here'!$B27&lt;&gt;"",'Paste Here'!$B27,"")</f>
        <v/>
      </c>
      <c r="H33" s="16" t="str">
        <f>IF('Paste Here'!$C27&lt;&gt;"",'Paste Here'!$C27,"")</f>
        <v/>
      </c>
      <c r="I33" s="25" t="str">
        <f>IF('Paste Here'!$D27&lt;&gt;"",'Paste Here'!$D27,"")</f>
        <v/>
      </c>
      <c r="J33" s="27" t="str">
        <f>IF('Paste Here'!$E27&lt;&gt;"",'Paste Here'!$E27,"")</f>
        <v/>
      </c>
      <c r="K33" s="16" t="str">
        <f>IF('Paste Here'!$F27&lt;&gt;"",'Paste Here'!$F27,"")</f>
        <v/>
      </c>
      <c r="L33" s="16" t="str">
        <f>IF('Paste Here'!$G27&lt;&gt;"",'Paste Here'!$G27,"")</f>
        <v/>
      </c>
      <c r="M33" s="18" t="str">
        <f t="shared" si="1"/>
        <v/>
      </c>
    </row>
    <row r="34" spans="1:13" s="17" customFormat="1" x14ac:dyDescent="0.25">
      <c r="A34" s="16" t="str">
        <f>IF(URN&lt;&gt;"",_xll.mdValue("Resident",_xlnm.Database,$F34),"")</f>
        <v/>
      </c>
      <c r="B34" s="16" t="str">
        <f>IF(PersonId&lt;&gt;"",_xll.mdValue("Resident First Name",_xlnm.Database,$A$8),"")</f>
        <v/>
      </c>
      <c r="C34" s="16" t="str">
        <f>IF(PersonId&lt;&gt;"",_xll.mdValue("Resident Last Name",_xlnm.Database,$A$8),"")</f>
        <v/>
      </c>
      <c r="D34" s="16" t="str">
        <f>IF(PersonId&lt;&gt;"",_xll.mdValue("Person Accomodation Code",_xlnm.Database,$A34),"")</f>
        <v/>
      </c>
      <c r="E34" s="28" t="str">
        <f t="shared" si="0"/>
        <v/>
      </c>
      <c r="F34" s="16" t="str">
        <f>IF('Paste Here'!$A28&lt;&gt;"",'Paste Here'!$A28,"")</f>
        <v/>
      </c>
      <c r="G34" s="16" t="str">
        <f>IF('Paste Here'!$B28&lt;&gt;"",'Paste Here'!$B28,"")</f>
        <v/>
      </c>
      <c r="H34" s="16" t="str">
        <f>IF('Paste Here'!$C28&lt;&gt;"",'Paste Here'!$C28,"")</f>
        <v/>
      </c>
      <c r="I34" s="25" t="str">
        <f>IF('Paste Here'!$D28&lt;&gt;"",'Paste Here'!$D28,"")</f>
        <v/>
      </c>
      <c r="J34" s="27" t="str">
        <f>IF('Paste Here'!$E28&lt;&gt;"",'Paste Here'!$E28,"")</f>
        <v/>
      </c>
      <c r="K34" s="16" t="str">
        <f>IF('Paste Here'!$F28&lt;&gt;"",'Paste Here'!$F28,"")</f>
        <v/>
      </c>
      <c r="L34" s="16" t="str">
        <f>IF('Paste Here'!$G28&lt;&gt;"",'Paste Here'!$G28,"")</f>
        <v/>
      </c>
      <c r="M34" s="18" t="str">
        <f t="shared" si="1"/>
        <v/>
      </c>
    </row>
    <row r="35" spans="1:13" s="17" customFormat="1" x14ac:dyDescent="0.25">
      <c r="A35" s="16" t="str">
        <f>IF(URN&lt;&gt;"",_xll.mdValue("Resident",_xlnm.Database,$F35),"")</f>
        <v/>
      </c>
      <c r="B35" s="16" t="str">
        <f>IF(PersonId&lt;&gt;"",_xll.mdValue("Resident First Name",_xlnm.Database,$A$8),"")</f>
        <v/>
      </c>
      <c r="C35" s="16" t="str">
        <f>IF(PersonId&lt;&gt;"",_xll.mdValue("Resident Last Name",_xlnm.Database,$A$8),"")</f>
        <v/>
      </c>
      <c r="D35" s="16" t="str">
        <f>IF(PersonId&lt;&gt;"",_xll.mdValue("Person Accomodation Code",_xlnm.Database,$A35),"")</f>
        <v/>
      </c>
      <c r="E35" s="28" t="str">
        <f t="shared" si="0"/>
        <v/>
      </c>
      <c r="F35" s="16" t="str">
        <f>IF('Paste Here'!$A29&lt;&gt;"",'Paste Here'!$A29,"")</f>
        <v/>
      </c>
      <c r="G35" s="16" t="str">
        <f>IF('Paste Here'!$B29&lt;&gt;"",'Paste Here'!$B29,"")</f>
        <v/>
      </c>
      <c r="H35" s="16" t="str">
        <f>IF('Paste Here'!$C29&lt;&gt;"",'Paste Here'!$C29,"")</f>
        <v/>
      </c>
      <c r="I35" s="25" t="str">
        <f>IF('Paste Here'!$D29&lt;&gt;"",'Paste Here'!$D29,"")</f>
        <v/>
      </c>
      <c r="J35" s="27" t="str">
        <f>IF('Paste Here'!$E29&lt;&gt;"",'Paste Here'!$E29,"")</f>
        <v/>
      </c>
      <c r="K35" s="16" t="str">
        <f>IF('Paste Here'!$F29&lt;&gt;"",'Paste Here'!$F29,"")</f>
        <v/>
      </c>
      <c r="L35" s="16" t="str">
        <f>IF('Paste Here'!$G29&lt;&gt;"",'Paste Here'!$G29,"")</f>
        <v/>
      </c>
      <c r="M35" s="18" t="str">
        <f t="shared" si="1"/>
        <v/>
      </c>
    </row>
    <row r="36" spans="1:13" s="17" customFormat="1" x14ac:dyDescent="0.25">
      <c r="A36" s="16" t="str">
        <f>IF(URN&lt;&gt;"",_xll.mdValue("Resident",_xlnm.Database,$F36),"")</f>
        <v/>
      </c>
      <c r="B36" s="16" t="str">
        <f>IF(PersonId&lt;&gt;"",_xll.mdValue("Resident First Name",_xlnm.Database,$A$8),"")</f>
        <v/>
      </c>
      <c r="C36" s="16" t="str">
        <f>IF(PersonId&lt;&gt;"",_xll.mdValue("Resident Last Name",_xlnm.Database,$A$8),"")</f>
        <v/>
      </c>
      <c r="D36" s="16" t="str">
        <f>IF(PersonId&lt;&gt;"",_xll.mdValue("Person Accomodation Code",_xlnm.Database,$A36),"")</f>
        <v/>
      </c>
      <c r="E36" s="28" t="str">
        <f t="shared" si="0"/>
        <v/>
      </c>
      <c r="F36" s="16" t="str">
        <f>IF('Paste Here'!$A30&lt;&gt;"",'Paste Here'!$A30,"")</f>
        <v/>
      </c>
      <c r="G36" s="16" t="str">
        <f>IF('Paste Here'!$B30&lt;&gt;"",'Paste Here'!$B30,"")</f>
        <v/>
      </c>
      <c r="H36" s="16" t="str">
        <f>IF('Paste Here'!$C30&lt;&gt;"",'Paste Here'!$C30,"")</f>
        <v/>
      </c>
      <c r="I36" s="25" t="str">
        <f>IF('Paste Here'!$D30&lt;&gt;"",'Paste Here'!$D30,"")</f>
        <v/>
      </c>
      <c r="J36" s="27" t="str">
        <f>IF('Paste Here'!$E30&lt;&gt;"",'Paste Here'!$E30,"")</f>
        <v/>
      </c>
      <c r="K36" s="16" t="str">
        <f>IF('Paste Here'!$F30&lt;&gt;"",'Paste Here'!$F30,"")</f>
        <v/>
      </c>
      <c r="L36" s="16" t="str">
        <f>IF('Paste Here'!$G30&lt;&gt;"",'Paste Here'!$G30,"")</f>
        <v/>
      </c>
      <c r="M36" s="18" t="str">
        <f t="shared" si="1"/>
        <v/>
      </c>
    </row>
    <row r="37" spans="1:13" s="17" customFormat="1" x14ac:dyDescent="0.25">
      <c r="A37" s="16" t="str">
        <f>IF(URN&lt;&gt;"",_xll.mdValue("Resident",_xlnm.Database,$F37),"")</f>
        <v/>
      </c>
      <c r="B37" s="16" t="str">
        <f>IF(PersonId&lt;&gt;"",_xll.mdValue("Resident First Name",_xlnm.Database,$A$8),"")</f>
        <v/>
      </c>
      <c r="C37" s="16" t="str">
        <f>IF(PersonId&lt;&gt;"",_xll.mdValue("Resident Last Name",_xlnm.Database,$A$8),"")</f>
        <v/>
      </c>
      <c r="D37" s="16" t="str">
        <f>IF(PersonId&lt;&gt;"",_xll.mdValue("Person Accomodation Code",_xlnm.Database,$A37),"")</f>
        <v/>
      </c>
      <c r="E37" s="28" t="str">
        <f t="shared" si="0"/>
        <v/>
      </c>
      <c r="F37" s="16" t="str">
        <f>IF('Paste Here'!$A31&lt;&gt;"",'Paste Here'!$A31,"")</f>
        <v/>
      </c>
      <c r="G37" s="16" t="str">
        <f>IF('Paste Here'!$B31&lt;&gt;"",'Paste Here'!$B31,"")</f>
        <v/>
      </c>
      <c r="H37" s="16" t="str">
        <f>IF('Paste Here'!$C31&lt;&gt;"",'Paste Here'!$C31,"")</f>
        <v/>
      </c>
      <c r="I37" s="25" t="str">
        <f>IF('Paste Here'!$D31&lt;&gt;"",'Paste Here'!$D31,"")</f>
        <v/>
      </c>
      <c r="J37" s="27" t="str">
        <f>IF('Paste Here'!$E31&lt;&gt;"",'Paste Here'!$E31,"")</f>
        <v/>
      </c>
      <c r="K37" s="16" t="str">
        <f>IF('Paste Here'!$F31&lt;&gt;"",'Paste Here'!$F31,"")</f>
        <v/>
      </c>
      <c r="L37" s="16" t="str">
        <f>IF('Paste Here'!$G31&lt;&gt;"",'Paste Here'!$G31,"")</f>
        <v/>
      </c>
      <c r="M37" s="18" t="str">
        <f t="shared" si="1"/>
        <v/>
      </c>
    </row>
    <row r="38" spans="1:13" s="17" customFormat="1" x14ac:dyDescent="0.25">
      <c r="A38" s="16" t="str">
        <f>IF(URN&lt;&gt;"",_xll.mdValue("Resident",_xlnm.Database,$F38),"")</f>
        <v/>
      </c>
      <c r="B38" s="16" t="str">
        <f>IF(PersonId&lt;&gt;"",_xll.mdValue("Resident First Name",_xlnm.Database,$A$8),"")</f>
        <v/>
      </c>
      <c r="C38" s="16" t="str">
        <f>IF(PersonId&lt;&gt;"",_xll.mdValue("Resident Last Name",_xlnm.Database,$A$8),"")</f>
        <v/>
      </c>
      <c r="D38" s="16" t="str">
        <f>IF(PersonId&lt;&gt;"",_xll.mdValue("Person Accomodation Code",_xlnm.Database,$A38),"")</f>
        <v/>
      </c>
      <c r="E38" s="28" t="str">
        <f t="shared" si="0"/>
        <v/>
      </c>
      <c r="F38" s="16" t="str">
        <f>IF('Paste Here'!$A32&lt;&gt;"",'Paste Here'!$A32,"")</f>
        <v/>
      </c>
      <c r="G38" s="16" t="str">
        <f>IF('Paste Here'!$B32&lt;&gt;"",'Paste Here'!$B32,"")</f>
        <v/>
      </c>
      <c r="H38" s="16" t="str">
        <f>IF('Paste Here'!$C32&lt;&gt;"",'Paste Here'!$C32,"")</f>
        <v/>
      </c>
      <c r="I38" s="25" t="str">
        <f>IF('Paste Here'!$D32&lt;&gt;"",'Paste Here'!$D32,"")</f>
        <v/>
      </c>
      <c r="J38" s="27" t="str">
        <f>IF('Paste Here'!$E32&lt;&gt;"",'Paste Here'!$E32,"")</f>
        <v/>
      </c>
      <c r="K38" s="16" t="str">
        <f>IF('Paste Here'!$F32&lt;&gt;"",'Paste Here'!$F32,"")</f>
        <v/>
      </c>
      <c r="L38" s="16" t="str">
        <f>IF('Paste Here'!$G32&lt;&gt;"",'Paste Here'!$G32,"")</f>
        <v/>
      </c>
      <c r="M38" s="18" t="str">
        <f t="shared" si="1"/>
        <v/>
      </c>
    </row>
    <row r="39" spans="1:13" s="17" customFormat="1" x14ac:dyDescent="0.25">
      <c r="A39" s="16" t="str">
        <f>IF(URN&lt;&gt;"",_xll.mdValue("Resident",_xlnm.Database,$F39),"")</f>
        <v/>
      </c>
      <c r="B39" s="16" t="str">
        <f>IF(PersonId&lt;&gt;"",_xll.mdValue("Resident First Name",_xlnm.Database,$A$8),"")</f>
        <v/>
      </c>
      <c r="C39" s="16" t="str">
        <f>IF(PersonId&lt;&gt;"",_xll.mdValue("Resident Last Name",_xlnm.Database,$A$8),"")</f>
        <v/>
      </c>
      <c r="D39" s="16" t="str">
        <f>IF(PersonId&lt;&gt;"",_xll.mdValue("Person Accomodation Code",_xlnm.Database,$A39),"")</f>
        <v/>
      </c>
      <c r="E39" s="28" t="str">
        <f t="shared" si="0"/>
        <v/>
      </c>
      <c r="F39" s="16" t="str">
        <f>IF('Paste Here'!$A33&lt;&gt;"",'Paste Here'!$A33,"")</f>
        <v/>
      </c>
      <c r="G39" s="16" t="str">
        <f>IF('Paste Here'!$B33&lt;&gt;"",'Paste Here'!$B33,"")</f>
        <v/>
      </c>
      <c r="H39" s="16" t="str">
        <f>IF('Paste Here'!$C33&lt;&gt;"",'Paste Here'!$C33,"")</f>
        <v/>
      </c>
      <c r="I39" s="25" t="str">
        <f>IF('Paste Here'!$D33&lt;&gt;"",'Paste Here'!$D33,"")</f>
        <v/>
      </c>
      <c r="J39" s="27" t="str">
        <f>IF('Paste Here'!$E33&lt;&gt;"",'Paste Here'!$E33,"")</f>
        <v/>
      </c>
      <c r="K39" s="16" t="str">
        <f>IF('Paste Here'!$F33&lt;&gt;"",'Paste Here'!$F33,"")</f>
        <v/>
      </c>
      <c r="L39" s="16" t="str">
        <f>IF('Paste Here'!$G33&lt;&gt;"",'Paste Here'!$G33,"")</f>
        <v/>
      </c>
      <c r="M39" s="18" t="str">
        <f t="shared" si="1"/>
        <v/>
      </c>
    </row>
    <row r="40" spans="1:13" s="17" customFormat="1" x14ac:dyDescent="0.25">
      <c r="A40" s="16" t="str">
        <f>IF(URN&lt;&gt;"",_xll.mdValue("Resident",_xlnm.Database,$F40),"")</f>
        <v/>
      </c>
      <c r="B40" s="16" t="str">
        <f>IF(PersonId&lt;&gt;"",_xll.mdValue("Resident First Name",_xlnm.Database,$A$8),"")</f>
        <v/>
      </c>
      <c r="C40" s="16" t="str">
        <f>IF(PersonId&lt;&gt;"",_xll.mdValue("Resident Last Name",_xlnm.Database,$A$8),"")</f>
        <v/>
      </c>
      <c r="D40" s="16" t="str">
        <f>IF(PersonId&lt;&gt;"",_xll.mdValue("Person Accomodation Code",_xlnm.Database,$A40),"")</f>
        <v/>
      </c>
      <c r="E40" s="28" t="str">
        <f t="shared" si="0"/>
        <v/>
      </c>
      <c r="F40" s="16" t="str">
        <f>IF('Paste Here'!$A34&lt;&gt;"",'Paste Here'!$A34,"")</f>
        <v/>
      </c>
      <c r="G40" s="16" t="str">
        <f>IF('Paste Here'!$B34&lt;&gt;"",'Paste Here'!$B34,"")</f>
        <v/>
      </c>
      <c r="H40" s="16" t="str">
        <f>IF('Paste Here'!$C34&lt;&gt;"",'Paste Here'!$C34,"")</f>
        <v/>
      </c>
      <c r="I40" s="25" t="str">
        <f>IF('Paste Here'!$D34&lt;&gt;"",'Paste Here'!$D34,"")</f>
        <v/>
      </c>
      <c r="J40" s="27" t="str">
        <f>IF('Paste Here'!$E34&lt;&gt;"",'Paste Here'!$E34,"")</f>
        <v/>
      </c>
      <c r="K40" s="16" t="str">
        <f>IF('Paste Here'!$F34&lt;&gt;"",'Paste Here'!$F34,"")</f>
        <v/>
      </c>
      <c r="L40" s="16" t="str">
        <f>IF('Paste Here'!$G34&lt;&gt;"",'Paste Here'!$G34,"")</f>
        <v/>
      </c>
      <c r="M40" s="18" t="str">
        <f t="shared" si="1"/>
        <v/>
      </c>
    </row>
    <row r="41" spans="1:13" s="17" customFormat="1" x14ac:dyDescent="0.25">
      <c r="A41" s="16" t="str">
        <f>IF(URN&lt;&gt;"",_xll.mdValue("Resident",_xlnm.Database,$F41),"")</f>
        <v/>
      </c>
      <c r="B41" s="16" t="str">
        <f>IF(PersonId&lt;&gt;"",_xll.mdValue("Resident First Name",_xlnm.Database,$A$8),"")</f>
        <v/>
      </c>
      <c r="C41" s="16" t="str">
        <f>IF(PersonId&lt;&gt;"",_xll.mdValue("Resident Last Name",_xlnm.Database,$A$8),"")</f>
        <v/>
      </c>
      <c r="D41" s="16" t="str">
        <f>IF(PersonId&lt;&gt;"",_xll.mdValue("Person Accomodation Code",_xlnm.Database,$A41),"")</f>
        <v/>
      </c>
      <c r="E41" s="28" t="str">
        <f t="shared" si="0"/>
        <v/>
      </c>
      <c r="F41" s="16" t="str">
        <f>IF('Paste Here'!$A35&lt;&gt;"",'Paste Here'!$A35,"")</f>
        <v/>
      </c>
      <c r="G41" s="16" t="str">
        <f>IF('Paste Here'!$B35&lt;&gt;"",'Paste Here'!$B35,"")</f>
        <v/>
      </c>
      <c r="H41" s="16" t="str">
        <f>IF('Paste Here'!$C35&lt;&gt;"",'Paste Here'!$C35,"")</f>
        <v/>
      </c>
      <c r="I41" s="25" t="str">
        <f>IF('Paste Here'!$D35&lt;&gt;"",'Paste Here'!$D35,"")</f>
        <v/>
      </c>
      <c r="J41" s="27" t="str">
        <f>IF('Paste Here'!$E35&lt;&gt;"",'Paste Here'!$E35,"")</f>
        <v/>
      </c>
      <c r="K41" s="16" t="str">
        <f>IF('Paste Here'!$F35&lt;&gt;"",'Paste Here'!$F35,"")</f>
        <v/>
      </c>
      <c r="L41" s="16" t="str">
        <f>IF('Paste Here'!$G35&lt;&gt;"",'Paste Here'!$G35,"")</f>
        <v/>
      </c>
      <c r="M41" s="18" t="str">
        <f t="shared" si="1"/>
        <v/>
      </c>
    </row>
    <row r="42" spans="1:13" s="17" customFormat="1" x14ac:dyDescent="0.25">
      <c r="A42" s="16" t="str">
        <f>IF(URN&lt;&gt;"",_xll.mdValue("Resident",_xlnm.Database,$F42),"")</f>
        <v/>
      </c>
      <c r="B42" s="16" t="str">
        <f>IF(PersonId&lt;&gt;"",_xll.mdValue("Resident First Name",_xlnm.Database,$A$8),"")</f>
        <v/>
      </c>
      <c r="C42" s="16" t="str">
        <f>IF(PersonId&lt;&gt;"",_xll.mdValue("Resident Last Name",_xlnm.Database,$A$8),"")</f>
        <v/>
      </c>
      <c r="D42" s="16" t="str">
        <f>IF(PersonId&lt;&gt;"",_xll.mdValue("Person Accomodation Code",_xlnm.Database,$A42),"")</f>
        <v/>
      </c>
      <c r="E42" s="28" t="str">
        <f t="shared" si="0"/>
        <v/>
      </c>
      <c r="F42" s="16" t="str">
        <f>IF('Paste Here'!$A36&lt;&gt;"",'Paste Here'!$A36,"")</f>
        <v/>
      </c>
      <c r="G42" s="16" t="str">
        <f>IF('Paste Here'!$B36&lt;&gt;"",'Paste Here'!$B36,"")</f>
        <v/>
      </c>
      <c r="H42" s="16" t="str">
        <f>IF('Paste Here'!$C36&lt;&gt;"",'Paste Here'!$C36,"")</f>
        <v/>
      </c>
      <c r="I42" s="25" t="str">
        <f>IF('Paste Here'!$D36&lt;&gt;"",'Paste Here'!$D36,"")</f>
        <v/>
      </c>
      <c r="J42" s="27" t="str">
        <f>IF('Paste Here'!$E36&lt;&gt;"",'Paste Here'!$E36,"")</f>
        <v/>
      </c>
      <c r="K42" s="16" t="str">
        <f>IF('Paste Here'!$F36&lt;&gt;"",'Paste Here'!$F36,"")</f>
        <v/>
      </c>
      <c r="L42" s="16" t="str">
        <f>IF('Paste Here'!$G36&lt;&gt;"",'Paste Here'!$G36,"")</f>
        <v/>
      </c>
      <c r="M42" s="18" t="str">
        <f t="shared" si="1"/>
        <v/>
      </c>
    </row>
    <row r="43" spans="1:13" s="17" customFormat="1" x14ac:dyDescent="0.25">
      <c r="A43" s="16" t="str">
        <f>IF(URN&lt;&gt;"",_xll.mdValue("Resident",_xlnm.Database,$F43),"")</f>
        <v/>
      </c>
      <c r="B43" s="16" t="str">
        <f>IF(PersonId&lt;&gt;"",_xll.mdValue("Resident First Name",_xlnm.Database,$A$8),"")</f>
        <v/>
      </c>
      <c r="C43" s="16" t="str">
        <f>IF(PersonId&lt;&gt;"",_xll.mdValue("Resident Last Name",_xlnm.Database,$A$8),"")</f>
        <v/>
      </c>
      <c r="D43" s="16" t="str">
        <f>IF(PersonId&lt;&gt;"",_xll.mdValue("Person Accomodation Code",_xlnm.Database,$A43),"")</f>
        <v/>
      </c>
      <c r="E43" s="28" t="str">
        <f t="shared" si="0"/>
        <v/>
      </c>
      <c r="F43" s="16" t="str">
        <f>IF('Paste Here'!$A37&lt;&gt;"",'Paste Here'!$A37,"")</f>
        <v/>
      </c>
      <c r="G43" s="16" t="str">
        <f>IF('Paste Here'!$B37&lt;&gt;"",'Paste Here'!$B37,"")</f>
        <v/>
      </c>
      <c r="H43" s="16" t="str">
        <f>IF('Paste Here'!$C37&lt;&gt;"",'Paste Here'!$C37,"")</f>
        <v/>
      </c>
      <c r="I43" s="25" t="str">
        <f>IF('Paste Here'!$D37&lt;&gt;"",'Paste Here'!$D37,"")</f>
        <v/>
      </c>
      <c r="J43" s="27" t="str">
        <f>IF('Paste Here'!$E37&lt;&gt;"",'Paste Here'!$E37,"")</f>
        <v/>
      </c>
      <c r="K43" s="16" t="str">
        <f>IF('Paste Here'!$F37&lt;&gt;"",'Paste Here'!$F37,"")</f>
        <v/>
      </c>
      <c r="L43" s="16" t="str">
        <f>IF('Paste Here'!$G37&lt;&gt;"",'Paste Here'!$G37,"")</f>
        <v/>
      </c>
      <c r="M43" s="18" t="str">
        <f t="shared" si="1"/>
        <v/>
      </c>
    </row>
    <row r="44" spans="1:13" s="17" customFormat="1" x14ac:dyDescent="0.25">
      <c r="A44" s="16" t="str">
        <f>IF(URN&lt;&gt;"",_xll.mdValue("Resident",_xlnm.Database,$F44),"")</f>
        <v/>
      </c>
      <c r="B44" s="16" t="str">
        <f>IF(PersonId&lt;&gt;"",_xll.mdValue("Resident First Name",_xlnm.Database,$A$8),"")</f>
        <v/>
      </c>
      <c r="C44" s="16" t="str">
        <f>IF(PersonId&lt;&gt;"",_xll.mdValue("Resident Last Name",_xlnm.Database,$A$8),"")</f>
        <v/>
      </c>
      <c r="D44" s="16" t="str">
        <f>IF(PersonId&lt;&gt;"",_xll.mdValue("Person Accomodation Code",_xlnm.Database,$A44),"")</f>
        <v/>
      </c>
      <c r="E44" s="28" t="str">
        <f t="shared" si="0"/>
        <v/>
      </c>
      <c r="F44" s="16" t="str">
        <f>IF('Paste Here'!$A38&lt;&gt;"",'Paste Here'!$A38,"")</f>
        <v/>
      </c>
      <c r="G44" s="16" t="str">
        <f>IF('Paste Here'!$B38&lt;&gt;"",'Paste Here'!$B38,"")</f>
        <v/>
      </c>
      <c r="H44" s="16" t="str">
        <f>IF('Paste Here'!$C38&lt;&gt;"",'Paste Here'!$C38,"")</f>
        <v/>
      </c>
      <c r="I44" s="25" t="str">
        <f>IF('Paste Here'!$D38&lt;&gt;"",'Paste Here'!$D38,"")</f>
        <v/>
      </c>
      <c r="J44" s="27" t="str">
        <f>IF('Paste Here'!$E38&lt;&gt;"",'Paste Here'!$E38,"")</f>
        <v/>
      </c>
      <c r="K44" s="16" t="str">
        <f>IF('Paste Here'!$F38&lt;&gt;"",'Paste Here'!$F38,"")</f>
        <v/>
      </c>
      <c r="L44" s="16" t="str">
        <f>IF('Paste Here'!$G38&lt;&gt;"",'Paste Here'!$G38,"")</f>
        <v/>
      </c>
      <c r="M44" s="18" t="str">
        <f t="shared" si="1"/>
        <v/>
      </c>
    </row>
    <row r="45" spans="1:13" s="17" customFormat="1" x14ac:dyDescent="0.25">
      <c r="A45" s="16" t="str">
        <f>IF(URN&lt;&gt;"",_xll.mdValue("Resident",_xlnm.Database,$F45),"")</f>
        <v/>
      </c>
      <c r="B45" s="16" t="str">
        <f>IF(PersonId&lt;&gt;"",_xll.mdValue("Resident First Name",_xlnm.Database,$A$8),"")</f>
        <v/>
      </c>
      <c r="C45" s="16" t="str">
        <f>IF(PersonId&lt;&gt;"",_xll.mdValue("Resident Last Name",_xlnm.Database,$A$8),"")</f>
        <v/>
      </c>
      <c r="D45" s="16" t="str">
        <f>IF(PersonId&lt;&gt;"",_xll.mdValue("Person Accomodation Code",_xlnm.Database,$A45),"")</f>
        <v/>
      </c>
      <c r="E45" s="28" t="str">
        <f t="shared" si="0"/>
        <v/>
      </c>
      <c r="F45" s="16" t="str">
        <f>IF('Paste Here'!$A39&lt;&gt;"",'Paste Here'!$A39,"")</f>
        <v/>
      </c>
      <c r="G45" s="16" t="str">
        <f>IF('Paste Here'!$B39&lt;&gt;"",'Paste Here'!$B39,"")</f>
        <v/>
      </c>
      <c r="H45" s="16" t="str">
        <f>IF('Paste Here'!$C39&lt;&gt;"",'Paste Here'!$C39,"")</f>
        <v/>
      </c>
      <c r="I45" s="25" t="str">
        <f>IF('Paste Here'!$D39&lt;&gt;"",'Paste Here'!$D39,"")</f>
        <v/>
      </c>
      <c r="J45" s="27" t="str">
        <f>IF('Paste Here'!$E39&lt;&gt;"",'Paste Here'!$E39,"")</f>
        <v/>
      </c>
      <c r="K45" s="16" t="str">
        <f>IF('Paste Here'!$F39&lt;&gt;"",'Paste Here'!$F39,"")</f>
        <v/>
      </c>
      <c r="L45" s="16" t="str">
        <f>IF('Paste Here'!$G39&lt;&gt;"",'Paste Here'!$G39,"")</f>
        <v/>
      </c>
      <c r="M45" s="18" t="str">
        <f t="shared" si="1"/>
        <v/>
      </c>
    </row>
    <row r="46" spans="1:13" s="17" customFormat="1" x14ac:dyDescent="0.25">
      <c r="A46" s="16" t="str">
        <f>IF(URN&lt;&gt;"",_xll.mdValue("Resident",_xlnm.Database,$F46),"")</f>
        <v/>
      </c>
      <c r="B46" s="16" t="str">
        <f>IF(PersonId&lt;&gt;"",_xll.mdValue("Resident First Name",_xlnm.Database,$A$8),"")</f>
        <v/>
      </c>
      <c r="C46" s="16" t="str">
        <f>IF(PersonId&lt;&gt;"",_xll.mdValue("Resident Last Name",_xlnm.Database,$A$8),"")</f>
        <v/>
      </c>
      <c r="D46" s="16" t="str">
        <f>IF(PersonId&lt;&gt;"",_xll.mdValue("Person Accomodation Code",_xlnm.Database,$A46),"")</f>
        <v/>
      </c>
      <c r="E46" s="28" t="str">
        <f t="shared" si="0"/>
        <v/>
      </c>
      <c r="F46" s="16" t="str">
        <f>IF('Paste Here'!$A40&lt;&gt;"",'Paste Here'!$A40,"")</f>
        <v/>
      </c>
      <c r="G46" s="16" t="str">
        <f>IF('Paste Here'!$B40&lt;&gt;"",'Paste Here'!$B40,"")</f>
        <v/>
      </c>
      <c r="H46" s="16" t="str">
        <f>IF('Paste Here'!$C40&lt;&gt;"",'Paste Here'!$C40,"")</f>
        <v/>
      </c>
      <c r="I46" s="25" t="str">
        <f>IF('Paste Here'!$D40&lt;&gt;"",'Paste Here'!$D40,"")</f>
        <v/>
      </c>
      <c r="J46" s="27" t="str">
        <f>IF('Paste Here'!$E40&lt;&gt;"",'Paste Here'!$E40,"")</f>
        <v/>
      </c>
      <c r="K46" s="16" t="str">
        <f>IF('Paste Here'!$F40&lt;&gt;"",'Paste Here'!$F40,"")</f>
        <v/>
      </c>
      <c r="L46" s="16" t="str">
        <f>IF('Paste Here'!$G40&lt;&gt;"",'Paste Here'!$G40,"")</f>
        <v/>
      </c>
      <c r="M46" s="18" t="str">
        <f t="shared" si="1"/>
        <v/>
      </c>
    </row>
    <row r="47" spans="1:13" s="17" customFormat="1" x14ac:dyDescent="0.25">
      <c r="A47" s="16" t="str">
        <f>IF(URN&lt;&gt;"",_xll.mdValue("Resident",_xlnm.Database,$F47),"")</f>
        <v/>
      </c>
      <c r="B47" s="16" t="str">
        <f>IF(PersonId&lt;&gt;"",_xll.mdValue("Resident First Name",_xlnm.Database,$A$8),"")</f>
        <v/>
      </c>
      <c r="C47" s="16" t="str">
        <f>IF(PersonId&lt;&gt;"",_xll.mdValue("Resident Last Name",_xlnm.Database,$A$8),"")</f>
        <v/>
      </c>
      <c r="D47" s="16" t="str">
        <f>IF(PersonId&lt;&gt;"",_xll.mdValue("Person Accomodation Code",_xlnm.Database,$A47),"")</f>
        <v/>
      </c>
      <c r="E47" s="28" t="str">
        <f t="shared" si="0"/>
        <v/>
      </c>
      <c r="F47" s="16" t="str">
        <f>IF('Paste Here'!$A41&lt;&gt;"",'Paste Here'!$A41,"")</f>
        <v/>
      </c>
      <c r="G47" s="16" t="str">
        <f>IF('Paste Here'!$B41&lt;&gt;"",'Paste Here'!$B41,"")</f>
        <v/>
      </c>
      <c r="H47" s="16" t="str">
        <f>IF('Paste Here'!$C41&lt;&gt;"",'Paste Here'!$C41,"")</f>
        <v/>
      </c>
      <c r="I47" s="25" t="str">
        <f>IF('Paste Here'!$D41&lt;&gt;"",'Paste Here'!$D41,"")</f>
        <v/>
      </c>
      <c r="J47" s="27" t="str">
        <f>IF('Paste Here'!$E41&lt;&gt;"",'Paste Here'!$E41,"")</f>
        <v/>
      </c>
      <c r="K47" s="16" t="str">
        <f>IF('Paste Here'!$F41&lt;&gt;"",'Paste Here'!$F41,"")</f>
        <v/>
      </c>
      <c r="L47" s="16" t="str">
        <f>IF('Paste Here'!$G41&lt;&gt;"",'Paste Here'!$G41,"")</f>
        <v/>
      </c>
      <c r="M47" s="18" t="str">
        <f t="shared" si="1"/>
        <v/>
      </c>
    </row>
    <row r="48" spans="1:13" s="17" customFormat="1" x14ac:dyDescent="0.25">
      <c r="A48" s="16" t="str">
        <f>IF(URN&lt;&gt;"",_xll.mdValue("Resident",_xlnm.Database,$F48),"")</f>
        <v/>
      </c>
      <c r="B48" s="16" t="str">
        <f>IF(PersonId&lt;&gt;"",_xll.mdValue("Resident First Name",_xlnm.Database,$A$8),"")</f>
        <v/>
      </c>
      <c r="C48" s="16" t="str">
        <f>IF(PersonId&lt;&gt;"",_xll.mdValue("Resident Last Name",_xlnm.Database,$A$8),"")</f>
        <v/>
      </c>
      <c r="D48" s="16" t="str">
        <f>IF(PersonId&lt;&gt;"",_xll.mdValue("Person Accomodation Code",_xlnm.Database,$A48),"")</f>
        <v/>
      </c>
      <c r="E48" s="28" t="str">
        <f t="shared" si="0"/>
        <v/>
      </c>
      <c r="F48" s="16" t="str">
        <f>IF('Paste Here'!$A42&lt;&gt;"",'Paste Here'!$A42,"")</f>
        <v/>
      </c>
      <c r="G48" s="16" t="str">
        <f>IF('Paste Here'!$B42&lt;&gt;"",'Paste Here'!$B42,"")</f>
        <v/>
      </c>
      <c r="H48" s="16" t="str">
        <f>IF('Paste Here'!$C42&lt;&gt;"",'Paste Here'!$C42,"")</f>
        <v/>
      </c>
      <c r="I48" s="25" t="str">
        <f>IF('Paste Here'!$D42&lt;&gt;"",'Paste Here'!$D42,"")</f>
        <v/>
      </c>
      <c r="J48" s="27" t="str">
        <f>IF('Paste Here'!$E42&lt;&gt;"",'Paste Here'!$E42,"")</f>
        <v/>
      </c>
      <c r="K48" s="16" t="str">
        <f>IF('Paste Here'!$F42&lt;&gt;"",'Paste Here'!$F42,"")</f>
        <v/>
      </c>
      <c r="L48" s="16" t="str">
        <f>IF('Paste Here'!$G42&lt;&gt;"",'Paste Here'!$G42,"")</f>
        <v/>
      </c>
      <c r="M48" s="18" t="str">
        <f t="shared" si="1"/>
        <v/>
      </c>
    </row>
    <row r="49" spans="1:13" s="17" customFormat="1" x14ac:dyDescent="0.25">
      <c r="A49" s="16" t="str">
        <f>IF(URN&lt;&gt;"",_xll.mdValue("Resident",_xlnm.Database,$F49),"")</f>
        <v/>
      </c>
      <c r="B49" s="16" t="str">
        <f>IF(PersonId&lt;&gt;"",_xll.mdValue("Resident First Name",_xlnm.Database,$A$8),"")</f>
        <v/>
      </c>
      <c r="C49" s="16" t="str">
        <f>IF(PersonId&lt;&gt;"",_xll.mdValue("Resident Last Name",_xlnm.Database,$A$8),"")</f>
        <v/>
      </c>
      <c r="D49" s="16" t="str">
        <f>IF(PersonId&lt;&gt;"",_xll.mdValue("Person Accomodation Code",_xlnm.Database,$A49),"")</f>
        <v/>
      </c>
      <c r="E49" s="28" t="str">
        <f t="shared" si="0"/>
        <v/>
      </c>
      <c r="F49" s="16" t="str">
        <f>IF('Paste Here'!$A43&lt;&gt;"",'Paste Here'!$A43,"")</f>
        <v/>
      </c>
      <c r="G49" s="16" t="str">
        <f>IF('Paste Here'!$B43&lt;&gt;"",'Paste Here'!$B43,"")</f>
        <v/>
      </c>
      <c r="H49" s="16" t="str">
        <f>IF('Paste Here'!$C43&lt;&gt;"",'Paste Here'!$C43,"")</f>
        <v/>
      </c>
      <c r="I49" s="25" t="str">
        <f>IF('Paste Here'!$D43&lt;&gt;"",'Paste Here'!$D43,"")</f>
        <v/>
      </c>
      <c r="J49" s="27" t="str">
        <f>IF('Paste Here'!$E43&lt;&gt;"",'Paste Here'!$E43,"")</f>
        <v/>
      </c>
      <c r="K49" s="16" t="str">
        <f>IF('Paste Here'!$F43&lt;&gt;"",'Paste Here'!$F43,"")</f>
        <v/>
      </c>
      <c r="L49" s="16" t="str">
        <f>IF('Paste Here'!$G43&lt;&gt;"",'Paste Here'!$G43,"")</f>
        <v/>
      </c>
      <c r="M49" s="18" t="str">
        <f t="shared" si="1"/>
        <v/>
      </c>
    </row>
    <row r="50" spans="1:13" s="17" customFormat="1" x14ac:dyDescent="0.25">
      <c r="A50" s="16" t="str">
        <f>IF(URN&lt;&gt;"",_xll.mdValue("Resident",_xlnm.Database,$F50),"")</f>
        <v/>
      </c>
      <c r="B50" s="16" t="str">
        <f>IF(PersonId&lt;&gt;"",_xll.mdValue("Resident First Name",_xlnm.Database,$A$8),"")</f>
        <v/>
      </c>
      <c r="C50" s="16" t="str">
        <f>IF(PersonId&lt;&gt;"",_xll.mdValue("Resident Last Name",_xlnm.Database,$A$8),"")</f>
        <v/>
      </c>
      <c r="D50" s="16" t="str">
        <f>IF(PersonId&lt;&gt;"",_xll.mdValue("Person Accomodation Code",_xlnm.Database,$A50),"")</f>
        <v/>
      </c>
      <c r="E50" s="28" t="str">
        <f t="shared" si="0"/>
        <v/>
      </c>
      <c r="F50" s="16" t="str">
        <f>IF('Paste Here'!$A44&lt;&gt;"",'Paste Here'!$A44,"")</f>
        <v/>
      </c>
      <c r="G50" s="16" t="str">
        <f>IF('Paste Here'!$B44&lt;&gt;"",'Paste Here'!$B44,"")</f>
        <v/>
      </c>
      <c r="H50" s="16" t="str">
        <f>IF('Paste Here'!$C44&lt;&gt;"",'Paste Here'!$C44,"")</f>
        <v/>
      </c>
      <c r="I50" s="25" t="str">
        <f>IF('Paste Here'!$D44&lt;&gt;"",'Paste Here'!$D44,"")</f>
        <v/>
      </c>
      <c r="J50" s="27" t="str">
        <f>IF('Paste Here'!$E44&lt;&gt;"",'Paste Here'!$E44,"")</f>
        <v/>
      </c>
      <c r="K50" s="16" t="str">
        <f>IF('Paste Here'!$F44&lt;&gt;"",'Paste Here'!$F44,"")</f>
        <v/>
      </c>
      <c r="L50" s="16" t="str">
        <f>IF('Paste Here'!$G44&lt;&gt;"",'Paste Here'!$G44,"")</f>
        <v/>
      </c>
      <c r="M50" s="18" t="str">
        <f t="shared" si="1"/>
        <v/>
      </c>
    </row>
    <row r="51" spans="1:13" s="17" customFormat="1" x14ac:dyDescent="0.25">
      <c r="A51" s="16" t="str">
        <f>IF(URN&lt;&gt;"",_xll.mdValue("Resident",_xlnm.Database,$F51),"")</f>
        <v/>
      </c>
      <c r="B51" s="16" t="str">
        <f>IF(PersonId&lt;&gt;"",_xll.mdValue("Resident First Name",_xlnm.Database,$A$8),"")</f>
        <v/>
      </c>
      <c r="C51" s="16" t="str">
        <f>IF(PersonId&lt;&gt;"",_xll.mdValue("Resident Last Name",_xlnm.Database,$A$8),"")</f>
        <v/>
      </c>
      <c r="D51" s="16" t="str">
        <f>IF(PersonId&lt;&gt;"",_xll.mdValue("Person Accomodation Code",_xlnm.Database,$A51),"")</f>
        <v/>
      </c>
      <c r="E51" s="28" t="str">
        <f t="shared" si="0"/>
        <v/>
      </c>
      <c r="F51" s="16" t="str">
        <f>IF('Paste Here'!$A45&lt;&gt;"",'Paste Here'!$A45,"")</f>
        <v/>
      </c>
      <c r="G51" s="16" t="str">
        <f>IF('Paste Here'!$B45&lt;&gt;"",'Paste Here'!$B45,"")</f>
        <v/>
      </c>
      <c r="H51" s="16" t="str">
        <f>IF('Paste Here'!$C45&lt;&gt;"",'Paste Here'!$C45,"")</f>
        <v/>
      </c>
      <c r="I51" s="25" t="str">
        <f>IF('Paste Here'!$D45&lt;&gt;"",'Paste Here'!$D45,"")</f>
        <v/>
      </c>
      <c r="J51" s="27" t="str">
        <f>IF('Paste Here'!$E45&lt;&gt;"",'Paste Here'!$E45,"")</f>
        <v/>
      </c>
      <c r="K51" s="16" t="str">
        <f>IF('Paste Here'!$F45&lt;&gt;"",'Paste Here'!$F45,"")</f>
        <v/>
      </c>
      <c r="L51" s="16" t="str">
        <f>IF('Paste Here'!$G45&lt;&gt;"",'Paste Here'!$G45,"")</f>
        <v/>
      </c>
      <c r="M51" s="18" t="str">
        <f t="shared" si="1"/>
        <v/>
      </c>
    </row>
    <row r="52" spans="1:13" s="17" customFormat="1" x14ac:dyDescent="0.25">
      <c r="A52" s="16" t="str">
        <f>IF(URN&lt;&gt;"",_xll.mdValue("Resident",_xlnm.Database,$F52),"")</f>
        <v/>
      </c>
      <c r="B52" s="16" t="str">
        <f>IF(PersonId&lt;&gt;"",_xll.mdValue("Resident First Name",_xlnm.Database,$A$8),"")</f>
        <v/>
      </c>
      <c r="C52" s="16" t="str">
        <f>IF(PersonId&lt;&gt;"",_xll.mdValue("Resident Last Name",_xlnm.Database,$A$8),"")</f>
        <v/>
      </c>
      <c r="D52" s="16" t="str">
        <f>IF(PersonId&lt;&gt;"",_xll.mdValue("Person Accomodation Code",_xlnm.Database,$A52),"")</f>
        <v/>
      </c>
      <c r="E52" s="28" t="str">
        <f t="shared" si="0"/>
        <v/>
      </c>
      <c r="F52" s="16" t="str">
        <f>IF('Paste Here'!$A46&lt;&gt;"",'Paste Here'!$A46,"")</f>
        <v/>
      </c>
      <c r="G52" s="16" t="str">
        <f>IF('Paste Here'!$B46&lt;&gt;"",'Paste Here'!$B46,"")</f>
        <v/>
      </c>
      <c r="H52" s="16" t="str">
        <f>IF('Paste Here'!$C46&lt;&gt;"",'Paste Here'!$C46,"")</f>
        <v/>
      </c>
      <c r="I52" s="25" t="str">
        <f>IF('Paste Here'!$D46&lt;&gt;"",'Paste Here'!$D46,"")</f>
        <v/>
      </c>
      <c r="J52" s="27" t="str">
        <f>IF('Paste Here'!$E46&lt;&gt;"",'Paste Here'!$E46,"")</f>
        <v/>
      </c>
      <c r="K52" s="16" t="str">
        <f>IF('Paste Here'!$F46&lt;&gt;"",'Paste Here'!$F46,"")</f>
        <v/>
      </c>
      <c r="L52" s="16" t="str">
        <f>IF('Paste Here'!$G46&lt;&gt;"",'Paste Here'!$G46,"")</f>
        <v/>
      </c>
      <c r="M52" s="18" t="str">
        <f t="shared" si="1"/>
        <v/>
      </c>
    </row>
    <row r="53" spans="1:13" s="17" customFormat="1" x14ac:dyDescent="0.25">
      <c r="A53" s="16" t="str">
        <f>IF(URN&lt;&gt;"",_xll.mdValue("Resident",_xlnm.Database,$F53),"")</f>
        <v/>
      </c>
      <c r="B53" s="16" t="str">
        <f>IF(PersonId&lt;&gt;"",_xll.mdValue("Resident First Name",_xlnm.Database,$A$8),"")</f>
        <v/>
      </c>
      <c r="C53" s="16" t="str">
        <f>IF(PersonId&lt;&gt;"",_xll.mdValue("Resident Last Name",_xlnm.Database,$A$8),"")</f>
        <v/>
      </c>
      <c r="D53" s="16" t="str">
        <f>IF(PersonId&lt;&gt;"",_xll.mdValue("Person Accomodation Code",_xlnm.Database,$A53),"")</f>
        <v/>
      </c>
      <c r="E53" s="28" t="str">
        <f t="shared" si="0"/>
        <v/>
      </c>
      <c r="F53" s="16" t="str">
        <f>IF('Paste Here'!$A47&lt;&gt;"",'Paste Here'!$A47,"")</f>
        <v/>
      </c>
      <c r="G53" s="16" t="str">
        <f>IF('Paste Here'!$B47&lt;&gt;"",'Paste Here'!$B47,"")</f>
        <v/>
      </c>
      <c r="H53" s="16" t="str">
        <f>IF('Paste Here'!$C47&lt;&gt;"",'Paste Here'!$C47,"")</f>
        <v/>
      </c>
      <c r="I53" s="25" t="str">
        <f>IF('Paste Here'!$D47&lt;&gt;"",'Paste Here'!$D47,"")</f>
        <v/>
      </c>
      <c r="J53" s="27" t="str">
        <f>IF('Paste Here'!$E47&lt;&gt;"",'Paste Here'!$E47,"")</f>
        <v/>
      </c>
      <c r="K53" s="16" t="str">
        <f>IF('Paste Here'!$F47&lt;&gt;"",'Paste Here'!$F47,"")</f>
        <v/>
      </c>
      <c r="L53" s="16" t="str">
        <f>IF('Paste Here'!$G47&lt;&gt;"",'Paste Here'!$G47,"")</f>
        <v/>
      </c>
      <c r="M53" s="18" t="str">
        <f t="shared" si="1"/>
        <v/>
      </c>
    </row>
    <row r="54" spans="1:13" s="17" customFormat="1" x14ac:dyDescent="0.25">
      <c r="A54" s="16" t="str">
        <f>IF(URN&lt;&gt;"",_xll.mdValue("Resident",_xlnm.Database,$F54),"")</f>
        <v/>
      </c>
      <c r="B54" s="16" t="str">
        <f>IF(PersonId&lt;&gt;"",_xll.mdValue("Resident First Name",_xlnm.Database,$A$8),"")</f>
        <v/>
      </c>
      <c r="C54" s="16" t="str">
        <f>IF(PersonId&lt;&gt;"",_xll.mdValue("Resident Last Name",_xlnm.Database,$A$8),"")</f>
        <v/>
      </c>
      <c r="D54" s="16" t="str">
        <f>IF(PersonId&lt;&gt;"",_xll.mdValue("Person Accomodation Code",_xlnm.Database,$A54),"")</f>
        <v/>
      </c>
      <c r="E54" s="28" t="str">
        <f t="shared" si="0"/>
        <v/>
      </c>
      <c r="F54" s="16" t="str">
        <f>IF('Paste Here'!$A48&lt;&gt;"",'Paste Here'!$A48,"")</f>
        <v/>
      </c>
      <c r="G54" s="16" t="str">
        <f>IF('Paste Here'!$B48&lt;&gt;"",'Paste Here'!$B48,"")</f>
        <v/>
      </c>
      <c r="H54" s="16" t="str">
        <f>IF('Paste Here'!$C48&lt;&gt;"",'Paste Here'!$C48,"")</f>
        <v/>
      </c>
      <c r="I54" s="25" t="str">
        <f>IF('Paste Here'!$D48&lt;&gt;"",'Paste Here'!$D48,"")</f>
        <v/>
      </c>
      <c r="J54" s="27" t="str">
        <f>IF('Paste Here'!$E48&lt;&gt;"",'Paste Here'!$E48,"")</f>
        <v/>
      </c>
      <c r="K54" s="16" t="str">
        <f>IF('Paste Here'!$F48&lt;&gt;"",'Paste Here'!$F48,"")</f>
        <v/>
      </c>
      <c r="L54" s="16" t="str">
        <f>IF('Paste Here'!$G48&lt;&gt;"",'Paste Here'!$G48,"")</f>
        <v/>
      </c>
      <c r="M54" s="18" t="str">
        <f t="shared" si="1"/>
        <v/>
      </c>
    </row>
    <row r="55" spans="1:13" s="17" customFormat="1" x14ac:dyDescent="0.25">
      <c r="A55" s="16" t="str">
        <f>IF(URN&lt;&gt;"",_xll.mdValue("Resident",_xlnm.Database,$F55),"")</f>
        <v/>
      </c>
      <c r="B55" s="16" t="str">
        <f>IF(PersonId&lt;&gt;"",_xll.mdValue("Resident First Name",_xlnm.Database,$A$8),"")</f>
        <v/>
      </c>
      <c r="C55" s="16" t="str">
        <f>IF(PersonId&lt;&gt;"",_xll.mdValue("Resident Last Name",_xlnm.Database,$A$8),"")</f>
        <v/>
      </c>
      <c r="D55" s="16" t="str">
        <f>IF(PersonId&lt;&gt;"",_xll.mdValue("Person Accomodation Code",_xlnm.Database,$A55),"")</f>
        <v/>
      </c>
      <c r="E55" s="28" t="str">
        <f t="shared" si="0"/>
        <v/>
      </c>
      <c r="F55" s="16" t="str">
        <f>IF('Paste Here'!$A49&lt;&gt;"",'Paste Here'!$A49,"")</f>
        <v/>
      </c>
      <c r="G55" s="16" t="str">
        <f>IF('Paste Here'!$B49&lt;&gt;"",'Paste Here'!$B49,"")</f>
        <v/>
      </c>
      <c r="H55" s="16" t="str">
        <f>IF('Paste Here'!$C49&lt;&gt;"",'Paste Here'!$C49,"")</f>
        <v/>
      </c>
      <c r="I55" s="25" t="str">
        <f>IF('Paste Here'!$D49&lt;&gt;"",'Paste Here'!$D49,"")</f>
        <v/>
      </c>
      <c r="J55" s="27" t="str">
        <f>IF('Paste Here'!$E49&lt;&gt;"",'Paste Here'!$E49,"")</f>
        <v/>
      </c>
      <c r="K55" s="16" t="str">
        <f>IF('Paste Here'!$F49&lt;&gt;"",'Paste Here'!$F49,"")</f>
        <v/>
      </c>
      <c r="L55" s="16" t="str">
        <f>IF('Paste Here'!$G49&lt;&gt;"",'Paste Here'!$G49,"")</f>
        <v/>
      </c>
      <c r="M55" s="18" t="str">
        <f t="shared" si="1"/>
        <v/>
      </c>
    </row>
    <row r="56" spans="1:13" s="17" customFormat="1" x14ac:dyDescent="0.25">
      <c r="A56" s="16" t="str">
        <f>IF(URN&lt;&gt;"",_xll.mdValue("Resident",_xlnm.Database,$F56),"")</f>
        <v/>
      </c>
      <c r="B56" s="16" t="str">
        <f>IF(PersonId&lt;&gt;"",_xll.mdValue("Resident First Name",_xlnm.Database,$A$8),"")</f>
        <v/>
      </c>
      <c r="C56" s="16" t="str">
        <f>IF(PersonId&lt;&gt;"",_xll.mdValue("Resident Last Name",_xlnm.Database,$A$8),"")</f>
        <v/>
      </c>
      <c r="D56" s="16" t="str">
        <f>IF(PersonId&lt;&gt;"",_xll.mdValue("Person Accomodation Code",_xlnm.Database,$A56),"")</f>
        <v/>
      </c>
      <c r="E56" s="28" t="str">
        <f t="shared" si="0"/>
        <v/>
      </c>
      <c r="F56" s="16" t="str">
        <f>IF('Paste Here'!$A50&lt;&gt;"",'Paste Here'!$A50,"")</f>
        <v/>
      </c>
      <c r="G56" s="16" t="str">
        <f>IF('Paste Here'!$B50&lt;&gt;"",'Paste Here'!$B50,"")</f>
        <v/>
      </c>
      <c r="H56" s="16" t="str">
        <f>IF('Paste Here'!$C50&lt;&gt;"",'Paste Here'!$C50,"")</f>
        <v/>
      </c>
      <c r="I56" s="25" t="str">
        <f>IF('Paste Here'!$D50&lt;&gt;"",'Paste Here'!$D50,"")</f>
        <v/>
      </c>
      <c r="J56" s="27" t="str">
        <f>IF('Paste Here'!$E50&lt;&gt;"",'Paste Here'!$E50,"")</f>
        <v/>
      </c>
      <c r="K56" s="16" t="str">
        <f>IF('Paste Here'!$F50&lt;&gt;"",'Paste Here'!$F50,"")</f>
        <v/>
      </c>
      <c r="L56" s="16" t="str">
        <f>IF('Paste Here'!$G50&lt;&gt;"",'Paste Here'!$G50,"")</f>
        <v/>
      </c>
      <c r="M56" s="18" t="str">
        <f t="shared" si="1"/>
        <v/>
      </c>
    </row>
    <row r="57" spans="1:13" s="17" customFormat="1" x14ac:dyDescent="0.25">
      <c r="A57" s="16" t="str">
        <f>IF(URN&lt;&gt;"",_xll.mdValue("Resident",_xlnm.Database,$F57),"")</f>
        <v/>
      </c>
      <c r="B57" s="16" t="str">
        <f>IF(PersonId&lt;&gt;"",_xll.mdValue("Resident First Name",_xlnm.Database,$A$8),"")</f>
        <v/>
      </c>
      <c r="C57" s="16" t="str">
        <f>IF(PersonId&lt;&gt;"",_xll.mdValue("Resident Last Name",_xlnm.Database,$A$8),"")</f>
        <v/>
      </c>
      <c r="D57" s="16" t="str">
        <f>IF(PersonId&lt;&gt;"",_xll.mdValue("Person Accomodation Code",_xlnm.Database,$A57),"")</f>
        <v/>
      </c>
      <c r="E57" s="28" t="str">
        <f t="shared" si="0"/>
        <v/>
      </c>
      <c r="F57" s="16" t="str">
        <f>IF('Paste Here'!$A51&lt;&gt;"",'Paste Here'!$A51,"")</f>
        <v/>
      </c>
      <c r="G57" s="16" t="str">
        <f>IF('Paste Here'!$B51&lt;&gt;"",'Paste Here'!$B51,"")</f>
        <v/>
      </c>
      <c r="H57" s="16" t="str">
        <f>IF('Paste Here'!$C51&lt;&gt;"",'Paste Here'!$C51,"")</f>
        <v/>
      </c>
      <c r="I57" s="25" t="str">
        <f>IF('Paste Here'!$D51&lt;&gt;"",'Paste Here'!$D51,"")</f>
        <v/>
      </c>
      <c r="J57" s="27" t="str">
        <f>IF('Paste Here'!$E51&lt;&gt;"",'Paste Here'!$E51,"")</f>
        <v/>
      </c>
      <c r="K57" s="16" t="str">
        <f>IF('Paste Here'!$F51&lt;&gt;"",'Paste Here'!$F51,"")</f>
        <v/>
      </c>
      <c r="L57" s="16" t="str">
        <f>IF('Paste Here'!$G51&lt;&gt;"",'Paste Here'!$G51,"")</f>
        <v/>
      </c>
      <c r="M57" s="18" t="str">
        <f t="shared" si="1"/>
        <v/>
      </c>
    </row>
    <row r="58" spans="1:13" s="17" customFormat="1" x14ac:dyDescent="0.25">
      <c r="A58" s="16" t="str">
        <f>IF(URN&lt;&gt;"",_xll.mdValue("Resident",_xlnm.Database,$F58),"")</f>
        <v/>
      </c>
      <c r="B58" s="16" t="str">
        <f>IF(PersonId&lt;&gt;"",_xll.mdValue("Resident First Name",_xlnm.Database,$A$8),"")</f>
        <v/>
      </c>
      <c r="C58" s="16" t="str">
        <f>IF(PersonId&lt;&gt;"",_xll.mdValue("Resident Last Name",_xlnm.Database,$A$8),"")</f>
        <v/>
      </c>
      <c r="D58" s="16" t="str">
        <f>IF(PersonId&lt;&gt;"",_xll.mdValue("Person Accomodation Code",_xlnm.Database,$A58),"")</f>
        <v/>
      </c>
      <c r="E58" s="28" t="str">
        <f t="shared" si="0"/>
        <v/>
      </c>
      <c r="F58" s="16" t="str">
        <f>IF('Paste Here'!$A52&lt;&gt;"",'Paste Here'!$A52,"")</f>
        <v/>
      </c>
      <c r="G58" s="16" t="str">
        <f>IF('Paste Here'!$B52&lt;&gt;"",'Paste Here'!$B52,"")</f>
        <v/>
      </c>
      <c r="H58" s="16" t="str">
        <f>IF('Paste Here'!$C52&lt;&gt;"",'Paste Here'!$C52,"")</f>
        <v/>
      </c>
      <c r="I58" s="25" t="str">
        <f>IF('Paste Here'!$D52&lt;&gt;"",'Paste Here'!$D52,"")</f>
        <v/>
      </c>
      <c r="J58" s="27" t="str">
        <f>IF('Paste Here'!$E52&lt;&gt;"",'Paste Here'!$E52,"")</f>
        <v/>
      </c>
      <c r="K58" s="16" t="str">
        <f>IF('Paste Here'!$F52&lt;&gt;"",'Paste Here'!$F52,"")</f>
        <v/>
      </c>
      <c r="L58" s="16" t="str">
        <f>IF('Paste Here'!$G52&lt;&gt;"",'Paste Here'!$G52,"")</f>
        <v/>
      </c>
      <c r="M58" s="18" t="str">
        <f t="shared" si="1"/>
        <v/>
      </c>
    </row>
    <row r="59" spans="1:13" s="17" customFormat="1" x14ac:dyDescent="0.25">
      <c r="A59" s="16" t="str">
        <f>IF(URN&lt;&gt;"",_xll.mdValue("Resident",_xlnm.Database,$F59),"")</f>
        <v/>
      </c>
      <c r="B59" s="16" t="str">
        <f>IF(PersonId&lt;&gt;"",_xll.mdValue("Resident First Name",_xlnm.Database,$A$8),"")</f>
        <v/>
      </c>
      <c r="C59" s="16" t="str">
        <f>IF(PersonId&lt;&gt;"",_xll.mdValue("Resident Last Name",_xlnm.Database,$A$8),"")</f>
        <v/>
      </c>
      <c r="D59" s="16" t="str">
        <f>IF(PersonId&lt;&gt;"",_xll.mdValue("Person Accomodation Code",_xlnm.Database,$A59),"")</f>
        <v/>
      </c>
      <c r="E59" s="28" t="str">
        <f t="shared" si="0"/>
        <v/>
      </c>
      <c r="F59" s="16" t="str">
        <f>IF('Paste Here'!$A53&lt;&gt;"",'Paste Here'!$A53,"")</f>
        <v/>
      </c>
      <c r="G59" s="16" t="str">
        <f>IF('Paste Here'!$B53&lt;&gt;"",'Paste Here'!$B53,"")</f>
        <v/>
      </c>
      <c r="H59" s="16" t="str">
        <f>IF('Paste Here'!$C53&lt;&gt;"",'Paste Here'!$C53,"")</f>
        <v/>
      </c>
      <c r="I59" s="25" t="str">
        <f>IF('Paste Here'!$D53&lt;&gt;"",'Paste Here'!$D53,"")</f>
        <v/>
      </c>
      <c r="J59" s="27" t="str">
        <f>IF('Paste Here'!$E53&lt;&gt;"",'Paste Here'!$E53,"")</f>
        <v/>
      </c>
      <c r="K59" s="16" t="str">
        <f>IF('Paste Here'!$F53&lt;&gt;"",'Paste Here'!$F53,"")</f>
        <v/>
      </c>
      <c r="L59" s="16" t="str">
        <f>IF('Paste Here'!$G53&lt;&gt;"",'Paste Here'!$G53,"")</f>
        <v/>
      </c>
      <c r="M59" s="18" t="str">
        <f t="shared" si="1"/>
        <v/>
      </c>
    </row>
    <row r="60" spans="1:13" s="17" customFormat="1" x14ac:dyDescent="0.25">
      <c r="A60" s="16" t="str">
        <f>IF(URN&lt;&gt;"",_xll.mdValue("Resident",_xlnm.Database,$F60),"")</f>
        <v/>
      </c>
      <c r="B60" s="16" t="str">
        <f>IF(PersonId&lt;&gt;"",_xll.mdValue("Resident First Name",_xlnm.Database,$A$8),"")</f>
        <v/>
      </c>
      <c r="C60" s="16" t="str">
        <f>IF(PersonId&lt;&gt;"",_xll.mdValue("Resident Last Name",_xlnm.Database,$A$8),"")</f>
        <v/>
      </c>
      <c r="D60" s="16" t="str">
        <f>IF(PersonId&lt;&gt;"",_xll.mdValue("Person Accomodation Code",_xlnm.Database,$A60),"")</f>
        <v/>
      </c>
      <c r="E60" s="28" t="str">
        <f t="shared" si="0"/>
        <v/>
      </c>
      <c r="F60" s="16" t="str">
        <f>IF('Paste Here'!$A54&lt;&gt;"",'Paste Here'!$A54,"")</f>
        <v/>
      </c>
      <c r="G60" s="16" t="str">
        <f>IF('Paste Here'!$B54&lt;&gt;"",'Paste Here'!$B54,"")</f>
        <v/>
      </c>
      <c r="H60" s="16" t="str">
        <f>IF('Paste Here'!$C54&lt;&gt;"",'Paste Here'!$C54,"")</f>
        <v/>
      </c>
      <c r="I60" s="25" t="str">
        <f>IF('Paste Here'!$D54&lt;&gt;"",'Paste Here'!$D54,"")</f>
        <v/>
      </c>
      <c r="J60" s="27" t="str">
        <f>IF('Paste Here'!$E54&lt;&gt;"",'Paste Here'!$E54,"")</f>
        <v/>
      </c>
      <c r="K60" s="16" t="str">
        <f>IF('Paste Here'!$F54&lt;&gt;"",'Paste Here'!$F54,"")</f>
        <v/>
      </c>
      <c r="L60" s="16" t="str">
        <f>IF('Paste Here'!$G54&lt;&gt;"",'Paste Here'!$G54,"")</f>
        <v/>
      </c>
      <c r="M60" s="18" t="str">
        <f t="shared" si="1"/>
        <v/>
      </c>
    </row>
    <row r="61" spans="1:13" s="17" customFormat="1" x14ac:dyDescent="0.25">
      <c r="A61" s="16" t="str">
        <f>IF(URN&lt;&gt;"",_xll.mdValue("Resident",_xlnm.Database,$F61),"")</f>
        <v/>
      </c>
      <c r="B61" s="16" t="str">
        <f>IF(PersonId&lt;&gt;"",_xll.mdValue("Resident First Name",_xlnm.Database,$A$8),"")</f>
        <v/>
      </c>
      <c r="C61" s="16" t="str">
        <f>IF(PersonId&lt;&gt;"",_xll.mdValue("Resident Last Name",_xlnm.Database,$A$8),"")</f>
        <v/>
      </c>
      <c r="D61" s="16" t="str">
        <f>IF(PersonId&lt;&gt;"",_xll.mdValue("Person Accomodation Code",_xlnm.Database,$A61),"")</f>
        <v/>
      </c>
      <c r="E61" s="28" t="str">
        <f t="shared" si="0"/>
        <v/>
      </c>
      <c r="F61" s="16" t="str">
        <f>IF('Paste Here'!$A55&lt;&gt;"",'Paste Here'!$A55,"")</f>
        <v/>
      </c>
      <c r="G61" s="16" t="str">
        <f>IF('Paste Here'!$B55&lt;&gt;"",'Paste Here'!$B55,"")</f>
        <v/>
      </c>
      <c r="H61" s="16" t="str">
        <f>IF('Paste Here'!$C55&lt;&gt;"",'Paste Here'!$C55,"")</f>
        <v/>
      </c>
      <c r="I61" s="25" t="str">
        <f>IF('Paste Here'!$D55&lt;&gt;"",'Paste Here'!$D55,"")</f>
        <v/>
      </c>
      <c r="J61" s="27" t="str">
        <f>IF('Paste Here'!$E55&lt;&gt;"",'Paste Here'!$E55,"")</f>
        <v/>
      </c>
      <c r="K61" s="16" t="str">
        <f>IF('Paste Here'!$F55&lt;&gt;"",'Paste Here'!$F55,"")</f>
        <v/>
      </c>
      <c r="L61" s="16" t="str">
        <f>IF('Paste Here'!$G55&lt;&gt;"",'Paste Here'!$G55,"")</f>
        <v/>
      </c>
      <c r="M61" s="18" t="str">
        <f t="shared" si="1"/>
        <v/>
      </c>
    </row>
    <row r="62" spans="1:13" s="17" customFormat="1" x14ac:dyDescent="0.25">
      <c r="A62" s="16" t="str">
        <f>IF(URN&lt;&gt;"",_xll.mdValue("Resident",_xlnm.Database,$F62),"")</f>
        <v/>
      </c>
      <c r="B62" s="16" t="str">
        <f>IF(PersonId&lt;&gt;"",_xll.mdValue("Resident First Name",_xlnm.Database,$A$8),"")</f>
        <v/>
      </c>
      <c r="C62" s="16" t="str">
        <f>IF(PersonId&lt;&gt;"",_xll.mdValue("Resident Last Name",_xlnm.Database,$A$8),"")</f>
        <v/>
      </c>
      <c r="D62" s="16" t="str">
        <f>IF(PersonId&lt;&gt;"",_xll.mdValue("Person Accomodation Code",_xlnm.Database,$A62),"")</f>
        <v/>
      </c>
      <c r="E62" s="28" t="str">
        <f t="shared" si="0"/>
        <v/>
      </c>
      <c r="F62" s="16" t="str">
        <f>IF('Paste Here'!$A56&lt;&gt;"",'Paste Here'!$A56,"")</f>
        <v/>
      </c>
      <c r="G62" s="16" t="str">
        <f>IF('Paste Here'!$B56&lt;&gt;"",'Paste Here'!$B56,"")</f>
        <v/>
      </c>
      <c r="H62" s="16" t="str">
        <f>IF('Paste Here'!$C56&lt;&gt;"",'Paste Here'!$C56,"")</f>
        <v/>
      </c>
      <c r="I62" s="25" t="str">
        <f>IF('Paste Here'!$D56&lt;&gt;"",'Paste Here'!$D56,"")</f>
        <v/>
      </c>
      <c r="J62" s="27" t="str">
        <f>IF('Paste Here'!$E56&lt;&gt;"",'Paste Here'!$E56,"")</f>
        <v/>
      </c>
      <c r="K62" s="16" t="str">
        <f>IF('Paste Here'!$F56&lt;&gt;"",'Paste Here'!$F56,"")</f>
        <v/>
      </c>
      <c r="L62" s="16" t="str">
        <f>IF('Paste Here'!$G56&lt;&gt;"",'Paste Here'!$G56,"")</f>
        <v/>
      </c>
      <c r="M62" s="18" t="str">
        <f t="shared" si="1"/>
        <v/>
      </c>
    </row>
    <row r="63" spans="1:13" s="17" customFormat="1" x14ac:dyDescent="0.25">
      <c r="A63" s="16" t="str">
        <f>IF(URN&lt;&gt;"",_xll.mdValue("Resident",_xlnm.Database,$F63),"")</f>
        <v/>
      </c>
      <c r="B63" s="16" t="str">
        <f>IF(PersonId&lt;&gt;"",_xll.mdValue("Resident First Name",_xlnm.Database,$A$8),"")</f>
        <v/>
      </c>
      <c r="C63" s="16" t="str">
        <f>IF(PersonId&lt;&gt;"",_xll.mdValue("Resident Last Name",_xlnm.Database,$A$8),"")</f>
        <v/>
      </c>
      <c r="D63" s="16" t="str">
        <f>IF(PersonId&lt;&gt;"",_xll.mdValue("Person Accomodation Code",_xlnm.Database,$A63),"")</f>
        <v/>
      </c>
      <c r="E63" s="28" t="str">
        <f t="shared" si="0"/>
        <v/>
      </c>
      <c r="F63" s="16" t="str">
        <f>IF('Paste Here'!$A57&lt;&gt;"",'Paste Here'!$A57,"")</f>
        <v/>
      </c>
      <c r="G63" s="16" t="str">
        <f>IF('Paste Here'!$B57&lt;&gt;"",'Paste Here'!$B57,"")</f>
        <v/>
      </c>
      <c r="H63" s="16" t="str">
        <f>IF('Paste Here'!$C57&lt;&gt;"",'Paste Here'!$C57,"")</f>
        <v/>
      </c>
      <c r="I63" s="25" t="str">
        <f>IF('Paste Here'!$D57&lt;&gt;"",'Paste Here'!$D57,"")</f>
        <v/>
      </c>
      <c r="J63" s="27" t="str">
        <f>IF('Paste Here'!$E57&lt;&gt;"",'Paste Here'!$E57,"")</f>
        <v/>
      </c>
      <c r="K63" s="16" t="str">
        <f>IF('Paste Here'!$F57&lt;&gt;"",'Paste Here'!$F57,"")</f>
        <v/>
      </c>
      <c r="L63" s="16" t="str">
        <f>IF('Paste Here'!$G57&lt;&gt;"",'Paste Here'!$G57,"")</f>
        <v/>
      </c>
      <c r="M63" s="18" t="str">
        <f t="shared" si="1"/>
        <v/>
      </c>
    </row>
    <row r="64" spans="1:13" s="17" customFormat="1" x14ac:dyDescent="0.25">
      <c r="A64" s="16" t="str">
        <f>IF(URN&lt;&gt;"",_xll.mdValue("Resident",_xlnm.Database,$F64),"")</f>
        <v/>
      </c>
      <c r="B64" s="16" t="str">
        <f>IF(PersonId&lt;&gt;"",_xll.mdValue("Resident First Name",_xlnm.Database,$A$8),"")</f>
        <v/>
      </c>
      <c r="C64" s="16" t="str">
        <f>IF(PersonId&lt;&gt;"",_xll.mdValue("Resident Last Name",_xlnm.Database,$A$8),"")</f>
        <v/>
      </c>
      <c r="D64" s="16" t="str">
        <f>IF(PersonId&lt;&gt;"",_xll.mdValue("Person Accomodation Code",_xlnm.Database,$A64),"")</f>
        <v/>
      </c>
      <c r="E64" s="28" t="str">
        <f t="shared" si="0"/>
        <v/>
      </c>
      <c r="F64" s="16" t="str">
        <f>IF('Paste Here'!$A58&lt;&gt;"",'Paste Here'!$A58,"")</f>
        <v/>
      </c>
      <c r="G64" s="16" t="str">
        <f>IF('Paste Here'!$B58&lt;&gt;"",'Paste Here'!$B58,"")</f>
        <v/>
      </c>
      <c r="H64" s="16" t="str">
        <f>IF('Paste Here'!$C58&lt;&gt;"",'Paste Here'!$C58,"")</f>
        <v/>
      </c>
      <c r="I64" s="25" t="str">
        <f>IF('Paste Here'!$D58&lt;&gt;"",'Paste Here'!$D58,"")</f>
        <v/>
      </c>
      <c r="J64" s="27" t="str">
        <f>IF('Paste Here'!$E58&lt;&gt;"",'Paste Here'!$E58,"")</f>
        <v/>
      </c>
      <c r="K64" s="16" t="str">
        <f>IF('Paste Here'!$F58&lt;&gt;"",'Paste Here'!$F58,"")</f>
        <v/>
      </c>
      <c r="L64" s="16" t="str">
        <f>IF('Paste Here'!$G58&lt;&gt;"",'Paste Here'!$G58,"")</f>
        <v/>
      </c>
      <c r="M64" s="18" t="str">
        <f t="shared" si="1"/>
        <v/>
      </c>
    </row>
    <row r="65" spans="1:13" s="17" customFormat="1" x14ac:dyDescent="0.25">
      <c r="A65" s="16" t="str">
        <f>IF(URN&lt;&gt;"",_xll.mdValue("Resident",_xlnm.Database,$F65),"")</f>
        <v/>
      </c>
      <c r="B65" s="16" t="str">
        <f>IF(PersonId&lt;&gt;"",_xll.mdValue("Resident First Name",_xlnm.Database,$A$8),"")</f>
        <v/>
      </c>
      <c r="C65" s="16" t="str">
        <f>IF(PersonId&lt;&gt;"",_xll.mdValue("Resident Last Name",_xlnm.Database,$A$8),"")</f>
        <v/>
      </c>
      <c r="D65" s="16" t="str">
        <f>IF(PersonId&lt;&gt;"",_xll.mdValue("Person Accomodation Code",_xlnm.Database,$A65),"")</f>
        <v/>
      </c>
      <c r="E65" s="28" t="str">
        <f t="shared" si="0"/>
        <v/>
      </c>
      <c r="F65" s="16" t="str">
        <f>IF('Paste Here'!$A59&lt;&gt;"",'Paste Here'!$A59,"")</f>
        <v/>
      </c>
      <c r="G65" s="16" t="str">
        <f>IF('Paste Here'!$B59&lt;&gt;"",'Paste Here'!$B59,"")</f>
        <v/>
      </c>
      <c r="H65" s="16" t="str">
        <f>IF('Paste Here'!$C59&lt;&gt;"",'Paste Here'!$C59,"")</f>
        <v/>
      </c>
      <c r="I65" s="25" t="str">
        <f>IF('Paste Here'!$D59&lt;&gt;"",'Paste Here'!$D59,"")</f>
        <v/>
      </c>
      <c r="J65" s="27" t="str">
        <f>IF('Paste Here'!$E59&lt;&gt;"",'Paste Here'!$E59,"")</f>
        <v/>
      </c>
      <c r="K65" s="16" t="str">
        <f>IF('Paste Here'!$F59&lt;&gt;"",'Paste Here'!$F59,"")</f>
        <v/>
      </c>
      <c r="L65" s="16" t="str">
        <f>IF('Paste Here'!$G59&lt;&gt;"",'Paste Here'!$G59,"")</f>
        <v/>
      </c>
      <c r="M65" s="18" t="str">
        <f t="shared" si="1"/>
        <v/>
      </c>
    </row>
    <row r="66" spans="1:13" s="17" customFormat="1" x14ac:dyDescent="0.25">
      <c r="A66" s="16" t="str">
        <f>IF(URN&lt;&gt;"",_xll.mdValue("Resident",_xlnm.Database,$F66),"")</f>
        <v/>
      </c>
      <c r="B66" s="16" t="str">
        <f>IF(PersonId&lt;&gt;"",_xll.mdValue("Resident First Name",_xlnm.Database,$A$8),"")</f>
        <v/>
      </c>
      <c r="C66" s="16" t="str">
        <f>IF(PersonId&lt;&gt;"",_xll.mdValue("Resident Last Name",_xlnm.Database,$A$8),"")</f>
        <v/>
      </c>
      <c r="D66" s="16" t="str">
        <f>IF(PersonId&lt;&gt;"",_xll.mdValue("Person Accomodation Code",_xlnm.Database,$A66),"")</f>
        <v/>
      </c>
      <c r="E66" s="28" t="str">
        <f t="shared" si="0"/>
        <v/>
      </c>
      <c r="F66" s="16" t="str">
        <f>IF('Paste Here'!$A60&lt;&gt;"",'Paste Here'!$A60,"")</f>
        <v/>
      </c>
      <c r="G66" s="16" t="str">
        <f>IF('Paste Here'!$B60&lt;&gt;"",'Paste Here'!$B60,"")</f>
        <v/>
      </c>
      <c r="H66" s="16" t="str">
        <f>IF('Paste Here'!$C60&lt;&gt;"",'Paste Here'!$C60,"")</f>
        <v/>
      </c>
      <c r="I66" s="25" t="str">
        <f>IF('Paste Here'!$D60&lt;&gt;"",'Paste Here'!$D60,"")</f>
        <v/>
      </c>
      <c r="J66" s="27" t="str">
        <f>IF('Paste Here'!$E60&lt;&gt;"",'Paste Here'!$E60,"")</f>
        <v/>
      </c>
      <c r="K66" s="16" t="str">
        <f>IF('Paste Here'!$F60&lt;&gt;"",'Paste Here'!$F60,"")</f>
        <v/>
      </c>
      <c r="L66" s="16" t="str">
        <f>IF('Paste Here'!$G60&lt;&gt;"",'Paste Here'!$G60,"")</f>
        <v/>
      </c>
      <c r="M66" s="18" t="str">
        <f t="shared" si="1"/>
        <v/>
      </c>
    </row>
    <row r="67" spans="1:13" s="17" customFormat="1" x14ac:dyDescent="0.25">
      <c r="A67" s="16" t="str">
        <f>IF(URN&lt;&gt;"",_xll.mdValue("Resident",_xlnm.Database,$F67),"")</f>
        <v/>
      </c>
      <c r="B67" s="16" t="str">
        <f>IF(PersonId&lt;&gt;"",_xll.mdValue("Resident First Name",_xlnm.Database,$A$8),"")</f>
        <v/>
      </c>
      <c r="C67" s="16" t="str">
        <f>IF(PersonId&lt;&gt;"",_xll.mdValue("Resident Last Name",_xlnm.Database,$A$8),"")</f>
        <v/>
      </c>
      <c r="D67" s="16" t="str">
        <f>IF(PersonId&lt;&gt;"",_xll.mdValue("Person Accomodation Code",_xlnm.Database,$A67),"")</f>
        <v/>
      </c>
      <c r="E67" s="28" t="str">
        <f t="shared" si="0"/>
        <v/>
      </c>
      <c r="F67" s="16" t="str">
        <f>IF('Paste Here'!$A61&lt;&gt;"",'Paste Here'!$A61,"")</f>
        <v/>
      </c>
      <c r="G67" s="16" t="str">
        <f>IF('Paste Here'!$B61&lt;&gt;"",'Paste Here'!$B61,"")</f>
        <v/>
      </c>
      <c r="H67" s="16" t="str">
        <f>IF('Paste Here'!$C61&lt;&gt;"",'Paste Here'!$C61,"")</f>
        <v/>
      </c>
      <c r="I67" s="25" t="str">
        <f>IF('Paste Here'!$D61&lt;&gt;"",'Paste Here'!$D61,"")</f>
        <v/>
      </c>
      <c r="J67" s="27" t="str">
        <f>IF('Paste Here'!$E61&lt;&gt;"",'Paste Here'!$E61,"")</f>
        <v/>
      </c>
      <c r="K67" s="16" t="str">
        <f>IF('Paste Here'!$F61&lt;&gt;"",'Paste Here'!$F61,"")</f>
        <v/>
      </c>
      <c r="L67" s="16" t="str">
        <f>IF('Paste Here'!$G61&lt;&gt;"",'Paste Here'!$G61,"")</f>
        <v/>
      </c>
      <c r="M67" s="18" t="str">
        <f t="shared" si="1"/>
        <v/>
      </c>
    </row>
    <row r="68" spans="1:13" s="17" customFormat="1" x14ac:dyDescent="0.25">
      <c r="A68" s="16" t="str">
        <f>IF(URN&lt;&gt;"",_xll.mdValue("Resident",_xlnm.Database,$F68),"")</f>
        <v/>
      </c>
      <c r="B68" s="16" t="str">
        <f>IF(PersonId&lt;&gt;"",_xll.mdValue("Resident First Name",_xlnm.Database,$A$8),"")</f>
        <v/>
      </c>
      <c r="C68" s="16" t="str">
        <f>IF(PersonId&lt;&gt;"",_xll.mdValue("Resident Last Name",_xlnm.Database,$A$8),"")</f>
        <v/>
      </c>
      <c r="D68" s="16" t="str">
        <f>IF(PersonId&lt;&gt;"",_xll.mdValue("Person Accomodation Code",_xlnm.Database,$A68),"")</f>
        <v/>
      </c>
      <c r="E68" s="28" t="str">
        <f t="shared" si="0"/>
        <v/>
      </c>
      <c r="F68" s="16" t="str">
        <f>IF('Paste Here'!$A62&lt;&gt;"",'Paste Here'!$A62,"")</f>
        <v/>
      </c>
      <c r="G68" s="16" t="str">
        <f>IF('Paste Here'!$B62&lt;&gt;"",'Paste Here'!$B62,"")</f>
        <v/>
      </c>
      <c r="H68" s="16" t="str">
        <f>IF('Paste Here'!$C62&lt;&gt;"",'Paste Here'!$C62,"")</f>
        <v/>
      </c>
      <c r="I68" s="25" t="str">
        <f>IF('Paste Here'!$D62&lt;&gt;"",'Paste Here'!$D62,"")</f>
        <v/>
      </c>
      <c r="J68" s="27" t="str">
        <f>IF('Paste Here'!$E62&lt;&gt;"",'Paste Here'!$E62,"")</f>
        <v/>
      </c>
      <c r="K68" s="16" t="str">
        <f>IF('Paste Here'!$F62&lt;&gt;"",'Paste Here'!$F62,"")</f>
        <v/>
      </c>
      <c r="L68" s="16" t="str">
        <f>IF('Paste Here'!$G62&lt;&gt;"",'Paste Here'!$G62,"")</f>
        <v/>
      </c>
      <c r="M68" s="18" t="str">
        <f t="shared" si="1"/>
        <v/>
      </c>
    </row>
    <row r="69" spans="1:13" s="17" customFormat="1" x14ac:dyDescent="0.25">
      <c r="A69" s="16" t="str">
        <f>IF(URN&lt;&gt;"",_xll.mdValue("Resident",_xlnm.Database,$F69),"")</f>
        <v/>
      </c>
      <c r="B69" s="16" t="str">
        <f>IF(PersonId&lt;&gt;"",_xll.mdValue("Resident First Name",_xlnm.Database,$A$8),"")</f>
        <v/>
      </c>
      <c r="C69" s="16" t="str">
        <f>IF(PersonId&lt;&gt;"",_xll.mdValue("Resident Last Name",_xlnm.Database,$A$8),"")</f>
        <v/>
      </c>
      <c r="D69" s="16" t="str">
        <f>IF(PersonId&lt;&gt;"",_xll.mdValue("Person Accomodation Code",_xlnm.Database,$A69),"")</f>
        <v/>
      </c>
      <c r="E69" s="28" t="str">
        <f t="shared" si="0"/>
        <v/>
      </c>
      <c r="F69" s="16" t="str">
        <f>IF('Paste Here'!$A63&lt;&gt;"",'Paste Here'!$A63,"")</f>
        <v/>
      </c>
      <c r="G69" s="16" t="str">
        <f>IF('Paste Here'!$B63&lt;&gt;"",'Paste Here'!$B63,"")</f>
        <v/>
      </c>
      <c r="H69" s="16" t="str">
        <f>IF('Paste Here'!$C63&lt;&gt;"",'Paste Here'!$C63,"")</f>
        <v/>
      </c>
      <c r="I69" s="25" t="str">
        <f>IF('Paste Here'!$D63&lt;&gt;"",'Paste Here'!$D63,"")</f>
        <v/>
      </c>
      <c r="J69" s="27" t="str">
        <f>IF('Paste Here'!$E63&lt;&gt;"",'Paste Here'!$E63,"")</f>
        <v/>
      </c>
      <c r="K69" s="16" t="str">
        <f>IF('Paste Here'!$F63&lt;&gt;"",'Paste Here'!$F63,"")</f>
        <v/>
      </c>
      <c r="L69" s="16" t="str">
        <f>IF('Paste Here'!$G63&lt;&gt;"",'Paste Here'!$G63,"")</f>
        <v/>
      </c>
      <c r="M69" s="18" t="str">
        <f t="shared" si="1"/>
        <v/>
      </c>
    </row>
    <row r="70" spans="1:13" s="17" customFormat="1" x14ac:dyDescent="0.25">
      <c r="A70" s="16" t="str">
        <f>IF(URN&lt;&gt;"",_xll.mdValue("Resident",_xlnm.Database,$F70),"")</f>
        <v/>
      </c>
      <c r="B70" s="16" t="str">
        <f>IF(PersonId&lt;&gt;"",_xll.mdValue("Resident First Name",_xlnm.Database,$A$8),"")</f>
        <v/>
      </c>
      <c r="C70" s="16" t="str">
        <f>IF(PersonId&lt;&gt;"",_xll.mdValue("Resident Last Name",_xlnm.Database,$A$8),"")</f>
        <v/>
      </c>
      <c r="D70" s="16" t="str">
        <f>IF(PersonId&lt;&gt;"",_xll.mdValue("Person Accomodation Code",_xlnm.Database,$A70),"")</f>
        <v/>
      </c>
      <c r="E70" s="28" t="str">
        <f t="shared" si="0"/>
        <v/>
      </c>
      <c r="F70" s="16" t="str">
        <f>IF('Paste Here'!$A64&lt;&gt;"",'Paste Here'!$A64,"")</f>
        <v/>
      </c>
      <c r="G70" s="16" t="str">
        <f>IF('Paste Here'!$B64&lt;&gt;"",'Paste Here'!$B64,"")</f>
        <v/>
      </c>
      <c r="H70" s="16" t="str">
        <f>IF('Paste Here'!$C64&lt;&gt;"",'Paste Here'!$C64,"")</f>
        <v/>
      </c>
      <c r="I70" s="25" t="str">
        <f>IF('Paste Here'!$D64&lt;&gt;"",'Paste Here'!$D64,"")</f>
        <v/>
      </c>
      <c r="J70" s="27" t="str">
        <f>IF('Paste Here'!$E64&lt;&gt;"",'Paste Here'!$E64,"")</f>
        <v/>
      </c>
      <c r="K70" s="16" t="str">
        <f>IF('Paste Here'!$F64&lt;&gt;"",'Paste Here'!$F64,"")</f>
        <v/>
      </c>
      <c r="L70" s="16" t="str">
        <f>IF('Paste Here'!$G64&lt;&gt;"",'Paste Here'!$G64,"")</f>
        <v/>
      </c>
      <c r="M70" s="18" t="str">
        <f t="shared" si="1"/>
        <v/>
      </c>
    </row>
    <row r="71" spans="1:13" s="17" customFormat="1" x14ac:dyDescent="0.25">
      <c r="A71" s="16" t="str">
        <f>IF(URN&lt;&gt;"",_xll.mdValue("Resident",_xlnm.Database,$F71),"")</f>
        <v/>
      </c>
      <c r="B71" s="16" t="str">
        <f>IF(PersonId&lt;&gt;"",_xll.mdValue("Resident First Name",_xlnm.Database,$A$8),"")</f>
        <v/>
      </c>
      <c r="C71" s="16" t="str">
        <f>IF(PersonId&lt;&gt;"",_xll.mdValue("Resident Last Name",_xlnm.Database,$A$8),"")</f>
        <v/>
      </c>
      <c r="D71" s="16" t="str">
        <f>IF(PersonId&lt;&gt;"",_xll.mdValue("Person Accomodation Code",_xlnm.Database,$A71),"")</f>
        <v/>
      </c>
      <c r="E71" s="28" t="str">
        <f t="shared" si="0"/>
        <v/>
      </c>
      <c r="F71" s="16" t="str">
        <f>IF('Paste Here'!$A65&lt;&gt;"",'Paste Here'!$A65,"")</f>
        <v/>
      </c>
      <c r="G71" s="16" t="str">
        <f>IF('Paste Here'!$B65&lt;&gt;"",'Paste Here'!$B65,"")</f>
        <v/>
      </c>
      <c r="H71" s="16" t="str">
        <f>IF('Paste Here'!$C65&lt;&gt;"",'Paste Here'!$C65,"")</f>
        <v/>
      </c>
      <c r="I71" s="25" t="str">
        <f>IF('Paste Here'!$D65&lt;&gt;"",'Paste Here'!$D65,"")</f>
        <v/>
      </c>
      <c r="J71" s="27" t="str">
        <f>IF('Paste Here'!$E65&lt;&gt;"",'Paste Here'!$E65,"")</f>
        <v/>
      </c>
      <c r="K71" s="16" t="str">
        <f>IF('Paste Here'!$F65&lt;&gt;"",'Paste Here'!$F65,"")</f>
        <v/>
      </c>
      <c r="L71" s="16" t="str">
        <f>IF('Paste Here'!$G65&lt;&gt;"",'Paste Here'!$G65,"")</f>
        <v/>
      </c>
      <c r="M71" s="18" t="str">
        <f t="shared" si="1"/>
        <v/>
      </c>
    </row>
    <row r="72" spans="1:13" s="17" customFormat="1" x14ac:dyDescent="0.25">
      <c r="A72" s="16" t="str">
        <f>IF(URN&lt;&gt;"",_xll.mdValue("Resident",_xlnm.Database,$F72),"")</f>
        <v/>
      </c>
      <c r="B72" s="16" t="str">
        <f>IF(PersonId&lt;&gt;"",_xll.mdValue("Resident First Name",_xlnm.Database,$A$8),"")</f>
        <v/>
      </c>
      <c r="C72" s="16" t="str">
        <f>IF(PersonId&lt;&gt;"",_xll.mdValue("Resident Last Name",_xlnm.Database,$A$8),"")</f>
        <v/>
      </c>
      <c r="D72" s="16" t="str">
        <f>IF(PersonId&lt;&gt;"",_xll.mdValue("Person Accomodation Code",_xlnm.Database,$A72),"")</f>
        <v/>
      </c>
      <c r="E72" s="28" t="str">
        <f t="shared" ref="E72:E135" si="2">IF(ClientCare_Accommodation&lt;&gt;"",IF(ClientCare_Accommodation&lt;&gt;AccommodationCode,"Missing Accommodation",""),"")</f>
        <v/>
      </c>
      <c r="F72" s="16" t="str">
        <f>IF('Paste Here'!$A66&lt;&gt;"",'Paste Here'!$A66,"")</f>
        <v/>
      </c>
      <c r="G72" s="16" t="str">
        <f>IF('Paste Here'!$B66&lt;&gt;"",'Paste Here'!$B66,"")</f>
        <v/>
      </c>
      <c r="H72" s="16" t="str">
        <f>IF('Paste Here'!$C66&lt;&gt;"",'Paste Here'!$C66,"")</f>
        <v/>
      </c>
      <c r="I72" s="25" t="str">
        <f>IF('Paste Here'!$D66&lt;&gt;"",'Paste Here'!$D66,"")</f>
        <v/>
      </c>
      <c r="J72" s="27" t="str">
        <f>IF('Paste Here'!$E66&lt;&gt;"",'Paste Here'!$E66,"")</f>
        <v/>
      </c>
      <c r="K72" s="16" t="str">
        <f>IF('Paste Here'!$F66&lt;&gt;"",'Paste Here'!$F66,"")</f>
        <v/>
      </c>
      <c r="L72" s="16" t="str">
        <f>IF('Paste Here'!$G66&lt;&gt;"",'Paste Here'!$G66,"")</f>
        <v/>
      </c>
      <c r="M72" s="18" t="str">
        <f t="shared" ref="M72:M135" si="3">IF(PersonId&lt;&gt;"","Normal","")</f>
        <v/>
      </c>
    </row>
    <row r="73" spans="1:13" s="17" customFormat="1" x14ac:dyDescent="0.25">
      <c r="A73" s="16" t="str">
        <f>IF(URN&lt;&gt;"",_xll.mdValue("Resident",_xlnm.Database,$F73),"")</f>
        <v/>
      </c>
      <c r="B73" s="16" t="str">
        <f>IF(PersonId&lt;&gt;"",_xll.mdValue("Resident First Name",_xlnm.Database,$A$8),"")</f>
        <v/>
      </c>
      <c r="C73" s="16" t="str">
        <f>IF(PersonId&lt;&gt;"",_xll.mdValue("Resident Last Name",_xlnm.Database,$A$8),"")</f>
        <v/>
      </c>
      <c r="D73" s="16" t="str">
        <f>IF(PersonId&lt;&gt;"",_xll.mdValue("Person Accomodation Code",_xlnm.Database,$A73),"")</f>
        <v/>
      </c>
      <c r="E73" s="28" t="str">
        <f t="shared" si="2"/>
        <v/>
      </c>
      <c r="F73" s="16" t="str">
        <f>IF('Paste Here'!$A67&lt;&gt;"",'Paste Here'!$A67,"")</f>
        <v/>
      </c>
      <c r="G73" s="16" t="str">
        <f>IF('Paste Here'!$B67&lt;&gt;"",'Paste Here'!$B67,"")</f>
        <v/>
      </c>
      <c r="H73" s="16" t="str">
        <f>IF('Paste Here'!$C67&lt;&gt;"",'Paste Here'!$C67,"")</f>
        <v/>
      </c>
      <c r="I73" s="25" t="str">
        <f>IF('Paste Here'!$D67&lt;&gt;"",'Paste Here'!$D67,"")</f>
        <v/>
      </c>
      <c r="J73" s="27" t="str">
        <f>IF('Paste Here'!$E67&lt;&gt;"",'Paste Here'!$E67,"")</f>
        <v/>
      </c>
      <c r="K73" s="16" t="str">
        <f>IF('Paste Here'!$F67&lt;&gt;"",'Paste Here'!$F67,"")</f>
        <v/>
      </c>
      <c r="L73" s="16" t="str">
        <f>IF('Paste Here'!$G67&lt;&gt;"",'Paste Here'!$G67,"")</f>
        <v/>
      </c>
      <c r="M73" s="18" t="str">
        <f t="shared" si="3"/>
        <v/>
      </c>
    </row>
    <row r="74" spans="1:13" s="17" customFormat="1" x14ac:dyDescent="0.25">
      <c r="A74" s="16" t="str">
        <f>IF(URN&lt;&gt;"",_xll.mdValue("Resident",_xlnm.Database,$F74),"")</f>
        <v/>
      </c>
      <c r="B74" s="16" t="str">
        <f>IF(PersonId&lt;&gt;"",_xll.mdValue("Resident First Name",_xlnm.Database,$A$8),"")</f>
        <v/>
      </c>
      <c r="C74" s="16" t="str">
        <f>IF(PersonId&lt;&gt;"",_xll.mdValue("Resident Last Name",_xlnm.Database,$A$8),"")</f>
        <v/>
      </c>
      <c r="D74" s="16" t="str">
        <f>IF(PersonId&lt;&gt;"",_xll.mdValue("Person Accomodation Code",_xlnm.Database,$A74),"")</f>
        <v/>
      </c>
      <c r="E74" s="28" t="str">
        <f t="shared" si="2"/>
        <v/>
      </c>
      <c r="F74" s="16" t="str">
        <f>IF('Paste Here'!$A68&lt;&gt;"",'Paste Here'!$A68,"")</f>
        <v/>
      </c>
      <c r="G74" s="16" t="str">
        <f>IF('Paste Here'!$B68&lt;&gt;"",'Paste Here'!$B68,"")</f>
        <v/>
      </c>
      <c r="H74" s="16" t="str">
        <f>IF('Paste Here'!$C68&lt;&gt;"",'Paste Here'!$C68,"")</f>
        <v/>
      </c>
      <c r="I74" s="25" t="str">
        <f>IF('Paste Here'!$D68&lt;&gt;"",'Paste Here'!$D68,"")</f>
        <v/>
      </c>
      <c r="J74" s="27" t="str">
        <f>IF('Paste Here'!$E68&lt;&gt;"",'Paste Here'!$E68,"")</f>
        <v/>
      </c>
      <c r="K74" s="16" t="str">
        <f>IF('Paste Here'!$F68&lt;&gt;"",'Paste Here'!$F68,"")</f>
        <v/>
      </c>
      <c r="L74" s="16" t="str">
        <f>IF('Paste Here'!$G68&lt;&gt;"",'Paste Here'!$G68,"")</f>
        <v/>
      </c>
      <c r="M74" s="18" t="str">
        <f t="shared" si="3"/>
        <v/>
      </c>
    </row>
    <row r="75" spans="1:13" s="17" customFormat="1" x14ac:dyDescent="0.25">
      <c r="A75" s="16" t="str">
        <f>IF(URN&lt;&gt;"",_xll.mdValue("Resident",_xlnm.Database,$F75),"")</f>
        <v/>
      </c>
      <c r="B75" s="16" t="str">
        <f>IF(PersonId&lt;&gt;"",_xll.mdValue("Resident First Name",_xlnm.Database,$A$8),"")</f>
        <v/>
      </c>
      <c r="C75" s="16" t="str">
        <f>IF(PersonId&lt;&gt;"",_xll.mdValue("Resident Last Name",_xlnm.Database,$A$8),"")</f>
        <v/>
      </c>
      <c r="D75" s="16" t="str">
        <f>IF(PersonId&lt;&gt;"",_xll.mdValue("Person Accomodation Code",_xlnm.Database,$A75),"")</f>
        <v/>
      </c>
      <c r="E75" s="28" t="str">
        <f t="shared" si="2"/>
        <v/>
      </c>
      <c r="F75" s="16" t="str">
        <f>IF('Paste Here'!$A69&lt;&gt;"",'Paste Here'!$A69,"")</f>
        <v/>
      </c>
      <c r="G75" s="16" t="str">
        <f>IF('Paste Here'!$B69&lt;&gt;"",'Paste Here'!$B69,"")</f>
        <v/>
      </c>
      <c r="H75" s="16" t="str">
        <f>IF('Paste Here'!$C69&lt;&gt;"",'Paste Here'!$C69,"")</f>
        <v/>
      </c>
      <c r="I75" s="25" t="str">
        <f>IF('Paste Here'!$D69&lt;&gt;"",'Paste Here'!$D69,"")</f>
        <v/>
      </c>
      <c r="J75" s="27" t="str">
        <f>IF('Paste Here'!$E69&lt;&gt;"",'Paste Here'!$E69,"")</f>
        <v/>
      </c>
      <c r="K75" s="16" t="str">
        <f>IF('Paste Here'!$F69&lt;&gt;"",'Paste Here'!$F69,"")</f>
        <v/>
      </c>
      <c r="L75" s="16" t="str">
        <f>IF('Paste Here'!$G69&lt;&gt;"",'Paste Here'!$G69,"")</f>
        <v/>
      </c>
      <c r="M75" s="18" t="str">
        <f t="shared" si="3"/>
        <v/>
      </c>
    </row>
    <row r="76" spans="1:13" s="17" customFormat="1" x14ac:dyDescent="0.25">
      <c r="A76" s="16" t="str">
        <f>IF(URN&lt;&gt;"",_xll.mdValue("Resident",_xlnm.Database,$F76),"")</f>
        <v/>
      </c>
      <c r="B76" s="16" t="str">
        <f>IF(PersonId&lt;&gt;"",_xll.mdValue("Resident First Name",_xlnm.Database,$A$8),"")</f>
        <v/>
      </c>
      <c r="C76" s="16" t="str">
        <f>IF(PersonId&lt;&gt;"",_xll.mdValue("Resident Last Name",_xlnm.Database,$A$8),"")</f>
        <v/>
      </c>
      <c r="D76" s="16" t="str">
        <f>IF(PersonId&lt;&gt;"",_xll.mdValue("Person Accomodation Code",_xlnm.Database,$A76),"")</f>
        <v/>
      </c>
      <c r="E76" s="28" t="str">
        <f t="shared" si="2"/>
        <v/>
      </c>
      <c r="F76" s="16" t="str">
        <f>IF('Paste Here'!$A70&lt;&gt;"",'Paste Here'!$A70,"")</f>
        <v/>
      </c>
      <c r="G76" s="16" t="str">
        <f>IF('Paste Here'!$B70&lt;&gt;"",'Paste Here'!$B70,"")</f>
        <v/>
      </c>
      <c r="H76" s="16" t="str">
        <f>IF('Paste Here'!$C70&lt;&gt;"",'Paste Here'!$C70,"")</f>
        <v/>
      </c>
      <c r="I76" s="25" t="str">
        <f>IF('Paste Here'!$D70&lt;&gt;"",'Paste Here'!$D70,"")</f>
        <v/>
      </c>
      <c r="J76" s="27" t="str">
        <f>IF('Paste Here'!$E70&lt;&gt;"",'Paste Here'!$E70,"")</f>
        <v/>
      </c>
      <c r="K76" s="16" t="str">
        <f>IF('Paste Here'!$F70&lt;&gt;"",'Paste Here'!$F70,"")</f>
        <v/>
      </c>
      <c r="L76" s="16" t="str">
        <f>IF('Paste Here'!$G70&lt;&gt;"",'Paste Here'!$G70,"")</f>
        <v/>
      </c>
      <c r="M76" s="18" t="str">
        <f t="shared" si="3"/>
        <v/>
      </c>
    </row>
    <row r="77" spans="1:13" s="17" customFormat="1" x14ac:dyDescent="0.25">
      <c r="A77" s="16" t="str">
        <f>IF(URN&lt;&gt;"",_xll.mdValue("Resident",_xlnm.Database,$F77),"")</f>
        <v/>
      </c>
      <c r="B77" s="16" t="str">
        <f>IF(PersonId&lt;&gt;"",_xll.mdValue("Resident First Name",_xlnm.Database,$A$8),"")</f>
        <v/>
      </c>
      <c r="C77" s="16" t="str">
        <f>IF(PersonId&lt;&gt;"",_xll.mdValue("Resident Last Name",_xlnm.Database,$A$8),"")</f>
        <v/>
      </c>
      <c r="D77" s="16" t="str">
        <f>IF(PersonId&lt;&gt;"",_xll.mdValue("Person Accomodation Code",_xlnm.Database,$A77),"")</f>
        <v/>
      </c>
      <c r="E77" s="28" t="str">
        <f t="shared" si="2"/>
        <v/>
      </c>
      <c r="F77" s="16" t="str">
        <f>IF('Paste Here'!$A71&lt;&gt;"",'Paste Here'!$A71,"")</f>
        <v/>
      </c>
      <c r="G77" s="16" t="str">
        <f>IF('Paste Here'!$B71&lt;&gt;"",'Paste Here'!$B71,"")</f>
        <v/>
      </c>
      <c r="H77" s="16" t="str">
        <f>IF('Paste Here'!$C71&lt;&gt;"",'Paste Here'!$C71,"")</f>
        <v/>
      </c>
      <c r="I77" s="25" t="str">
        <f>IF('Paste Here'!$D71&lt;&gt;"",'Paste Here'!$D71,"")</f>
        <v/>
      </c>
      <c r="J77" s="27" t="str">
        <f>IF('Paste Here'!$E71&lt;&gt;"",'Paste Here'!$E71,"")</f>
        <v/>
      </c>
      <c r="K77" s="16" t="str">
        <f>IF('Paste Here'!$F71&lt;&gt;"",'Paste Here'!$F71,"")</f>
        <v/>
      </c>
      <c r="L77" s="16" t="str">
        <f>IF('Paste Here'!$G71&lt;&gt;"",'Paste Here'!$G71,"")</f>
        <v/>
      </c>
      <c r="M77" s="18" t="str">
        <f t="shared" si="3"/>
        <v/>
      </c>
    </row>
    <row r="78" spans="1:13" s="17" customFormat="1" x14ac:dyDescent="0.25">
      <c r="A78" s="16" t="str">
        <f>IF(URN&lt;&gt;"",_xll.mdValue("Resident",_xlnm.Database,$F78),"")</f>
        <v/>
      </c>
      <c r="B78" s="16" t="str">
        <f>IF(PersonId&lt;&gt;"",_xll.mdValue("Resident First Name",_xlnm.Database,$A$8),"")</f>
        <v/>
      </c>
      <c r="C78" s="16" t="str">
        <f>IF(PersonId&lt;&gt;"",_xll.mdValue("Resident Last Name",_xlnm.Database,$A$8),"")</f>
        <v/>
      </c>
      <c r="D78" s="16" t="str">
        <f>IF(PersonId&lt;&gt;"",_xll.mdValue("Person Accomodation Code",_xlnm.Database,$A78),"")</f>
        <v/>
      </c>
      <c r="E78" s="28" t="str">
        <f t="shared" si="2"/>
        <v/>
      </c>
      <c r="F78" s="16" t="str">
        <f>IF('Paste Here'!$A72&lt;&gt;"",'Paste Here'!$A72,"")</f>
        <v/>
      </c>
      <c r="G78" s="16" t="str">
        <f>IF('Paste Here'!$B72&lt;&gt;"",'Paste Here'!$B72,"")</f>
        <v/>
      </c>
      <c r="H78" s="16" t="str">
        <f>IF('Paste Here'!$C72&lt;&gt;"",'Paste Here'!$C72,"")</f>
        <v/>
      </c>
      <c r="I78" s="25" t="str">
        <f>IF('Paste Here'!$D72&lt;&gt;"",'Paste Here'!$D72,"")</f>
        <v/>
      </c>
      <c r="J78" s="27" t="str">
        <f>IF('Paste Here'!$E72&lt;&gt;"",'Paste Here'!$E72,"")</f>
        <v/>
      </c>
      <c r="K78" s="16" t="str">
        <f>IF('Paste Here'!$F72&lt;&gt;"",'Paste Here'!$F72,"")</f>
        <v/>
      </c>
      <c r="L78" s="16" t="str">
        <f>IF('Paste Here'!$G72&lt;&gt;"",'Paste Here'!$G72,"")</f>
        <v/>
      </c>
      <c r="M78" s="18" t="str">
        <f t="shared" si="3"/>
        <v/>
      </c>
    </row>
    <row r="79" spans="1:13" s="17" customFormat="1" x14ac:dyDescent="0.25">
      <c r="A79" s="16" t="str">
        <f>IF(URN&lt;&gt;"",_xll.mdValue("Resident",_xlnm.Database,$F79),"")</f>
        <v/>
      </c>
      <c r="B79" s="16" t="str">
        <f>IF(PersonId&lt;&gt;"",_xll.mdValue("Resident First Name",_xlnm.Database,$A$8),"")</f>
        <v/>
      </c>
      <c r="C79" s="16" t="str">
        <f>IF(PersonId&lt;&gt;"",_xll.mdValue("Resident Last Name",_xlnm.Database,$A$8),"")</f>
        <v/>
      </c>
      <c r="D79" s="16" t="str">
        <f>IF(PersonId&lt;&gt;"",_xll.mdValue("Person Accomodation Code",_xlnm.Database,$A79),"")</f>
        <v/>
      </c>
      <c r="E79" s="28" t="str">
        <f t="shared" si="2"/>
        <v/>
      </c>
      <c r="F79" s="16" t="str">
        <f>IF('Paste Here'!$A73&lt;&gt;"",'Paste Here'!$A73,"")</f>
        <v/>
      </c>
      <c r="G79" s="16" t="str">
        <f>IF('Paste Here'!$B73&lt;&gt;"",'Paste Here'!$B73,"")</f>
        <v/>
      </c>
      <c r="H79" s="16" t="str">
        <f>IF('Paste Here'!$C73&lt;&gt;"",'Paste Here'!$C73,"")</f>
        <v/>
      </c>
      <c r="I79" s="25" t="str">
        <f>IF('Paste Here'!$D73&lt;&gt;"",'Paste Here'!$D73,"")</f>
        <v/>
      </c>
      <c r="J79" s="27" t="str">
        <f>IF('Paste Here'!$E73&lt;&gt;"",'Paste Here'!$E73,"")</f>
        <v/>
      </c>
      <c r="K79" s="16" t="str">
        <f>IF('Paste Here'!$F73&lt;&gt;"",'Paste Here'!$F73,"")</f>
        <v/>
      </c>
      <c r="L79" s="16" t="str">
        <f>IF('Paste Here'!$G73&lt;&gt;"",'Paste Here'!$G73,"")</f>
        <v/>
      </c>
      <c r="M79" s="18" t="str">
        <f t="shared" si="3"/>
        <v/>
      </c>
    </row>
    <row r="80" spans="1:13" s="17" customFormat="1" x14ac:dyDescent="0.25">
      <c r="A80" s="16" t="str">
        <f>IF(URN&lt;&gt;"",_xll.mdValue("Resident",_xlnm.Database,$F80),"")</f>
        <v/>
      </c>
      <c r="B80" s="16" t="str">
        <f>IF(PersonId&lt;&gt;"",_xll.mdValue("Resident First Name",_xlnm.Database,$A$8),"")</f>
        <v/>
      </c>
      <c r="C80" s="16" t="str">
        <f>IF(PersonId&lt;&gt;"",_xll.mdValue("Resident Last Name",_xlnm.Database,$A$8),"")</f>
        <v/>
      </c>
      <c r="D80" s="16" t="str">
        <f>IF(PersonId&lt;&gt;"",_xll.mdValue("Person Accomodation Code",_xlnm.Database,$A80),"")</f>
        <v/>
      </c>
      <c r="E80" s="28" t="str">
        <f t="shared" si="2"/>
        <v/>
      </c>
      <c r="F80" s="16" t="str">
        <f>IF('Paste Here'!$A74&lt;&gt;"",'Paste Here'!$A74,"")</f>
        <v/>
      </c>
      <c r="G80" s="16" t="str">
        <f>IF('Paste Here'!$B74&lt;&gt;"",'Paste Here'!$B74,"")</f>
        <v/>
      </c>
      <c r="H80" s="16" t="str">
        <f>IF('Paste Here'!$C74&lt;&gt;"",'Paste Here'!$C74,"")</f>
        <v/>
      </c>
      <c r="I80" s="25" t="str">
        <f>IF('Paste Here'!$D74&lt;&gt;"",'Paste Here'!$D74,"")</f>
        <v/>
      </c>
      <c r="J80" s="27" t="str">
        <f>IF('Paste Here'!$E74&lt;&gt;"",'Paste Here'!$E74,"")</f>
        <v/>
      </c>
      <c r="K80" s="16" t="str">
        <f>IF('Paste Here'!$F74&lt;&gt;"",'Paste Here'!$F74,"")</f>
        <v/>
      </c>
      <c r="L80" s="16" t="str">
        <f>IF('Paste Here'!$G74&lt;&gt;"",'Paste Here'!$G74,"")</f>
        <v/>
      </c>
      <c r="M80" s="18" t="str">
        <f t="shared" si="3"/>
        <v/>
      </c>
    </row>
    <row r="81" spans="1:13" s="17" customFormat="1" x14ac:dyDescent="0.25">
      <c r="A81" s="16" t="str">
        <f>IF(URN&lt;&gt;"",_xll.mdValue("Resident",_xlnm.Database,$F81),"")</f>
        <v/>
      </c>
      <c r="B81" s="16" t="str">
        <f>IF(PersonId&lt;&gt;"",_xll.mdValue("Resident First Name",_xlnm.Database,$A$8),"")</f>
        <v/>
      </c>
      <c r="C81" s="16" t="str">
        <f>IF(PersonId&lt;&gt;"",_xll.mdValue("Resident Last Name",_xlnm.Database,$A$8),"")</f>
        <v/>
      </c>
      <c r="D81" s="16" t="str">
        <f>IF(PersonId&lt;&gt;"",_xll.mdValue("Person Accomodation Code",_xlnm.Database,$A81),"")</f>
        <v/>
      </c>
      <c r="E81" s="28" t="str">
        <f t="shared" si="2"/>
        <v/>
      </c>
      <c r="F81" s="16" t="str">
        <f>IF('Paste Here'!$A75&lt;&gt;"",'Paste Here'!$A75,"")</f>
        <v/>
      </c>
      <c r="G81" s="16" t="str">
        <f>IF('Paste Here'!$B75&lt;&gt;"",'Paste Here'!$B75,"")</f>
        <v/>
      </c>
      <c r="H81" s="16" t="str">
        <f>IF('Paste Here'!$C75&lt;&gt;"",'Paste Here'!$C75,"")</f>
        <v/>
      </c>
      <c r="I81" s="25" t="str">
        <f>IF('Paste Here'!$D75&lt;&gt;"",'Paste Here'!$D75,"")</f>
        <v/>
      </c>
      <c r="J81" s="27" t="str">
        <f>IF('Paste Here'!$E75&lt;&gt;"",'Paste Here'!$E75,"")</f>
        <v/>
      </c>
      <c r="K81" s="16" t="str">
        <f>IF('Paste Here'!$F75&lt;&gt;"",'Paste Here'!$F75,"")</f>
        <v/>
      </c>
      <c r="L81" s="16" t="str">
        <f>IF('Paste Here'!$G75&lt;&gt;"",'Paste Here'!$G75,"")</f>
        <v/>
      </c>
      <c r="M81" s="18" t="str">
        <f t="shared" si="3"/>
        <v/>
      </c>
    </row>
    <row r="82" spans="1:13" s="17" customFormat="1" x14ac:dyDescent="0.25">
      <c r="A82" s="16" t="str">
        <f>IF(URN&lt;&gt;"",_xll.mdValue("Resident",_xlnm.Database,$F82),"")</f>
        <v/>
      </c>
      <c r="B82" s="16" t="str">
        <f>IF(PersonId&lt;&gt;"",_xll.mdValue("Resident First Name",_xlnm.Database,$A$8),"")</f>
        <v/>
      </c>
      <c r="C82" s="16" t="str">
        <f>IF(PersonId&lt;&gt;"",_xll.mdValue("Resident Last Name",_xlnm.Database,$A$8),"")</f>
        <v/>
      </c>
      <c r="D82" s="16" t="str">
        <f>IF(PersonId&lt;&gt;"",_xll.mdValue("Person Accomodation Code",_xlnm.Database,$A82),"")</f>
        <v/>
      </c>
      <c r="E82" s="28" t="str">
        <f t="shared" si="2"/>
        <v/>
      </c>
      <c r="F82" s="16" t="str">
        <f>IF('Paste Here'!$A76&lt;&gt;"",'Paste Here'!$A76,"")</f>
        <v/>
      </c>
      <c r="G82" s="16" t="str">
        <f>IF('Paste Here'!$B76&lt;&gt;"",'Paste Here'!$B76,"")</f>
        <v/>
      </c>
      <c r="H82" s="16" t="str">
        <f>IF('Paste Here'!$C76&lt;&gt;"",'Paste Here'!$C76,"")</f>
        <v/>
      </c>
      <c r="I82" s="25" t="str">
        <f>IF('Paste Here'!$D76&lt;&gt;"",'Paste Here'!$D76,"")</f>
        <v/>
      </c>
      <c r="J82" s="27" t="str">
        <f>IF('Paste Here'!$E76&lt;&gt;"",'Paste Here'!$E76,"")</f>
        <v/>
      </c>
      <c r="K82" s="16" t="str">
        <f>IF('Paste Here'!$F76&lt;&gt;"",'Paste Here'!$F76,"")</f>
        <v/>
      </c>
      <c r="L82" s="16" t="str">
        <f>IF('Paste Here'!$G76&lt;&gt;"",'Paste Here'!$G76,"")</f>
        <v/>
      </c>
      <c r="M82" s="18" t="str">
        <f t="shared" si="3"/>
        <v/>
      </c>
    </row>
    <row r="83" spans="1:13" s="17" customFormat="1" x14ac:dyDescent="0.25">
      <c r="A83" s="16" t="str">
        <f>IF(URN&lt;&gt;"",_xll.mdValue("Resident",_xlnm.Database,$F83),"")</f>
        <v/>
      </c>
      <c r="B83" s="16" t="str">
        <f>IF(PersonId&lt;&gt;"",_xll.mdValue("Resident First Name",_xlnm.Database,$A$8),"")</f>
        <v/>
      </c>
      <c r="C83" s="16" t="str">
        <f>IF(PersonId&lt;&gt;"",_xll.mdValue("Resident Last Name",_xlnm.Database,$A$8),"")</f>
        <v/>
      </c>
      <c r="D83" s="16" t="str">
        <f>IF(PersonId&lt;&gt;"",_xll.mdValue("Person Accomodation Code",_xlnm.Database,$A83),"")</f>
        <v/>
      </c>
      <c r="E83" s="28" t="str">
        <f t="shared" si="2"/>
        <v/>
      </c>
      <c r="F83" s="16" t="str">
        <f>IF('Paste Here'!$A77&lt;&gt;"",'Paste Here'!$A77,"")</f>
        <v/>
      </c>
      <c r="G83" s="16" t="str">
        <f>IF('Paste Here'!$B77&lt;&gt;"",'Paste Here'!$B77,"")</f>
        <v/>
      </c>
      <c r="H83" s="16" t="str">
        <f>IF('Paste Here'!$C77&lt;&gt;"",'Paste Here'!$C77,"")</f>
        <v/>
      </c>
      <c r="I83" s="25" t="str">
        <f>IF('Paste Here'!$D77&lt;&gt;"",'Paste Here'!$D77,"")</f>
        <v/>
      </c>
      <c r="J83" s="27" t="str">
        <f>IF('Paste Here'!$E77&lt;&gt;"",'Paste Here'!$E77,"")</f>
        <v/>
      </c>
      <c r="K83" s="16" t="str">
        <f>IF('Paste Here'!$F77&lt;&gt;"",'Paste Here'!$F77,"")</f>
        <v/>
      </c>
      <c r="L83" s="16" t="str">
        <f>IF('Paste Here'!$G77&lt;&gt;"",'Paste Here'!$G77,"")</f>
        <v/>
      </c>
      <c r="M83" s="18" t="str">
        <f t="shared" si="3"/>
        <v/>
      </c>
    </row>
    <row r="84" spans="1:13" s="17" customFormat="1" x14ac:dyDescent="0.25">
      <c r="A84" s="16" t="str">
        <f>IF(URN&lt;&gt;"",_xll.mdValue("Resident",_xlnm.Database,$F84),"")</f>
        <v/>
      </c>
      <c r="B84" s="16" t="str">
        <f>IF(PersonId&lt;&gt;"",_xll.mdValue("Resident First Name",_xlnm.Database,$A$8),"")</f>
        <v/>
      </c>
      <c r="C84" s="16" t="str">
        <f>IF(PersonId&lt;&gt;"",_xll.mdValue("Resident Last Name",_xlnm.Database,$A$8),"")</f>
        <v/>
      </c>
      <c r="D84" s="16" t="str">
        <f>IF(PersonId&lt;&gt;"",_xll.mdValue("Person Accomodation Code",_xlnm.Database,$A84),"")</f>
        <v/>
      </c>
      <c r="E84" s="28" t="str">
        <f t="shared" si="2"/>
        <v/>
      </c>
      <c r="F84" s="16" t="str">
        <f>IF('Paste Here'!$A78&lt;&gt;"",'Paste Here'!$A78,"")</f>
        <v/>
      </c>
      <c r="G84" s="16" t="str">
        <f>IF('Paste Here'!$B78&lt;&gt;"",'Paste Here'!$B78,"")</f>
        <v/>
      </c>
      <c r="H84" s="16" t="str">
        <f>IF('Paste Here'!$C78&lt;&gt;"",'Paste Here'!$C78,"")</f>
        <v/>
      </c>
      <c r="I84" s="25" t="str">
        <f>IF('Paste Here'!$D78&lt;&gt;"",'Paste Here'!$D78,"")</f>
        <v/>
      </c>
      <c r="J84" s="27" t="str">
        <f>IF('Paste Here'!$E78&lt;&gt;"",'Paste Here'!$E78,"")</f>
        <v/>
      </c>
      <c r="K84" s="16" t="str">
        <f>IF('Paste Here'!$F78&lt;&gt;"",'Paste Here'!$F78,"")</f>
        <v/>
      </c>
      <c r="L84" s="16" t="str">
        <f>IF('Paste Here'!$G78&lt;&gt;"",'Paste Here'!$G78,"")</f>
        <v/>
      </c>
      <c r="M84" s="18" t="str">
        <f t="shared" si="3"/>
        <v/>
      </c>
    </row>
    <row r="85" spans="1:13" s="17" customFormat="1" x14ac:dyDescent="0.25">
      <c r="A85" s="16" t="str">
        <f>IF(URN&lt;&gt;"",_xll.mdValue("Resident",_xlnm.Database,$F85),"")</f>
        <v/>
      </c>
      <c r="B85" s="16" t="str">
        <f>IF(PersonId&lt;&gt;"",_xll.mdValue("Resident First Name",_xlnm.Database,$A$8),"")</f>
        <v/>
      </c>
      <c r="C85" s="16" t="str">
        <f>IF(PersonId&lt;&gt;"",_xll.mdValue("Resident Last Name",_xlnm.Database,$A$8),"")</f>
        <v/>
      </c>
      <c r="D85" s="16" t="str">
        <f>IF(PersonId&lt;&gt;"",_xll.mdValue("Person Accomodation Code",_xlnm.Database,$A85),"")</f>
        <v/>
      </c>
      <c r="E85" s="28" t="str">
        <f t="shared" si="2"/>
        <v/>
      </c>
      <c r="F85" s="16" t="str">
        <f>IF('Paste Here'!$A79&lt;&gt;"",'Paste Here'!$A79,"")</f>
        <v/>
      </c>
      <c r="G85" s="16" t="str">
        <f>IF('Paste Here'!$B79&lt;&gt;"",'Paste Here'!$B79,"")</f>
        <v/>
      </c>
      <c r="H85" s="16" t="str">
        <f>IF('Paste Here'!$C79&lt;&gt;"",'Paste Here'!$C79,"")</f>
        <v/>
      </c>
      <c r="I85" s="25" t="str">
        <f>IF('Paste Here'!$D79&lt;&gt;"",'Paste Here'!$D79,"")</f>
        <v/>
      </c>
      <c r="J85" s="27" t="str">
        <f>IF('Paste Here'!$E79&lt;&gt;"",'Paste Here'!$E79,"")</f>
        <v/>
      </c>
      <c r="K85" s="16" t="str">
        <f>IF('Paste Here'!$F79&lt;&gt;"",'Paste Here'!$F79,"")</f>
        <v/>
      </c>
      <c r="L85" s="16" t="str">
        <f>IF('Paste Here'!$G79&lt;&gt;"",'Paste Here'!$G79,"")</f>
        <v/>
      </c>
      <c r="M85" s="18" t="str">
        <f t="shared" si="3"/>
        <v/>
      </c>
    </row>
    <row r="86" spans="1:13" s="17" customFormat="1" x14ac:dyDescent="0.25">
      <c r="A86" s="16" t="str">
        <f>IF(URN&lt;&gt;"",_xll.mdValue("Resident",_xlnm.Database,$F86),"")</f>
        <v/>
      </c>
      <c r="B86" s="16" t="str">
        <f>IF(PersonId&lt;&gt;"",_xll.mdValue("Resident First Name",_xlnm.Database,$A$8),"")</f>
        <v/>
      </c>
      <c r="C86" s="16" t="str">
        <f>IF(PersonId&lt;&gt;"",_xll.mdValue("Resident Last Name",_xlnm.Database,$A$8),"")</f>
        <v/>
      </c>
      <c r="D86" s="16" t="str">
        <f>IF(PersonId&lt;&gt;"",_xll.mdValue("Person Accomodation Code",_xlnm.Database,$A86),"")</f>
        <v/>
      </c>
      <c r="E86" s="28" t="str">
        <f t="shared" si="2"/>
        <v/>
      </c>
      <c r="F86" s="16" t="str">
        <f>IF('Paste Here'!$A80&lt;&gt;"",'Paste Here'!$A80,"")</f>
        <v/>
      </c>
      <c r="G86" s="16" t="str">
        <f>IF('Paste Here'!$B80&lt;&gt;"",'Paste Here'!$B80,"")</f>
        <v/>
      </c>
      <c r="H86" s="16" t="str">
        <f>IF('Paste Here'!$C80&lt;&gt;"",'Paste Here'!$C80,"")</f>
        <v/>
      </c>
      <c r="I86" s="25" t="str">
        <f>IF('Paste Here'!$D80&lt;&gt;"",'Paste Here'!$D80,"")</f>
        <v/>
      </c>
      <c r="J86" s="27" t="str">
        <f>IF('Paste Here'!$E80&lt;&gt;"",'Paste Here'!$E80,"")</f>
        <v/>
      </c>
      <c r="K86" s="16" t="str">
        <f>IF('Paste Here'!$F80&lt;&gt;"",'Paste Here'!$F80,"")</f>
        <v/>
      </c>
      <c r="L86" s="16" t="str">
        <f>IF('Paste Here'!$G80&lt;&gt;"",'Paste Here'!$G80,"")</f>
        <v/>
      </c>
      <c r="M86" s="18" t="str">
        <f t="shared" si="3"/>
        <v/>
      </c>
    </row>
    <row r="87" spans="1:13" s="17" customFormat="1" x14ac:dyDescent="0.25">
      <c r="A87" s="16" t="str">
        <f>IF(URN&lt;&gt;"",_xll.mdValue("Resident",_xlnm.Database,$F87),"")</f>
        <v/>
      </c>
      <c r="B87" s="16" t="str">
        <f>IF(PersonId&lt;&gt;"",_xll.mdValue("Resident First Name",_xlnm.Database,$A$8),"")</f>
        <v/>
      </c>
      <c r="C87" s="16" t="str">
        <f>IF(PersonId&lt;&gt;"",_xll.mdValue("Resident Last Name",_xlnm.Database,$A$8),"")</f>
        <v/>
      </c>
      <c r="D87" s="16" t="str">
        <f>IF(PersonId&lt;&gt;"",_xll.mdValue("Person Accomodation Code",_xlnm.Database,$A87),"")</f>
        <v/>
      </c>
      <c r="E87" s="28" t="str">
        <f t="shared" si="2"/>
        <v/>
      </c>
      <c r="F87" s="16" t="str">
        <f>IF('Paste Here'!$A81&lt;&gt;"",'Paste Here'!$A81,"")</f>
        <v/>
      </c>
      <c r="G87" s="16" t="str">
        <f>IF('Paste Here'!$B81&lt;&gt;"",'Paste Here'!$B81,"")</f>
        <v/>
      </c>
      <c r="H87" s="16" t="str">
        <f>IF('Paste Here'!$C81&lt;&gt;"",'Paste Here'!$C81,"")</f>
        <v/>
      </c>
      <c r="I87" s="25" t="str">
        <f>IF('Paste Here'!$D81&lt;&gt;"",'Paste Here'!$D81,"")</f>
        <v/>
      </c>
      <c r="J87" s="27" t="str">
        <f>IF('Paste Here'!$E81&lt;&gt;"",'Paste Here'!$E81,"")</f>
        <v/>
      </c>
      <c r="K87" s="16" t="str">
        <f>IF('Paste Here'!$F81&lt;&gt;"",'Paste Here'!$F81,"")</f>
        <v/>
      </c>
      <c r="L87" s="16" t="str">
        <f>IF('Paste Here'!$G81&lt;&gt;"",'Paste Here'!$G81,"")</f>
        <v/>
      </c>
      <c r="M87" s="18" t="str">
        <f t="shared" si="3"/>
        <v/>
      </c>
    </row>
    <row r="88" spans="1:13" s="17" customFormat="1" x14ac:dyDescent="0.25">
      <c r="A88" s="16" t="str">
        <f>IF(URN&lt;&gt;"",_xll.mdValue("Resident",_xlnm.Database,$F88),"")</f>
        <v/>
      </c>
      <c r="B88" s="16" t="str">
        <f>IF(PersonId&lt;&gt;"",_xll.mdValue("Resident First Name",_xlnm.Database,$A$8),"")</f>
        <v/>
      </c>
      <c r="C88" s="16" t="str">
        <f>IF(PersonId&lt;&gt;"",_xll.mdValue("Resident Last Name",_xlnm.Database,$A$8),"")</f>
        <v/>
      </c>
      <c r="D88" s="16" t="str">
        <f>IF(PersonId&lt;&gt;"",_xll.mdValue("Person Accomodation Code",_xlnm.Database,$A88),"")</f>
        <v/>
      </c>
      <c r="E88" s="28" t="str">
        <f t="shared" si="2"/>
        <v/>
      </c>
      <c r="F88" s="16" t="str">
        <f>IF('Paste Here'!$A82&lt;&gt;"",'Paste Here'!$A82,"")</f>
        <v/>
      </c>
      <c r="G88" s="16" t="str">
        <f>IF('Paste Here'!$B82&lt;&gt;"",'Paste Here'!$B82,"")</f>
        <v/>
      </c>
      <c r="H88" s="16" t="str">
        <f>IF('Paste Here'!$C82&lt;&gt;"",'Paste Here'!$C82,"")</f>
        <v/>
      </c>
      <c r="I88" s="25" t="str">
        <f>IF('Paste Here'!$D82&lt;&gt;"",'Paste Here'!$D82,"")</f>
        <v/>
      </c>
      <c r="J88" s="27" t="str">
        <f>IF('Paste Here'!$E82&lt;&gt;"",'Paste Here'!$E82,"")</f>
        <v/>
      </c>
      <c r="K88" s="16" t="str">
        <f>IF('Paste Here'!$F82&lt;&gt;"",'Paste Here'!$F82,"")</f>
        <v/>
      </c>
      <c r="L88" s="16" t="str">
        <f>IF('Paste Here'!$G82&lt;&gt;"",'Paste Here'!$G82,"")</f>
        <v/>
      </c>
      <c r="M88" s="18" t="str">
        <f t="shared" si="3"/>
        <v/>
      </c>
    </row>
    <row r="89" spans="1:13" s="17" customFormat="1" x14ac:dyDescent="0.25">
      <c r="A89" s="16" t="str">
        <f>IF(URN&lt;&gt;"",_xll.mdValue("Resident",_xlnm.Database,$F89),"")</f>
        <v/>
      </c>
      <c r="B89" s="16" t="str">
        <f>IF(PersonId&lt;&gt;"",_xll.mdValue("Resident First Name",_xlnm.Database,$A$8),"")</f>
        <v/>
      </c>
      <c r="C89" s="16" t="str">
        <f>IF(PersonId&lt;&gt;"",_xll.mdValue("Resident Last Name",_xlnm.Database,$A$8),"")</f>
        <v/>
      </c>
      <c r="D89" s="16" t="str">
        <f>IF(PersonId&lt;&gt;"",_xll.mdValue("Person Accomodation Code",_xlnm.Database,$A89),"")</f>
        <v/>
      </c>
      <c r="E89" s="28" t="str">
        <f t="shared" si="2"/>
        <v/>
      </c>
      <c r="F89" s="16" t="str">
        <f>IF('Paste Here'!$A83&lt;&gt;"",'Paste Here'!$A83,"")</f>
        <v/>
      </c>
      <c r="G89" s="16" t="str">
        <f>IF('Paste Here'!$B83&lt;&gt;"",'Paste Here'!$B83,"")</f>
        <v/>
      </c>
      <c r="H89" s="16" t="str">
        <f>IF('Paste Here'!$C83&lt;&gt;"",'Paste Here'!$C83,"")</f>
        <v/>
      </c>
      <c r="I89" s="25" t="str">
        <f>IF('Paste Here'!$D83&lt;&gt;"",'Paste Here'!$D83,"")</f>
        <v/>
      </c>
      <c r="J89" s="27" t="str">
        <f>IF('Paste Here'!$E83&lt;&gt;"",'Paste Here'!$E83,"")</f>
        <v/>
      </c>
      <c r="K89" s="16" t="str">
        <f>IF('Paste Here'!$F83&lt;&gt;"",'Paste Here'!$F83,"")</f>
        <v/>
      </c>
      <c r="L89" s="16" t="str">
        <f>IF('Paste Here'!$G83&lt;&gt;"",'Paste Here'!$G83,"")</f>
        <v/>
      </c>
      <c r="M89" s="18" t="str">
        <f t="shared" si="3"/>
        <v/>
      </c>
    </row>
    <row r="90" spans="1:13" s="17" customFormat="1" x14ac:dyDescent="0.25">
      <c r="A90" s="16" t="str">
        <f>IF(URN&lt;&gt;"",_xll.mdValue("Resident",_xlnm.Database,$F90),"")</f>
        <v/>
      </c>
      <c r="B90" s="16" t="str">
        <f>IF(PersonId&lt;&gt;"",_xll.mdValue("Resident First Name",_xlnm.Database,$A$8),"")</f>
        <v/>
      </c>
      <c r="C90" s="16" t="str">
        <f>IF(PersonId&lt;&gt;"",_xll.mdValue("Resident Last Name",_xlnm.Database,$A$8),"")</f>
        <v/>
      </c>
      <c r="D90" s="16" t="str">
        <f>IF(PersonId&lt;&gt;"",_xll.mdValue("Person Accomodation Code",_xlnm.Database,$A90),"")</f>
        <v/>
      </c>
      <c r="E90" s="28" t="str">
        <f t="shared" si="2"/>
        <v/>
      </c>
      <c r="F90" s="16" t="str">
        <f>IF('Paste Here'!$A84&lt;&gt;"",'Paste Here'!$A84,"")</f>
        <v/>
      </c>
      <c r="G90" s="16" t="str">
        <f>IF('Paste Here'!$B84&lt;&gt;"",'Paste Here'!$B84,"")</f>
        <v/>
      </c>
      <c r="H90" s="16" t="str">
        <f>IF('Paste Here'!$C84&lt;&gt;"",'Paste Here'!$C84,"")</f>
        <v/>
      </c>
      <c r="I90" s="25" t="str">
        <f>IF('Paste Here'!$D84&lt;&gt;"",'Paste Here'!$D84,"")</f>
        <v/>
      </c>
      <c r="J90" s="27" t="str">
        <f>IF('Paste Here'!$E84&lt;&gt;"",'Paste Here'!$E84,"")</f>
        <v/>
      </c>
      <c r="K90" s="16" t="str">
        <f>IF('Paste Here'!$F84&lt;&gt;"",'Paste Here'!$F84,"")</f>
        <v/>
      </c>
      <c r="L90" s="16" t="str">
        <f>IF('Paste Here'!$G84&lt;&gt;"",'Paste Here'!$G84,"")</f>
        <v/>
      </c>
      <c r="M90" s="18" t="str">
        <f t="shared" si="3"/>
        <v/>
      </c>
    </row>
    <row r="91" spans="1:13" s="17" customFormat="1" x14ac:dyDescent="0.25">
      <c r="A91" s="16" t="str">
        <f>IF(URN&lt;&gt;"",_xll.mdValue("Resident",_xlnm.Database,$F91),"")</f>
        <v/>
      </c>
      <c r="B91" s="16" t="str">
        <f>IF(PersonId&lt;&gt;"",_xll.mdValue("Resident First Name",_xlnm.Database,$A$8),"")</f>
        <v/>
      </c>
      <c r="C91" s="16" t="str">
        <f>IF(PersonId&lt;&gt;"",_xll.mdValue("Resident Last Name",_xlnm.Database,$A$8),"")</f>
        <v/>
      </c>
      <c r="D91" s="16" t="str">
        <f>IF(PersonId&lt;&gt;"",_xll.mdValue("Person Accomodation Code",_xlnm.Database,$A91),"")</f>
        <v/>
      </c>
      <c r="E91" s="28" t="str">
        <f t="shared" si="2"/>
        <v/>
      </c>
      <c r="F91" s="16" t="str">
        <f>IF('Paste Here'!$A85&lt;&gt;"",'Paste Here'!$A85,"")</f>
        <v/>
      </c>
      <c r="G91" s="16" t="str">
        <f>IF('Paste Here'!$B85&lt;&gt;"",'Paste Here'!$B85,"")</f>
        <v/>
      </c>
      <c r="H91" s="16" t="str">
        <f>IF('Paste Here'!$C85&lt;&gt;"",'Paste Here'!$C85,"")</f>
        <v/>
      </c>
      <c r="I91" s="25" t="str">
        <f>IF('Paste Here'!$D85&lt;&gt;"",'Paste Here'!$D85,"")</f>
        <v/>
      </c>
      <c r="J91" s="27" t="str">
        <f>IF('Paste Here'!$E85&lt;&gt;"",'Paste Here'!$E85,"")</f>
        <v/>
      </c>
      <c r="K91" s="16" t="str">
        <f>IF('Paste Here'!$F85&lt;&gt;"",'Paste Here'!$F85,"")</f>
        <v/>
      </c>
      <c r="L91" s="16" t="str">
        <f>IF('Paste Here'!$G85&lt;&gt;"",'Paste Here'!$G85,"")</f>
        <v/>
      </c>
      <c r="M91" s="18" t="str">
        <f t="shared" si="3"/>
        <v/>
      </c>
    </row>
    <row r="92" spans="1:13" s="17" customFormat="1" x14ac:dyDescent="0.25">
      <c r="A92" s="16" t="str">
        <f>IF(URN&lt;&gt;"",_xll.mdValue("Resident",_xlnm.Database,$F92),"")</f>
        <v/>
      </c>
      <c r="B92" s="16" t="str">
        <f>IF(PersonId&lt;&gt;"",_xll.mdValue("Resident First Name",_xlnm.Database,$A$8),"")</f>
        <v/>
      </c>
      <c r="C92" s="16" t="str">
        <f>IF(PersonId&lt;&gt;"",_xll.mdValue("Resident Last Name",_xlnm.Database,$A$8),"")</f>
        <v/>
      </c>
      <c r="D92" s="16" t="str">
        <f>IF(PersonId&lt;&gt;"",_xll.mdValue("Person Accomodation Code",_xlnm.Database,$A92),"")</f>
        <v/>
      </c>
      <c r="E92" s="28" t="str">
        <f t="shared" si="2"/>
        <v/>
      </c>
      <c r="F92" s="16" t="str">
        <f>IF('Paste Here'!$A86&lt;&gt;"",'Paste Here'!$A86,"")</f>
        <v/>
      </c>
      <c r="G92" s="16" t="str">
        <f>IF('Paste Here'!$B86&lt;&gt;"",'Paste Here'!$B86,"")</f>
        <v/>
      </c>
      <c r="H92" s="16" t="str">
        <f>IF('Paste Here'!$C86&lt;&gt;"",'Paste Here'!$C86,"")</f>
        <v/>
      </c>
      <c r="I92" s="25" t="str">
        <f>IF('Paste Here'!$D86&lt;&gt;"",'Paste Here'!$D86,"")</f>
        <v/>
      </c>
      <c r="J92" s="27" t="str">
        <f>IF('Paste Here'!$E86&lt;&gt;"",'Paste Here'!$E86,"")</f>
        <v/>
      </c>
      <c r="K92" s="16" t="str">
        <f>IF('Paste Here'!$F86&lt;&gt;"",'Paste Here'!$F86,"")</f>
        <v/>
      </c>
      <c r="L92" s="16" t="str">
        <f>IF('Paste Here'!$G86&lt;&gt;"",'Paste Here'!$G86,"")</f>
        <v/>
      </c>
      <c r="M92" s="18" t="str">
        <f t="shared" si="3"/>
        <v/>
      </c>
    </row>
    <row r="93" spans="1:13" s="17" customFormat="1" x14ac:dyDescent="0.25">
      <c r="A93" s="16" t="str">
        <f>IF(URN&lt;&gt;"",_xll.mdValue("Resident",_xlnm.Database,$F93),"")</f>
        <v/>
      </c>
      <c r="B93" s="16" t="str">
        <f>IF(PersonId&lt;&gt;"",_xll.mdValue("Resident First Name",_xlnm.Database,$A$8),"")</f>
        <v/>
      </c>
      <c r="C93" s="16" t="str">
        <f>IF(PersonId&lt;&gt;"",_xll.mdValue("Resident Last Name",_xlnm.Database,$A$8),"")</f>
        <v/>
      </c>
      <c r="D93" s="16" t="str">
        <f>IF(PersonId&lt;&gt;"",_xll.mdValue("Person Accomodation Code",_xlnm.Database,$A93),"")</f>
        <v/>
      </c>
      <c r="E93" s="28" t="str">
        <f t="shared" si="2"/>
        <v/>
      </c>
      <c r="F93" s="16" t="str">
        <f>IF('Paste Here'!$A87&lt;&gt;"",'Paste Here'!$A87,"")</f>
        <v/>
      </c>
      <c r="G93" s="16" t="str">
        <f>IF('Paste Here'!$B87&lt;&gt;"",'Paste Here'!$B87,"")</f>
        <v/>
      </c>
      <c r="H93" s="16" t="str">
        <f>IF('Paste Here'!$C87&lt;&gt;"",'Paste Here'!$C87,"")</f>
        <v/>
      </c>
      <c r="I93" s="25" t="str">
        <f>IF('Paste Here'!$D87&lt;&gt;"",'Paste Here'!$D87,"")</f>
        <v/>
      </c>
      <c r="J93" s="27" t="str">
        <f>IF('Paste Here'!$E87&lt;&gt;"",'Paste Here'!$E87,"")</f>
        <v/>
      </c>
      <c r="K93" s="16" t="str">
        <f>IF('Paste Here'!$F87&lt;&gt;"",'Paste Here'!$F87,"")</f>
        <v/>
      </c>
      <c r="L93" s="16" t="str">
        <f>IF('Paste Here'!$G87&lt;&gt;"",'Paste Here'!$G87,"")</f>
        <v/>
      </c>
      <c r="M93" s="18" t="str">
        <f t="shared" si="3"/>
        <v/>
      </c>
    </row>
    <row r="94" spans="1:13" s="17" customFormat="1" x14ac:dyDescent="0.25">
      <c r="A94" s="16" t="str">
        <f>IF(URN&lt;&gt;"",_xll.mdValue("Resident",_xlnm.Database,$F94),"")</f>
        <v/>
      </c>
      <c r="B94" s="16" t="str">
        <f>IF(PersonId&lt;&gt;"",_xll.mdValue("Resident First Name",_xlnm.Database,$A$8),"")</f>
        <v/>
      </c>
      <c r="C94" s="16" t="str">
        <f>IF(PersonId&lt;&gt;"",_xll.mdValue("Resident Last Name",_xlnm.Database,$A$8),"")</f>
        <v/>
      </c>
      <c r="D94" s="16" t="str">
        <f>IF(PersonId&lt;&gt;"",_xll.mdValue("Person Accomodation Code",_xlnm.Database,$A94),"")</f>
        <v/>
      </c>
      <c r="E94" s="28" t="str">
        <f t="shared" si="2"/>
        <v/>
      </c>
      <c r="F94" s="16" t="str">
        <f>IF('Paste Here'!$A88&lt;&gt;"",'Paste Here'!$A88,"")</f>
        <v/>
      </c>
      <c r="G94" s="16" t="str">
        <f>IF('Paste Here'!$B88&lt;&gt;"",'Paste Here'!$B88,"")</f>
        <v/>
      </c>
      <c r="H94" s="16" t="str">
        <f>IF('Paste Here'!$C88&lt;&gt;"",'Paste Here'!$C88,"")</f>
        <v/>
      </c>
      <c r="I94" s="25" t="str">
        <f>IF('Paste Here'!$D88&lt;&gt;"",'Paste Here'!$D88,"")</f>
        <v/>
      </c>
      <c r="J94" s="27" t="str">
        <f>IF('Paste Here'!$E88&lt;&gt;"",'Paste Here'!$E88,"")</f>
        <v/>
      </c>
      <c r="K94" s="16" t="str">
        <f>IF('Paste Here'!$F88&lt;&gt;"",'Paste Here'!$F88,"")</f>
        <v/>
      </c>
      <c r="L94" s="16" t="str">
        <f>IF('Paste Here'!$G88&lt;&gt;"",'Paste Here'!$G88,"")</f>
        <v/>
      </c>
      <c r="M94" s="18" t="str">
        <f t="shared" si="3"/>
        <v/>
      </c>
    </row>
    <row r="95" spans="1:13" s="17" customFormat="1" x14ac:dyDescent="0.25">
      <c r="A95" s="16" t="str">
        <f>IF(URN&lt;&gt;"",_xll.mdValue("Resident",_xlnm.Database,$F95),"")</f>
        <v/>
      </c>
      <c r="B95" s="16" t="str">
        <f>IF(PersonId&lt;&gt;"",_xll.mdValue("Resident First Name",_xlnm.Database,$A$8),"")</f>
        <v/>
      </c>
      <c r="C95" s="16" t="str">
        <f>IF(PersonId&lt;&gt;"",_xll.mdValue("Resident Last Name",_xlnm.Database,$A$8),"")</f>
        <v/>
      </c>
      <c r="D95" s="16" t="str">
        <f>IF(PersonId&lt;&gt;"",_xll.mdValue("Person Accomodation Code",_xlnm.Database,$A95),"")</f>
        <v/>
      </c>
      <c r="E95" s="28" t="str">
        <f t="shared" si="2"/>
        <v/>
      </c>
      <c r="F95" s="16" t="str">
        <f>IF('Paste Here'!$A89&lt;&gt;"",'Paste Here'!$A89,"")</f>
        <v/>
      </c>
      <c r="G95" s="16" t="str">
        <f>IF('Paste Here'!$B89&lt;&gt;"",'Paste Here'!$B89,"")</f>
        <v/>
      </c>
      <c r="H95" s="16" t="str">
        <f>IF('Paste Here'!$C89&lt;&gt;"",'Paste Here'!$C89,"")</f>
        <v/>
      </c>
      <c r="I95" s="25" t="str">
        <f>IF('Paste Here'!$D89&lt;&gt;"",'Paste Here'!$D89,"")</f>
        <v/>
      </c>
      <c r="J95" s="27" t="str">
        <f>IF('Paste Here'!$E89&lt;&gt;"",'Paste Here'!$E89,"")</f>
        <v/>
      </c>
      <c r="K95" s="16" t="str">
        <f>IF('Paste Here'!$F89&lt;&gt;"",'Paste Here'!$F89,"")</f>
        <v/>
      </c>
      <c r="L95" s="16" t="str">
        <f>IF('Paste Here'!$G89&lt;&gt;"",'Paste Here'!$G89,"")</f>
        <v/>
      </c>
      <c r="M95" s="18" t="str">
        <f t="shared" si="3"/>
        <v/>
      </c>
    </row>
    <row r="96" spans="1:13" s="17" customFormat="1" x14ac:dyDescent="0.25">
      <c r="A96" s="16" t="str">
        <f>IF(URN&lt;&gt;"",_xll.mdValue("Resident",_xlnm.Database,$F96),"")</f>
        <v/>
      </c>
      <c r="B96" s="16" t="str">
        <f>IF(PersonId&lt;&gt;"",_xll.mdValue("Resident First Name",_xlnm.Database,$A$8),"")</f>
        <v/>
      </c>
      <c r="C96" s="16" t="str">
        <f>IF(PersonId&lt;&gt;"",_xll.mdValue("Resident Last Name",_xlnm.Database,$A$8),"")</f>
        <v/>
      </c>
      <c r="D96" s="16" t="str">
        <f>IF(PersonId&lt;&gt;"",_xll.mdValue("Person Accomodation Code",_xlnm.Database,$A96),"")</f>
        <v/>
      </c>
      <c r="E96" s="28" t="str">
        <f t="shared" si="2"/>
        <v/>
      </c>
      <c r="F96" s="16" t="str">
        <f>IF('Paste Here'!$A90&lt;&gt;"",'Paste Here'!$A90,"")</f>
        <v/>
      </c>
      <c r="G96" s="16" t="str">
        <f>IF('Paste Here'!$B90&lt;&gt;"",'Paste Here'!$B90,"")</f>
        <v/>
      </c>
      <c r="H96" s="16" t="str">
        <f>IF('Paste Here'!$C90&lt;&gt;"",'Paste Here'!$C90,"")</f>
        <v/>
      </c>
      <c r="I96" s="25" t="str">
        <f>IF('Paste Here'!$D90&lt;&gt;"",'Paste Here'!$D90,"")</f>
        <v/>
      </c>
      <c r="J96" s="27" t="str">
        <f>IF('Paste Here'!$E90&lt;&gt;"",'Paste Here'!$E90,"")</f>
        <v/>
      </c>
      <c r="K96" s="16" t="str">
        <f>IF('Paste Here'!$F90&lt;&gt;"",'Paste Here'!$F90,"")</f>
        <v/>
      </c>
      <c r="L96" s="16" t="str">
        <f>IF('Paste Here'!$G90&lt;&gt;"",'Paste Here'!$G90,"")</f>
        <v/>
      </c>
      <c r="M96" s="18" t="str">
        <f t="shared" si="3"/>
        <v/>
      </c>
    </row>
    <row r="97" spans="1:13" s="17" customFormat="1" x14ac:dyDescent="0.25">
      <c r="A97" s="16" t="str">
        <f>IF(URN&lt;&gt;"",_xll.mdValue("Resident",_xlnm.Database,$F97),"")</f>
        <v/>
      </c>
      <c r="B97" s="16" t="str">
        <f>IF(PersonId&lt;&gt;"",_xll.mdValue("Resident First Name",_xlnm.Database,$A$8),"")</f>
        <v/>
      </c>
      <c r="C97" s="16" t="str">
        <f>IF(PersonId&lt;&gt;"",_xll.mdValue("Resident Last Name",_xlnm.Database,$A$8),"")</f>
        <v/>
      </c>
      <c r="D97" s="16" t="str">
        <f>IF(PersonId&lt;&gt;"",_xll.mdValue("Person Accomodation Code",_xlnm.Database,$A97),"")</f>
        <v/>
      </c>
      <c r="E97" s="28" t="str">
        <f t="shared" si="2"/>
        <v/>
      </c>
      <c r="F97" s="16" t="str">
        <f>IF('Paste Here'!$A91&lt;&gt;"",'Paste Here'!$A91,"")</f>
        <v/>
      </c>
      <c r="G97" s="16" t="str">
        <f>IF('Paste Here'!$B91&lt;&gt;"",'Paste Here'!$B91,"")</f>
        <v/>
      </c>
      <c r="H97" s="16" t="str">
        <f>IF('Paste Here'!$C91&lt;&gt;"",'Paste Here'!$C91,"")</f>
        <v/>
      </c>
      <c r="I97" s="25" t="str">
        <f>IF('Paste Here'!$D91&lt;&gt;"",'Paste Here'!$D91,"")</f>
        <v/>
      </c>
      <c r="J97" s="27" t="str">
        <f>IF('Paste Here'!$E91&lt;&gt;"",'Paste Here'!$E91,"")</f>
        <v/>
      </c>
      <c r="K97" s="16" t="str">
        <f>IF('Paste Here'!$F91&lt;&gt;"",'Paste Here'!$F91,"")</f>
        <v/>
      </c>
      <c r="L97" s="16" t="str">
        <f>IF('Paste Here'!$G91&lt;&gt;"",'Paste Here'!$G91,"")</f>
        <v/>
      </c>
      <c r="M97" s="18" t="str">
        <f t="shared" si="3"/>
        <v/>
      </c>
    </row>
    <row r="98" spans="1:13" s="17" customFormat="1" x14ac:dyDescent="0.25">
      <c r="A98" s="16" t="str">
        <f>IF(URN&lt;&gt;"",_xll.mdValue("Resident",_xlnm.Database,$F98),"")</f>
        <v/>
      </c>
      <c r="B98" s="16" t="str">
        <f>IF(PersonId&lt;&gt;"",_xll.mdValue("Resident First Name",_xlnm.Database,$A$8),"")</f>
        <v/>
      </c>
      <c r="C98" s="16" t="str">
        <f>IF(PersonId&lt;&gt;"",_xll.mdValue("Resident Last Name",_xlnm.Database,$A$8),"")</f>
        <v/>
      </c>
      <c r="D98" s="16" t="str">
        <f>IF(PersonId&lt;&gt;"",_xll.mdValue("Person Accomodation Code",_xlnm.Database,$A98),"")</f>
        <v/>
      </c>
      <c r="E98" s="28" t="str">
        <f t="shared" si="2"/>
        <v/>
      </c>
      <c r="F98" s="16" t="str">
        <f>IF('Paste Here'!$A92&lt;&gt;"",'Paste Here'!$A92,"")</f>
        <v/>
      </c>
      <c r="G98" s="16" t="str">
        <f>IF('Paste Here'!$B92&lt;&gt;"",'Paste Here'!$B92,"")</f>
        <v/>
      </c>
      <c r="H98" s="16" t="str">
        <f>IF('Paste Here'!$C92&lt;&gt;"",'Paste Here'!$C92,"")</f>
        <v/>
      </c>
      <c r="I98" s="25" t="str">
        <f>IF('Paste Here'!$D92&lt;&gt;"",'Paste Here'!$D92,"")</f>
        <v/>
      </c>
      <c r="J98" s="27" t="str">
        <f>IF('Paste Here'!$E92&lt;&gt;"",'Paste Here'!$E92,"")</f>
        <v/>
      </c>
      <c r="K98" s="16" t="str">
        <f>IF('Paste Here'!$F92&lt;&gt;"",'Paste Here'!$F92,"")</f>
        <v/>
      </c>
      <c r="L98" s="16" t="str">
        <f>IF('Paste Here'!$G92&lt;&gt;"",'Paste Here'!$G92,"")</f>
        <v/>
      </c>
      <c r="M98" s="18" t="str">
        <f t="shared" si="3"/>
        <v/>
      </c>
    </row>
    <row r="99" spans="1:13" s="17" customFormat="1" x14ac:dyDescent="0.25">
      <c r="A99" s="16" t="str">
        <f>IF(URN&lt;&gt;"",_xll.mdValue("Resident",_xlnm.Database,$F99),"")</f>
        <v/>
      </c>
      <c r="B99" s="16" t="str">
        <f>IF(PersonId&lt;&gt;"",_xll.mdValue("Resident First Name",_xlnm.Database,$A$8),"")</f>
        <v/>
      </c>
      <c r="C99" s="16" t="str">
        <f>IF(PersonId&lt;&gt;"",_xll.mdValue("Resident Last Name",_xlnm.Database,$A$8),"")</f>
        <v/>
      </c>
      <c r="D99" s="16" t="str">
        <f>IF(PersonId&lt;&gt;"",_xll.mdValue("Person Accomodation Code",_xlnm.Database,$A99),"")</f>
        <v/>
      </c>
      <c r="E99" s="28" t="str">
        <f t="shared" si="2"/>
        <v/>
      </c>
      <c r="F99" s="16" t="str">
        <f>IF('Paste Here'!$A93&lt;&gt;"",'Paste Here'!$A93,"")</f>
        <v/>
      </c>
      <c r="G99" s="16" t="str">
        <f>IF('Paste Here'!$B93&lt;&gt;"",'Paste Here'!$B93,"")</f>
        <v/>
      </c>
      <c r="H99" s="16" t="str">
        <f>IF('Paste Here'!$C93&lt;&gt;"",'Paste Here'!$C93,"")</f>
        <v/>
      </c>
      <c r="I99" s="25" t="str">
        <f>IF('Paste Here'!$D93&lt;&gt;"",'Paste Here'!$D93,"")</f>
        <v/>
      </c>
      <c r="J99" s="27" t="str">
        <f>IF('Paste Here'!$E93&lt;&gt;"",'Paste Here'!$E93,"")</f>
        <v/>
      </c>
      <c r="K99" s="16" t="str">
        <f>IF('Paste Here'!$F93&lt;&gt;"",'Paste Here'!$F93,"")</f>
        <v/>
      </c>
      <c r="L99" s="16" t="str">
        <f>IF('Paste Here'!$G93&lt;&gt;"",'Paste Here'!$G93,"")</f>
        <v/>
      </c>
      <c r="M99" s="18" t="str">
        <f t="shared" si="3"/>
        <v/>
      </c>
    </row>
    <row r="100" spans="1:13" s="17" customFormat="1" x14ac:dyDescent="0.25">
      <c r="A100" s="16" t="str">
        <f>IF(URN&lt;&gt;"",_xll.mdValue("Resident",_xlnm.Database,$F100),"")</f>
        <v/>
      </c>
      <c r="B100" s="16" t="str">
        <f>IF(PersonId&lt;&gt;"",_xll.mdValue("Resident First Name",_xlnm.Database,$A$8),"")</f>
        <v/>
      </c>
      <c r="C100" s="16" t="str">
        <f>IF(PersonId&lt;&gt;"",_xll.mdValue("Resident Last Name",_xlnm.Database,$A$8),"")</f>
        <v/>
      </c>
      <c r="D100" s="16" t="str">
        <f>IF(PersonId&lt;&gt;"",_xll.mdValue("Person Accomodation Code",_xlnm.Database,$A100),"")</f>
        <v/>
      </c>
      <c r="E100" s="28" t="str">
        <f t="shared" si="2"/>
        <v/>
      </c>
      <c r="F100" s="16" t="str">
        <f>IF('Paste Here'!$A94&lt;&gt;"",'Paste Here'!$A94,"")</f>
        <v/>
      </c>
      <c r="G100" s="16" t="str">
        <f>IF('Paste Here'!$B94&lt;&gt;"",'Paste Here'!$B94,"")</f>
        <v/>
      </c>
      <c r="H100" s="16" t="str">
        <f>IF('Paste Here'!$C94&lt;&gt;"",'Paste Here'!$C94,"")</f>
        <v/>
      </c>
      <c r="I100" s="25" t="str">
        <f>IF('Paste Here'!$D94&lt;&gt;"",'Paste Here'!$D94,"")</f>
        <v/>
      </c>
      <c r="J100" s="27" t="str">
        <f>IF('Paste Here'!$E94&lt;&gt;"",'Paste Here'!$E94,"")</f>
        <v/>
      </c>
      <c r="K100" s="16" t="str">
        <f>IF('Paste Here'!$F94&lt;&gt;"",'Paste Here'!$F94,"")</f>
        <v/>
      </c>
      <c r="L100" s="16" t="str">
        <f>IF('Paste Here'!$G94&lt;&gt;"",'Paste Here'!$G94,"")</f>
        <v/>
      </c>
      <c r="M100" s="18" t="str">
        <f t="shared" si="3"/>
        <v/>
      </c>
    </row>
    <row r="101" spans="1:13" s="17" customFormat="1" x14ac:dyDescent="0.25">
      <c r="A101" s="16" t="str">
        <f>IF(URN&lt;&gt;"",_xll.mdValue("Resident",_xlnm.Database,$F101),"")</f>
        <v/>
      </c>
      <c r="B101" s="16" t="str">
        <f>IF(PersonId&lt;&gt;"",_xll.mdValue("Resident First Name",_xlnm.Database,$A$8),"")</f>
        <v/>
      </c>
      <c r="C101" s="16" t="str">
        <f>IF(PersonId&lt;&gt;"",_xll.mdValue("Resident Last Name",_xlnm.Database,$A$8),"")</f>
        <v/>
      </c>
      <c r="D101" s="16" t="str">
        <f>IF(PersonId&lt;&gt;"",_xll.mdValue("Person Accomodation Code",_xlnm.Database,$A101),"")</f>
        <v/>
      </c>
      <c r="E101" s="28" t="str">
        <f t="shared" si="2"/>
        <v/>
      </c>
      <c r="F101" s="16" t="str">
        <f>IF('Paste Here'!$A95&lt;&gt;"",'Paste Here'!$A95,"")</f>
        <v/>
      </c>
      <c r="G101" s="16" t="str">
        <f>IF('Paste Here'!$B95&lt;&gt;"",'Paste Here'!$B95,"")</f>
        <v/>
      </c>
      <c r="H101" s="16" t="str">
        <f>IF('Paste Here'!$C95&lt;&gt;"",'Paste Here'!$C95,"")</f>
        <v/>
      </c>
      <c r="I101" s="25" t="str">
        <f>IF('Paste Here'!$D95&lt;&gt;"",'Paste Here'!$D95,"")</f>
        <v/>
      </c>
      <c r="J101" s="27" t="str">
        <f>IF('Paste Here'!$E95&lt;&gt;"",'Paste Here'!$E95,"")</f>
        <v/>
      </c>
      <c r="K101" s="16" t="str">
        <f>IF('Paste Here'!$F95&lt;&gt;"",'Paste Here'!$F95,"")</f>
        <v/>
      </c>
      <c r="L101" s="16" t="str">
        <f>IF('Paste Here'!$G95&lt;&gt;"",'Paste Here'!$G95,"")</f>
        <v/>
      </c>
      <c r="M101" s="18" t="str">
        <f t="shared" si="3"/>
        <v/>
      </c>
    </row>
    <row r="102" spans="1:13" s="17" customFormat="1" x14ac:dyDescent="0.25">
      <c r="A102" s="16" t="str">
        <f>IF(URN&lt;&gt;"",_xll.mdValue("Resident",_xlnm.Database,$F102),"")</f>
        <v/>
      </c>
      <c r="B102" s="16" t="str">
        <f>IF(PersonId&lt;&gt;"",_xll.mdValue("Resident First Name",_xlnm.Database,$A$8),"")</f>
        <v/>
      </c>
      <c r="C102" s="16" t="str">
        <f>IF(PersonId&lt;&gt;"",_xll.mdValue("Resident Last Name",_xlnm.Database,$A$8),"")</f>
        <v/>
      </c>
      <c r="D102" s="16" t="str">
        <f>IF(PersonId&lt;&gt;"",_xll.mdValue("Person Accomodation Code",_xlnm.Database,$A102),"")</f>
        <v/>
      </c>
      <c r="E102" s="28" t="str">
        <f t="shared" si="2"/>
        <v/>
      </c>
      <c r="F102" s="16" t="str">
        <f>IF('Paste Here'!$A96&lt;&gt;"",'Paste Here'!$A96,"")</f>
        <v/>
      </c>
      <c r="G102" s="16" t="str">
        <f>IF('Paste Here'!$B96&lt;&gt;"",'Paste Here'!$B96,"")</f>
        <v/>
      </c>
      <c r="H102" s="16" t="str">
        <f>IF('Paste Here'!$C96&lt;&gt;"",'Paste Here'!$C96,"")</f>
        <v/>
      </c>
      <c r="I102" s="25" t="str">
        <f>IF('Paste Here'!$D96&lt;&gt;"",'Paste Here'!$D96,"")</f>
        <v/>
      </c>
      <c r="J102" s="27" t="str">
        <f>IF('Paste Here'!$E96&lt;&gt;"",'Paste Here'!$E96,"")</f>
        <v/>
      </c>
      <c r="K102" s="16" t="str">
        <f>IF('Paste Here'!$F96&lt;&gt;"",'Paste Here'!$F96,"")</f>
        <v/>
      </c>
      <c r="L102" s="16" t="str">
        <f>IF('Paste Here'!$G96&lt;&gt;"",'Paste Here'!$G96,"")</f>
        <v/>
      </c>
      <c r="M102" s="18" t="str">
        <f t="shared" si="3"/>
        <v/>
      </c>
    </row>
    <row r="103" spans="1:13" s="17" customFormat="1" x14ac:dyDescent="0.25">
      <c r="A103" s="16" t="str">
        <f>IF(URN&lt;&gt;"",_xll.mdValue("Resident",_xlnm.Database,$F103),"")</f>
        <v/>
      </c>
      <c r="B103" s="16" t="str">
        <f>IF(PersonId&lt;&gt;"",_xll.mdValue("Resident First Name",_xlnm.Database,$A$8),"")</f>
        <v/>
      </c>
      <c r="C103" s="16" t="str">
        <f>IF(PersonId&lt;&gt;"",_xll.mdValue("Resident Last Name",_xlnm.Database,$A$8),"")</f>
        <v/>
      </c>
      <c r="D103" s="16" t="str">
        <f>IF(PersonId&lt;&gt;"",_xll.mdValue("Person Accomodation Code",_xlnm.Database,$A103),"")</f>
        <v/>
      </c>
      <c r="E103" s="28" t="str">
        <f t="shared" si="2"/>
        <v/>
      </c>
      <c r="F103" s="16" t="str">
        <f>IF('Paste Here'!$A97&lt;&gt;"",'Paste Here'!$A97,"")</f>
        <v/>
      </c>
      <c r="G103" s="16" t="str">
        <f>IF('Paste Here'!$B97&lt;&gt;"",'Paste Here'!$B97,"")</f>
        <v/>
      </c>
      <c r="H103" s="16" t="str">
        <f>IF('Paste Here'!$C97&lt;&gt;"",'Paste Here'!$C97,"")</f>
        <v/>
      </c>
      <c r="I103" s="25" t="str">
        <f>IF('Paste Here'!$D97&lt;&gt;"",'Paste Here'!$D97,"")</f>
        <v/>
      </c>
      <c r="J103" s="27" t="str">
        <f>IF('Paste Here'!$E97&lt;&gt;"",'Paste Here'!$E97,"")</f>
        <v/>
      </c>
      <c r="K103" s="16" t="str">
        <f>IF('Paste Here'!$F97&lt;&gt;"",'Paste Here'!$F97,"")</f>
        <v/>
      </c>
      <c r="L103" s="16" t="str">
        <f>IF('Paste Here'!$G97&lt;&gt;"",'Paste Here'!$G97,"")</f>
        <v/>
      </c>
      <c r="M103" s="18" t="str">
        <f t="shared" si="3"/>
        <v/>
      </c>
    </row>
    <row r="104" spans="1:13" s="17" customFormat="1" x14ac:dyDescent="0.25">
      <c r="A104" s="16" t="str">
        <f>IF(URN&lt;&gt;"",_xll.mdValue("Resident",_xlnm.Database,$F104),"")</f>
        <v/>
      </c>
      <c r="B104" s="16" t="str">
        <f>IF(PersonId&lt;&gt;"",_xll.mdValue("Resident First Name",_xlnm.Database,$A$8),"")</f>
        <v/>
      </c>
      <c r="C104" s="16" t="str">
        <f>IF(PersonId&lt;&gt;"",_xll.mdValue("Resident Last Name",_xlnm.Database,$A$8),"")</f>
        <v/>
      </c>
      <c r="D104" s="16" t="str">
        <f>IF(PersonId&lt;&gt;"",_xll.mdValue("Person Accomodation Code",_xlnm.Database,$A104),"")</f>
        <v/>
      </c>
      <c r="E104" s="28" t="str">
        <f t="shared" si="2"/>
        <v/>
      </c>
      <c r="F104" s="16" t="str">
        <f>IF('Paste Here'!$A98&lt;&gt;"",'Paste Here'!$A98,"")</f>
        <v/>
      </c>
      <c r="G104" s="16" t="str">
        <f>IF('Paste Here'!$B98&lt;&gt;"",'Paste Here'!$B98,"")</f>
        <v/>
      </c>
      <c r="H104" s="16" t="str">
        <f>IF('Paste Here'!$C98&lt;&gt;"",'Paste Here'!$C98,"")</f>
        <v/>
      </c>
      <c r="I104" s="25" t="str">
        <f>IF('Paste Here'!$D98&lt;&gt;"",'Paste Here'!$D98,"")</f>
        <v/>
      </c>
      <c r="J104" s="27" t="str">
        <f>IF('Paste Here'!$E98&lt;&gt;"",'Paste Here'!$E98,"")</f>
        <v/>
      </c>
      <c r="K104" s="16" t="str">
        <f>IF('Paste Here'!$F98&lt;&gt;"",'Paste Here'!$F98,"")</f>
        <v/>
      </c>
      <c r="L104" s="16" t="str">
        <f>IF('Paste Here'!$G98&lt;&gt;"",'Paste Here'!$G98,"")</f>
        <v/>
      </c>
      <c r="M104" s="18" t="str">
        <f t="shared" si="3"/>
        <v/>
      </c>
    </row>
    <row r="105" spans="1:13" s="17" customFormat="1" x14ac:dyDescent="0.25">
      <c r="A105" s="16" t="str">
        <f>IF(URN&lt;&gt;"",_xll.mdValue("Resident",_xlnm.Database,$F105),"")</f>
        <v/>
      </c>
      <c r="B105" s="16" t="str">
        <f>IF(PersonId&lt;&gt;"",_xll.mdValue("Resident First Name",_xlnm.Database,$A$8),"")</f>
        <v/>
      </c>
      <c r="C105" s="16" t="str">
        <f>IF(PersonId&lt;&gt;"",_xll.mdValue("Resident Last Name",_xlnm.Database,$A$8),"")</f>
        <v/>
      </c>
      <c r="D105" s="16" t="str">
        <f>IF(PersonId&lt;&gt;"",_xll.mdValue("Person Accomodation Code",_xlnm.Database,$A105),"")</f>
        <v/>
      </c>
      <c r="E105" s="28" t="str">
        <f t="shared" si="2"/>
        <v/>
      </c>
      <c r="F105" s="16" t="str">
        <f>IF('Paste Here'!$A99&lt;&gt;"",'Paste Here'!$A99,"")</f>
        <v/>
      </c>
      <c r="G105" s="16" t="str">
        <f>IF('Paste Here'!$B99&lt;&gt;"",'Paste Here'!$B99,"")</f>
        <v/>
      </c>
      <c r="H105" s="16" t="str">
        <f>IF('Paste Here'!$C99&lt;&gt;"",'Paste Here'!$C99,"")</f>
        <v/>
      </c>
      <c r="I105" s="25" t="str">
        <f>IF('Paste Here'!$D99&lt;&gt;"",'Paste Here'!$D99,"")</f>
        <v/>
      </c>
      <c r="J105" s="27" t="str">
        <f>IF('Paste Here'!$E99&lt;&gt;"",'Paste Here'!$E99,"")</f>
        <v/>
      </c>
      <c r="K105" s="16" t="str">
        <f>IF('Paste Here'!$F99&lt;&gt;"",'Paste Here'!$F99,"")</f>
        <v/>
      </c>
      <c r="L105" s="16" t="str">
        <f>IF('Paste Here'!$G99&lt;&gt;"",'Paste Here'!$G99,"")</f>
        <v/>
      </c>
      <c r="M105" s="18" t="str">
        <f t="shared" si="3"/>
        <v/>
      </c>
    </row>
    <row r="106" spans="1:13" s="17" customFormat="1" x14ac:dyDescent="0.25">
      <c r="A106" s="16" t="str">
        <f>IF(URN&lt;&gt;"",_xll.mdValue("Resident",_xlnm.Database,$F106),"")</f>
        <v/>
      </c>
      <c r="B106" s="16" t="str">
        <f>IF(PersonId&lt;&gt;"",_xll.mdValue("Resident First Name",_xlnm.Database,$A$8),"")</f>
        <v/>
      </c>
      <c r="C106" s="16" t="str">
        <f>IF(PersonId&lt;&gt;"",_xll.mdValue("Resident Last Name",_xlnm.Database,$A$8),"")</f>
        <v/>
      </c>
      <c r="D106" s="16" t="str">
        <f>IF(PersonId&lt;&gt;"",_xll.mdValue("Person Accomodation Code",_xlnm.Database,$A106),"")</f>
        <v/>
      </c>
      <c r="E106" s="28" t="str">
        <f t="shared" si="2"/>
        <v/>
      </c>
      <c r="F106" s="16" t="str">
        <f>IF('Paste Here'!$A100&lt;&gt;"",'Paste Here'!$A100,"")</f>
        <v/>
      </c>
      <c r="G106" s="16" t="str">
        <f>IF('Paste Here'!$B100&lt;&gt;"",'Paste Here'!$B100,"")</f>
        <v/>
      </c>
      <c r="H106" s="16" t="str">
        <f>IF('Paste Here'!$C100&lt;&gt;"",'Paste Here'!$C100,"")</f>
        <v/>
      </c>
      <c r="I106" s="25" t="str">
        <f>IF('Paste Here'!$D100&lt;&gt;"",'Paste Here'!$D100,"")</f>
        <v/>
      </c>
      <c r="J106" s="27" t="str">
        <f>IF('Paste Here'!$E100&lt;&gt;"",'Paste Here'!$E100,"")</f>
        <v/>
      </c>
      <c r="K106" s="16" t="str">
        <f>IF('Paste Here'!$F100&lt;&gt;"",'Paste Here'!$F100,"")</f>
        <v/>
      </c>
      <c r="L106" s="16" t="str">
        <f>IF('Paste Here'!$G100&lt;&gt;"",'Paste Here'!$G100,"")</f>
        <v/>
      </c>
      <c r="M106" s="18" t="str">
        <f t="shared" si="3"/>
        <v/>
      </c>
    </row>
    <row r="107" spans="1:13" s="17" customFormat="1" x14ac:dyDescent="0.25">
      <c r="A107" s="16" t="str">
        <f>IF(URN&lt;&gt;"",_xll.mdValue("Resident",_xlnm.Database,$F107),"")</f>
        <v/>
      </c>
      <c r="B107" s="16" t="str">
        <f>IF(PersonId&lt;&gt;"",_xll.mdValue("Resident First Name",_xlnm.Database,$A$8),"")</f>
        <v/>
      </c>
      <c r="C107" s="16" t="str">
        <f>IF(PersonId&lt;&gt;"",_xll.mdValue("Resident Last Name",_xlnm.Database,$A$8),"")</f>
        <v/>
      </c>
      <c r="D107" s="16" t="str">
        <f>IF(PersonId&lt;&gt;"",_xll.mdValue("Person Accomodation Code",_xlnm.Database,$A107),"")</f>
        <v/>
      </c>
      <c r="E107" s="28" t="str">
        <f t="shared" si="2"/>
        <v/>
      </c>
      <c r="F107" s="16" t="str">
        <f>IF('Paste Here'!$A101&lt;&gt;"",'Paste Here'!$A101,"")</f>
        <v/>
      </c>
      <c r="G107" s="16" t="str">
        <f>IF('Paste Here'!$B101&lt;&gt;"",'Paste Here'!$B101,"")</f>
        <v/>
      </c>
      <c r="H107" s="16" t="str">
        <f>IF('Paste Here'!$C101&lt;&gt;"",'Paste Here'!$C101,"")</f>
        <v/>
      </c>
      <c r="I107" s="25" t="str">
        <f>IF('Paste Here'!$D101&lt;&gt;"",'Paste Here'!$D101,"")</f>
        <v/>
      </c>
      <c r="J107" s="27" t="str">
        <f>IF('Paste Here'!$E101&lt;&gt;"",'Paste Here'!$E101,"")</f>
        <v/>
      </c>
      <c r="K107" s="16" t="str">
        <f>IF('Paste Here'!$F101&lt;&gt;"",'Paste Here'!$F101,"")</f>
        <v/>
      </c>
      <c r="L107" s="16" t="str">
        <f>IF('Paste Here'!$G101&lt;&gt;"",'Paste Here'!$G101,"")</f>
        <v/>
      </c>
      <c r="M107" s="18" t="str">
        <f t="shared" si="3"/>
        <v/>
      </c>
    </row>
    <row r="108" spans="1:13" s="17" customFormat="1" x14ac:dyDescent="0.25">
      <c r="A108" s="16" t="str">
        <f>IF(URN&lt;&gt;"",_xll.mdValue("Resident",_xlnm.Database,$F108),"")</f>
        <v/>
      </c>
      <c r="B108" s="16" t="str">
        <f>IF(PersonId&lt;&gt;"",_xll.mdValue("Resident First Name",_xlnm.Database,$A$8),"")</f>
        <v/>
      </c>
      <c r="C108" s="16" t="str">
        <f>IF(PersonId&lt;&gt;"",_xll.mdValue("Resident Last Name",_xlnm.Database,$A$8),"")</f>
        <v/>
      </c>
      <c r="D108" s="16" t="str">
        <f>IF(PersonId&lt;&gt;"",_xll.mdValue("Person Accomodation Code",_xlnm.Database,$A108),"")</f>
        <v/>
      </c>
      <c r="E108" s="28" t="str">
        <f t="shared" si="2"/>
        <v/>
      </c>
      <c r="F108" s="16" t="str">
        <f>IF('Paste Here'!$A102&lt;&gt;"",'Paste Here'!$A102,"")</f>
        <v/>
      </c>
      <c r="G108" s="16" t="str">
        <f>IF('Paste Here'!$B102&lt;&gt;"",'Paste Here'!$B102,"")</f>
        <v/>
      </c>
      <c r="H108" s="16" t="str">
        <f>IF('Paste Here'!$C102&lt;&gt;"",'Paste Here'!$C102,"")</f>
        <v/>
      </c>
      <c r="I108" s="25" t="str">
        <f>IF('Paste Here'!$D102&lt;&gt;"",'Paste Here'!$D102,"")</f>
        <v/>
      </c>
      <c r="J108" s="27" t="str">
        <f>IF('Paste Here'!$E102&lt;&gt;"",'Paste Here'!$E102,"")</f>
        <v/>
      </c>
      <c r="K108" s="16" t="str">
        <f>IF('Paste Here'!$F102&lt;&gt;"",'Paste Here'!$F102,"")</f>
        <v/>
      </c>
      <c r="L108" s="16" t="str">
        <f>IF('Paste Here'!$G102&lt;&gt;"",'Paste Here'!$G102,"")</f>
        <v/>
      </c>
      <c r="M108" s="18" t="str">
        <f t="shared" si="3"/>
        <v/>
      </c>
    </row>
    <row r="109" spans="1:13" s="17" customFormat="1" x14ac:dyDescent="0.25">
      <c r="A109" s="16" t="str">
        <f>IF(URN&lt;&gt;"",_xll.mdValue("Resident",_xlnm.Database,$F109),"")</f>
        <v/>
      </c>
      <c r="B109" s="16" t="str">
        <f>IF(PersonId&lt;&gt;"",_xll.mdValue("Resident First Name",_xlnm.Database,$A$8),"")</f>
        <v/>
      </c>
      <c r="C109" s="16" t="str">
        <f>IF(PersonId&lt;&gt;"",_xll.mdValue("Resident Last Name",_xlnm.Database,$A$8),"")</f>
        <v/>
      </c>
      <c r="D109" s="16" t="str">
        <f>IF(PersonId&lt;&gt;"",_xll.mdValue("Person Accomodation Code",_xlnm.Database,$A109),"")</f>
        <v/>
      </c>
      <c r="E109" s="28" t="str">
        <f t="shared" si="2"/>
        <v/>
      </c>
      <c r="F109" s="16" t="str">
        <f>IF('Paste Here'!$A103&lt;&gt;"",'Paste Here'!$A103,"")</f>
        <v/>
      </c>
      <c r="G109" s="16" t="str">
        <f>IF('Paste Here'!$B103&lt;&gt;"",'Paste Here'!$B103,"")</f>
        <v/>
      </c>
      <c r="H109" s="16" t="str">
        <f>IF('Paste Here'!$C103&lt;&gt;"",'Paste Here'!$C103,"")</f>
        <v/>
      </c>
      <c r="I109" s="25" t="str">
        <f>IF('Paste Here'!$D103&lt;&gt;"",'Paste Here'!$D103,"")</f>
        <v/>
      </c>
      <c r="J109" s="27" t="str">
        <f>IF('Paste Here'!$E103&lt;&gt;"",'Paste Here'!$E103,"")</f>
        <v/>
      </c>
      <c r="K109" s="16" t="str">
        <f>IF('Paste Here'!$F103&lt;&gt;"",'Paste Here'!$F103,"")</f>
        <v/>
      </c>
      <c r="L109" s="16" t="str">
        <f>IF('Paste Here'!$G103&lt;&gt;"",'Paste Here'!$G103,"")</f>
        <v/>
      </c>
      <c r="M109" s="18" t="str">
        <f t="shared" si="3"/>
        <v/>
      </c>
    </row>
    <row r="110" spans="1:13" s="17" customFormat="1" x14ac:dyDescent="0.25">
      <c r="A110" s="16" t="str">
        <f>IF(URN&lt;&gt;"",_xll.mdValue("Resident",_xlnm.Database,$F110),"")</f>
        <v/>
      </c>
      <c r="B110" s="16" t="str">
        <f>IF(PersonId&lt;&gt;"",_xll.mdValue("Resident First Name",_xlnm.Database,$A$8),"")</f>
        <v/>
      </c>
      <c r="C110" s="16" t="str">
        <f>IF(PersonId&lt;&gt;"",_xll.mdValue("Resident Last Name",_xlnm.Database,$A$8),"")</f>
        <v/>
      </c>
      <c r="D110" s="16" t="str">
        <f>IF(PersonId&lt;&gt;"",_xll.mdValue("Person Accomodation Code",_xlnm.Database,$A110),"")</f>
        <v/>
      </c>
      <c r="E110" s="28" t="str">
        <f t="shared" si="2"/>
        <v/>
      </c>
      <c r="F110" s="16" t="str">
        <f>IF('Paste Here'!$A104&lt;&gt;"",'Paste Here'!$A104,"")</f>
        <v/>
      </c>
      <c r="G110" s="16" t="str">
        <f>IF('Paste Here'!$B104&lt;&gt;"",'Paste Here'!$B104,"")</f>
        <v/>
      </c>
      <c r="H110" s="16" t="str">
        <f>IF('Paste Here'!$C104&lt;&gt;"",'Paste Here'!$C104,"")</f>
        <v/>
      </c>
      <c r="I110" s="25" t="str">
        <f>IF('Paste Here'!$D104&lt;&gt;"",'Paste Here'!$D104,"")</f>
        <v/>
      </c>
      <c r="J110" s="27" t="str">
        <f>IF('Paste Here'!$E104&lt;&gt;"",'Paste Here'!$E104,"")</f>
        <v/>
      </c>
      <c r="K110" s="16" t="str">
        <f>IF('Paste Here'!$F104&lt;&gt;"",'Paste Here'!$F104,"")</f>
        <v/>
      </c>
      <c r="L110" s="16" t="str">
        <f>IF('Paste Here'!$G104&lt;&gt;"",'Paste Here'!$G104,"")</f>
        <v/>
      </c>
      <c r="M110" s="18" t="str">
        <f t="shared" si="3"/>
        <v/>
      </c>
    </row>
    <row r="111" spans="1:13" s="17" customFormat="1" x14ac:dyDescent="0.25">
      <c r="A111" s="16" t="str">
        <f>IF(URN&lt;&gt;"",_xll.mdValue("Resident",_xlnm.Database,$F111),"")</f>
        <v/>
      </c>
      <c r="B111" s="16" t="str">
        <f>IF(PersonId&lt;&gt;"",_xll.mdValue("Resident First Name",_xlnm.Database,$A$8),"")</f>
        <v/>
      </c>
      <c r="C111" s="16" t="str">
        <f>IF(PersonId&lt;&gt;"",_xll.mdValue("Resident Last Name",_xlnm.Database,$A$8),"")</f>
        <v/>
      </c>
      <c r="D111" s="16" t="str">
        <f>IF(PersonId&lt;&gt;"",_xll.mdValue("Person Accomodation Code",_xlnm.Database,$A111),"")</f>
        <v/>
      </c>
      <c r="E111" s="28" t="str">
        <f t="shared" si="2"/>
        <v/>
      </c>
      <c r="F111" s="16" t="str">
        <f>IF('Paste Here'!$A105&lt;&gt;"",'Paste Here'!$A105,"")</f>
        <v/>
      </c>
      <c r="G111" s="16" t="str">
        <f>IF('Paste Here'!$B105&lt;&gt;"",'Paste Here'!$B105,"")</f>
        <v/>
      </c>
      <c r="H111" s="16" t="str">
        <f>IF('Paste Here'!$C105&lt;&gt;"",'Paste Here'!$C105,"")</f>
        <v/>
      </c>
      <c r="I111" s="25" t="str">
        <f>IF('Paste Here'!$D105&lt;&gt;"",'Paste Here'!$D105,"")</f>
        <v/>
      </c>
      <c r="J111" s="27" t="str">
        <f>IF('Paste Here'!$E105&lt;&gt;"",'Paste Here'!$E105,"")</f>
        <v/>
      </c>
      <c r="K111" s="16" t="str">
        <f>IF('Paste Here'!$F105&lt;&gt;"",'Paste Here'!$F105,"")</f>
        <v/>
      </c>
      <c r="L111" s="16" t="str">
        <f>IF('Paste Here'!$G105&lt;&gt;"",'Paste Here'!$G105,"")</f>
        <v/>
      </c>
      <c r="M111" s="18" t="str">
        <f t="shared" si="3"/>
        <v/>
      </c>
    </row>
    <row r="112" spans="1:13" s="17" customFormat="1" x14ac:dyDescent="0.25">
      <c r="A112" s="16" t="str">
        <f>IF(URN&lt;&gt;"",_xll.mdValue("Resident",_xlnm.Database,$F112),"")</f>
        <v/>
      </c>
      <c r="B112" s="16" t="str">
        <f>IF(PersonId&lt;&gt;"",_xll.mdValue("Resident First Name",_xlnm.Database,$A$8),"")</f>
        <v/>
      </c>
      <c r="C112" s="16" t="str">
        <f>IF(PersonId&lt;&gt;"",_xll.mdValue("Resident Last Name",_xlnm.Database,$A$8),"")</f>
        <v/>
      </c>
      <c r="D112" s="16" t="str">
        <f>IF(PersonId&lt;&gt;"",_xll.mdValue("Person Accomodation Code",_xlnm.Database,$A112),"")</f>
        <v/>
      </c>
      <c r="E112" s="28" t="str">
        <f t="shared" si="2"/>
        <v/>
      </c>
      <c r="F112" s="16" t="str">
        <f>IF('Paste Here'!$A106&lt;&gt;"",'Paste Here'!$A106,"")</f>
        <v/>
      </c>
      <c r="G112" s="16" t="str">
        <f>IF('Paste Here'!$B106&lt;&gt;"",'Paste Here'!$B106,"")</f>
        <v/>
      </c>
      <c r="H112" s="16" t="str">
        <f>IF('Paste Here'!$C106&lt;&gt;"",'Paste Here'!$C106,"")</f>
        <v/>
      </c>
      <c r="I112" s="25" t="str">
        <f>IF('Paste Here'!$D106&lt;&gt;"",'Paste Here'!$D106,"")</f>
        <v/>
      </c>
      <c r="J112" s="27" t="str">
        <f>IF('Paste Here'!$E106&lt;&gt;"",'Paste Here'!$E106,"")</f>
        <v/>
      </c>
      <c r="K112" s="16" t="str">
        <f>IF('Paste Here'!$F106&lt;&gt;"",'Paste Here'!$F106,"")</f>
        <v/>
      </c>
      <c r="L112" s="16" t="str">
        <f>IF('Paste Here'!$G106&lt;&gt;"",'Paste Here'!$G106,"")</f>
        <v/>
      </c>
      <c r="M112" s="18" t="str">
        <f t="shared" si="3"/>
        <v/>
      </c>
    </row>
    <row r="113" spans="1:13" s="17" customFormat="1" x14ac:dyDescent="0.25">
      <c r="A113" s="16" t="str">
        <f>IF(URN&lt;&gt;"",_xll.mdValue("Resident",_xlnm.Database,$F113),"")</f>
        <v/>
      </c>
      <c r="B113" s="16" t="str">
        <f>IF(PersonId&lt;&gt;"",_xll.mdValue("Resident First Name",_xlnm.Database,$A$8),"")</f>
        <v/>
      </c>
      <c r="C113" s="16" t="str">
        <f>IF(PersonId&lt;&gt;"",_xll.mdValue("Resident Last Name",_xlnm.Database,$A$8),"")</f>
        <v/>
      </c>
      <c r="D113" s="16" t="str">
        <f>IF(PersonId&lt;&gt;"",_xll.mdValue("Person Accomodation Code",_xlnm.Database,$A113),"")</f>
        <v/>
      </c>
      <c r="E113" s="28" t="str">
        <f t="shared" si="2"/>
        <v/>
      </c>
      <c r="F113" s="16" t="str">
        <f>IF('Paste Here'!$A107&lt;&gt;"",'Paste Here'!$A107,"")</f>
        <v/>
      </c>
      <c r="G113" s="16" t="str">
        <f>IF('Paste Here'!$B107&lt;&gt;"",'Paste Here'!$B107,"")</f>
        <v/>
      </c>
      <c r="H113" s="16" t="str">
        <f>IF('Paste Here'!$C107&lt;&gt;"",'Paste Here'!$C107,"")</f>
        <v/>
      </c>
      <c r="I113" s="25" t="str">
        <f>IF('Paste Here'!$D107&lt;&gt;"",'Paste Here'!$D107,"")</f>
        <v/>
      </c>
      <c r="J113" s="27" t="str">
        <f>IF('Paste Here'!$E107&lt;&gt;"",'Paste Here'!$E107,"")</f>
        <v/>
      </c>
      <c r="K113" s="16" t="str">
        <f>IF('Paste Here'!$F107&lt;&gt;"",'Paste Here'!$F107,"")</f>
        <v/>
      </c>
      <c r="L113" s="16" t="str">
        <f>IF('Paste Here'!$G107&lt;&gt;"",'Paste Here'!$G107,"")</f>
        <v/>
      </c>
      <c r="M113" s="18" t="str">
        <f t="shared" si="3"/>
        <v/>
      </c>
    </row>
    <row r="114" spans="1:13" s="17" customFormat="1" x14ac:dyDescent="0.25">
      <c r="A114" s="16" t="str">
        <f>IF(URN&lt;&gt;"",_xll.mdValue("Resident",_xlnm.Database,$F114),"")</f>
        <v/>
      </c>
      <c r="B114" s="16" t="str">
        <f>IF(PersonId&lt;&gt;"",_xll.mdValue("Resident First Name",_xlnm.Database,$A$8),"")</f>
        <v/>
      </c>
      <c r="C114" s="16" t="str">
        <f>IF(PersonId&lt;&gt;"",_xll.mdValue("Resident Last Name",_xlnm.Database,$A$8),"")</f>
        <v/>
      </c>
      <c r="D114" s="16" t="str">
        <f>IF(PersonId&lt;&gt;"",_xll.mdValue("Person Accomodation Code",_xlnm.Database,$A114),"")</f>
        <v/>
      </c>
      <c r="E114" s="28" t="str">
        <f t="shared" si="2"/>
        <v/>
      </c>
      <c r="F114" s="16" t="str">
        <f>IF('Paste Here'!$A108&lt;&gt;"",'Paste Here'!$A108,"")</f>
        <v/>
      </c>
      <c r="G114" s="16" t="str">
        <f>IF('Paste Here'!$B108&lt;&gt;"",'Paste Here'!$B108,"")</f>
        <v/>
      </c>
      <c r="H114" s="16" t="str">
        <f>IF('Paste Here'!$C108&lt;&gt;"",'Paste Here'!$C108,"")</f>
        <v/>
      </c>
      <c r="I114" s="25" t="str">
        <f>IF('Paste Here'!$D108&lt;&gt;"",'Paste Here'!$D108,"")</f>
        <v/>
      </c>
      <c r="J114" s="27" t="str">
        <f>IF('Paste Here'!$E108&lt;&gt;"",'Paste Here'!$E108,"")</f>
        <v/>
      </c>
      <c r="K114" s="16" t="str">
        <f>IF('Paste Here'!$F108&lt;&gt;"",'Paste Here'!$F108,"")</f>
        <v/>
      </c>
      <c r="L114" s="16" t="str">
        <f>IF('Paste Here'!$G108&lt;&gt;"",'Paste Here'!$G108,"")</f>
        <v/>
      </c>
      <c r="M114" s="18" t="str">
        <f t="shared" si="3"/>
        <v/>
      </c>
    </row>
    <row r="115" spans="1:13" s="17" customFormat="1" x14ac:dyDescent="0.25">
      <c r="A115" s="16" t="str">
        <f>IF(URN&lt;&gt;"",_xll.mdValue("Resident",_xlnm.Database,$F115),"")</f>
        <v/>
      </c>
      <c r="B115" s="16" t="str">
        <f>IF(PersonId&lt;&gt;"",_xll.mdValue("Resident First Name",_xlnm.Database,$A$8),"")</f>
        <v/>
      </c>
      <c r="C115" s="16" t="str">
        <f>IF(PersonId&lt;&gt;"",_xll.mdValue("Resident Last Name",_xlnm.Database,$A$8),"")</f>
        <v/>
      </c>
      <c r="D115" s="16" t="str">
        <f>IF(PersonId&lt;&gt;"",_xll.mdValue("Person Accomodation Code",_xlnm.Database,$A115),"")</f>
        <v/>
      </c>
      <c r="E115" s="28" t="str">
        <f t="shared" si="2"/>
        <v/>
      </c>
      <c r="F115" s="16" t="str">
        <f>IF('Paste Here'!$A109&lt;&gt;"",'Paste Here'!$A109,"")</f>
        <v/>
      </c>
      <c r="G115" s="16" t="str">
        <f>IF('Paste Here'!$B109&lt;&gt;"",'Paste Here'!$B109,"")</f>
        <v/>
      </c>
      <c r="H115" s="16" t="str">
        <f>IF('Paste Here'!$C109&lt;&gt;"",'Paste Here'!$C109,"")</f>
        <v/>
      </c>
      <c r="I115" s="25" t="str">
        <f>IF('Paste Here'!$D109&lt;&gt;"",'Paste Here'!$D109,"")</f>
        <v/>
      </c>
      <c r="J115" s="27" t="str">
        <f>IF('Paste Here'!$E109&lt;&gt;"",'Paste Here'!$E109,"")</f>
        <v/>
      </c>
      <c r="K115" s="16" t="str">
        <f>IF('Paste Here'!$F109&lt;&gt;"",'Paste Here'!$F109,"")</f>
        <v/>
      </c>
      <c r="L115" s="16" t="str">
        <f>IF('Paste Here'!$G109&lt;&gt;"",'Paste Here'!$G109,"")</f>
        <v/>
      </c>
      <c r="M115" s="18" t="str">
        <f t="shared" si="3"/>
        <v/>
      </c>
    </row>
    <row r="116" spans="1:13" s="17" customFormat="1" x14ac:dyDescent="0.25">
      <c r="A116" s="16" t="str">
        <f>IF(URN&lt;&gt;"",_xll.mdValue("Resident",_xlnm.Database,$F116),"")</f>
        <v/>
      </c>
      <c r="B116" s="16" t="str">
        <f>IF(PersonId&lt;&gt;"",_xll.mdValue("Resident First Name",_xlnm.Database,$A$8),"")</f>
        <v/>
      </c>
      <c r="C116" s="16" t="str">
        <f>IF(PersonId&lt;&gt;"",_xll.mdValue("Resident Last Name",_xlnm.Database,$A$8),"")</f>
        <v/>
      </c>
      <c r="D116" s="16" t="str">
        <f>IF(PersonId&lt;&gt;"",_xll.mdValue("Person Accomodation Code",_xlnm.Database,$A116),"")</f>
        <v/>
      </c>
      <c r="E116" s="28" t="str">
        <f t="shared" si="2"/>
        <v/>
      </c>
      <c r="F116" s="16" t="str">
        <f>IF('Paste Here'!$A110&lt;&gt;"",'Paste Here'!$A110,"")</f>
        <v/>
      </c>
      <c r="G116" s="16" t="str">
        <f>IF('Paste Here'!$B110&lt;&gt;"",'Paste Here'!$B110,"")</f>
        <v/>
      </c>
      <c r="H116" s="16" t="str">
        <f>IF('Paste Here'!$C110&lt;&gt;"",'Paste Here'!$C110,"")</f>
        <v/>
      </c>
      <c r="I116" s="25" t="str">
        <f>IF('Paste Here'!$D110&lt;&gt;"",'Paste Here'!$D110,"")</f>
        <v/>
      </c>
      <c r="J116" s="27" t="str">
        <f>IF('Paste Here'!$E110&lt;&gt;"",'Paste Here'!$E110,"")</f>
        <v/>
      </c>
      <c r="K116" s="16" t="str">
        <f>IF('Paste Here'!$F110&lt;&gt;"",'Paste Here'!$F110,"")</f>
        <v/>
      </c>
      <c r="L116" s="16" t="str">
        <f>IF('Paste Here'!$G110&lt;&gt;"",'Paste Here'!$G110,"")</f>
        <v/>
      </c>
      <c r="M116" s="18" t="str">
        <f t="shared" si="3"/>
        <v/>
      </c>
    </row>
    <row r="117" spans="1:13" s="17" customFormat="1" x14ac:dyDescent="0.25">
      <c r="A117" s="16" t="str">
        <f>IF(URN&lt;&gt;"",_xll.mdValue("Resident",_xlnm.Database,$F117),"")</f>
        <v/>
      </c>
      <c r="B117" s="16" t="str">
        <f>IF(PersonId&lt;&gt;"",_xll.mdValue("Resident First Name",_xlnm.Database,$A$8),"")</f>
        <v/>
      </c>
      <c r="C117" s="16" t="str">
        <f>IF(PersonId&lt;&gt;"",_xll.mdValue("Resident Last Name",_xlnm.Database,$A$8),"")</f>
        <v/>
      </c>
      <c r="D117" s="16" t="str">
        <f>IF(PersonId&lt;&gt;"",_xll.mdValue("Person Accomodation Code",_xlnm.Database,$A117),"")</f>
        <v/>
      </c>
      <c r="E117" s="28" t="str">
        <f t="shared" si="2"/>
        <v/>
      </c>
      <c r="F117" s="16" t="str">
        <f>IF('Paste Here'!$A111&lt;&gt;"",'Paste Here'!$A111,"")</f>
        <v/>
      </c>
      <c r="G117" s="16" t="str">
        <f>IF('Paste Here'!$B111&lt;&gt;"",'Paste Here'!$B111,"")</f>
        <v/>
      </c>
      <c r="H117" s="16" t="str">
        <f>IF('Paste Here'!$C111&lt;&gt;"",'Paste Here'!$C111,"")</f>
        <v/>
      </c>
      <c r="I117" s="25" t="str">
        <f>IF('Paste Here'!$D111&lt;&gt;"",'Paste Here'!$D111,"")</f>
        <v/>
      </c>
      <c r="J117" s="27" t="str">
        <f>IF('Paste Here'!$E111&lt;&gt;"",'Paste Here'!$E111,"")</f>
        <v/>
      </c>
      <c r="K117" s="16" t="str">
        <f>IF('Paste Here'!$F111&lt;&gt;"",'Paste Here'!$F111,"")</f>
        <v/>
      </c>
      <c r="L117" s="16" t="str">
        <f>IF('Paste Here'!$G111&lt;&gt;"",'Paste Here'!$G111,"")</f>
        <v/>
      </c>
      <c r="M117" s="18" t="str">
        <f t="shared" si="3"/>
        <v/>
      </c>
    </row>
    <row r="118" spans="1:13" s="17" customFormat="1" x14ac:dyDescent="0.25">
      <c r="A118" s="16" t="str">
        <f>IF(URN&lt;&gt;"",_xll.mdValue("Resident",_xlnm.Database,$F118),"")</f>
        <v/>
      </c>
      <c r="B118" s="16" t="str">
        <f>IF(PersonId&lt;&gt;"",_xll.mdValue("Resident First Name",_xlnm.Database,$A$8),"")</f>
        <v/>
      </c>
      <c r="C118" s="16" t="str">
        <f>IF(PersonId&lt;&gt;"",_xll.mdValue("Resident Last Name",_xlnm.Database,$A$8),"")</f>
        <v/>
      </c>
      <c r="D118" s="16" t="str">
        <f>IF(PersonId&lt;&gt;"",_xll.mdValue("Person Accomodation Code",_xlnm.Database,$A118),"")</f>
        <v/>
      </c>
      <c r="E118" s="28" t="str">
        <f t="shared" si="2"/>
        <v/>
      </c>
      <c r="F118" s="16" t="str">
        <f>IF('Paste Here'!$A112&lt;&gt;"",'Paste Here'!$A112,"")</f>
        <v/>
      </c>
      <c r="G118" s="16" t="str">
        <f>IF('Paste Here'!$B112&lt;&gt;"",'Paste Here'!$B112,"")</f>
        <v/>
      </c>
      <c r="H118" s="16" t="str">
        <f>IF('Paste Here'!$C112&lt;&gt;"",'Paste Here'!$C112,"")</f>
        <v/>
      </c>
      <c r="I118" s="25" t="str">
        <f>IF('Paste Here'!$D112&lt;&gt;"",'Paste Here'!$D112,"")</f>
        <v/>
      </c>
      <c r="J118" s="27" t="str">
        <f>IF('Paste Here'!$E112&lt;&gt;"",'Paste Here'!$E112,"")</f>
        <v/>
      </c>
      <c r="K118" s="16" t="str">
        <f>IF('Paste Here'!$F112&lt;&gt;"",'Paste Here'!$F112,"")</f>
        <v/>
      </c>
      <c r="L118" s="16" t="str">
        <f>IF('Paste Here'!$G112&lt;&gt;"",'Paste Here'!$G112,"")</f>
        <v/>
      </c>
      <c r="M118" s="18" t="str">
        <f t="shared" si="3"/>
        <v/>
      </c>
    </row>
    <row r="119" spans="1:13" s="17" customFormat="1" x14ac:dyDescent="0.25">
      <c r="A119" s="16" t="str">
        <f>IF(URN&lt;&gt;"",_xll.mdValue("Resident",_xlnm.Database,$F119),"")</f>
        <v/>
      </c>
      <c r="B119" s="16" t="str">
        <f>IF(PersonId&lt;&gt;"",_xll.mdValue("Resident First Name",_xlnm.Database,$A$8),"")</f>
        <v/>
      </c>
      <c r="C119" s="16" t="str">
        <f>IF(PersonId&lt;&gt;"",_xll.mdValue("Resident Last Name",_xlnm.Database,$A$8),"")</f>
        <v/>
      </c>
      <c r="D119" s="16" t="str">
        <f>IF(PersonId&lt;&gt;"",_xll.mdValue("Person Accomodation Code",_xlnm.Database,$A119),"")</f>
        <v/>
      </c>
      <c r="E119" s="28" t="str">
        <f t="shared" si="2"/>
        <v/>
      </c>
      <c r="F119" s="16" t="str">
        <f>IF('Paste Here'!$A113&lt;&gt;"",'Paste Here'!$A113,"")</f>
        <v/>
      </c>
      <c r="G119" s="16" t="str">
        <f>IF('Paste Here'!$B113&lt;&gt;"",'Paste Here'!$B113,"")</f>
        <v/>
      </c>
      <c r="H119" s="16" t="str">
        <f>IF('Paste Here'!$C113&lt;&gt;"",'Paste Here'!$C113,"")</f>
        <v/>
      </c>
      <c r="I119" s="25" t="str">
        <f>IF('Paste Here'!$D113&lt;&gt;"",'Paste Here'!$D113,"")</f>
        <v/>
      </c>
      <c r="J119" s="27" t="str">
        <f>IF('Paste Here'!$E113&lt;&gt;"",'Paste Here'!$E113,"")</f>
        <v/>
      </c>
      <c r="K119" s="16" t="str">
        <f>IF('Paste Here'!$F113&lt;&gt;"",'Paste Here'!$F113,"")</f>
        <v/>
      </c>
      <c r="L119" s="16" t="str">
        <f>IF('Paste Here'!$G113&lt;&gt;"",'Paste Here'!$G113,"")</f>
        <v/>
      </c>
      <c r="M119" s="18" t="str">
        <f t="shared" si="3"/>
        <v/>
      </c>
    </row>
    <row r="120" spans="1:13" s="17" customFormat="1" x14ac:dyDescent="0.25">
      <c r="A120" s="16" t="str">
        <f>IF(URN&lt;&gt;"",_xll.mdValue("Resident",_xlnm.Database,$F120),"")</f>
        <v/>
      </c>
      <c r="B120" s="16" t="str">
        <f>IF(PersonId&lt;&gt;"",_xll.mdValue("Resident First Name",_xlnm.Database,$A$8),"")</f>
        <v/>
      </c>
      <c r="C120" s="16" t="str">
        <f>IF(PersonId&lt;&gt;"",_xll.mdValue("Resident Last Name",_xlnm.Database,$A$8),"")</f>
        <v/>
      </c>
      <c r="D120" s="16" t="str">
        <f>IF(PersonId&lt;&gt;"",_xll.mdValue("Person Accomodation Code",_xlnm.Database,$A120),"")</f>
        <v/>
      </c>
      <c r="E120" s="28" t="str">
        <f t="shared" si="2"/>
        <v/>
      </c>
      <c r="F120" s="16" t="str">
        <f>IF('Paste Here'!$A114&lt;&gt;"",'Paste Here'!$A114,"")</f>
        <v/>
      </c>
      <c r="G120" s="16" t="str">
        <f>IF('Paste Here'!$B114&lt;&gt;"",'Paste Here'!$B114,"")</f>
        <v/>
      </c>
      <c r="H120" s="16" t="str">
        <f>IF('Paste Here'!$C114&lt;&gt;"",'Paste Here'!$C114,"")</f>
        <v/>
      </c>
      <c r="I120" s="25" t="str">
        <f>IF('Paste Here'!$D114&lt;&gt;"",'Paste Here'!$D114,"")</f>
        <v/>
      </c>
      <c r="J120" s="27" t="str">
        <f>IF('Paste Here'!$E114&lt;&gt;"",'Paste Here'!$E114,"")</f>
        <v/>
      </c>
      <c r="K120" s="16" t="str">
        <f>IF('Paste Here'!$F114&lt;&gt;"",'Paste Here'!$F114,"")</f>
        <v/>
      </c>
      <c r="L120" s="16" t="str">
        <f>IF('Paste Here'!$G114&lt;&gt;"",'Paste Here'!$G114,"")</f>
        <v/>
      </c>
      <c r="M120" s="18" t="str">
        <f t="shared" si="3"/>
        <v/>
      </c>
    </row>
    <row r="121" spans="1:13" s="17" customFormat="1" x14ac:dyDescent="0.25">
      <c r="A121" s="16" t="str">
        <f>IF(URN&lt;&gt;"",_xll.mdValue("Resident",_xlnm.Database,$F121),"")</f>
        <v/>
      </c>
      <c r="B121" s="16" t="str">
        <f>IF(PersonId&lt;&gt;"",_xll.mdValue("Resident First Name",_xlnm.Database,$A$8),"")</f>
        <v/>
      </c>
      <c r="C121" s="16" t="str">
        <f>IF(PersonId&lt;&gt;"",_xll.mdValue("Resident Last Name",_xlnm.Database,$A$8),"")</f>
        <v/>
      </c>
      <c r="D121" s="16" t="str">
        <f>IF(PersonId&lt;&gt;"",_xll.mdValue("Person Accomodation Code",_xlnm.Database,$A121),"")</f>
        <v/>
      </c>
      <c r="E121" s="28" t="str">
        <f t="shared" si="2"/>
        <v/>
      </c>
      <c r="F121" s="16" t="str">
        <f>IF('Paste Here'!$A115&lt;&gt;"",'Paste Here'!$A115,"")</f>
        <v/>
      </c>
      <c r="G121" s="16" t="str">
        <f>IF('Paste Here'!$B115&lt;&gt;"",'Paste Here'!$B115,"")</f>
        <v/>
      </c>
      <c r="H121" s="16" t="str">
        <f>IF('Paste Here'!$C115&lt;&gt;"",'Paste Here'!$C115,"")</f>
        <v/>
      </c>
      <c r="I121" s="25" t="str">
        <f>IF('Paste Here'!$D115&lt;&gt;"",'Paste Here'!$D115,"")</f>
        <v/>
      </c>
      <c r="J121" s="27" t="str">
        <f>IF('Paste Here'!$E115&lt;&gt;"",'Paste Here'!$E115,"")</f>
        <v/>
      </c>
      <c r="K121" s="16" t="str">
        <f>IF('Paste Here'!$F115&lt;&gt;"",'Paste Here'!$F115,"")</f>
        <v/>
      </c>
      <c r="L121" s="16" t="str">
        <f>IF('Paste Here'!$G115&lt;&gt;"",'Paste Here'!$G115,"")</f>
        <v/>
      </c>
      <c r="M121" s="18" t="str">
        <f t="shared" si="3"/>
        <v/>
      </c>
    </row>
    <row r="122" spans="1:13" s="17" customFormat="1" x14ac:dyDescent="0.25">
      <c r="A122" s="16" t="str">
        <f>IF(URN&lt;&gt;"",_xll.mdValue("Resident",_xlnm.Database,$F122),"")</f>
        <v/>
      </c>
      <c r="B122" s="16" t="str">
        <f>IF(PersonId&lt;&gt;"",_xll.mdValue("Resident First Name",_xlnm.Database,$A$8),"")</f>
        <v/>
      </c>
      <c r="C122" s="16" t="str">
        <f>IF(PersonId&lt;&gt;"",_xll.mdValue("Resident Last Name",_xlnm.Database,$A$8),"")</f>
        <v/>
      </c>
      <c r="D122" s="16" t="str">
        <f>IF(PersonId&lt;&gt;"",_xll.mdValue("Person Accomodation Code",_xlnm.Database,$A122),"")</f>
        <v/>
      </c>
      <c r="E122" s="28" t="str">
        <f t="shared" si="2"/>
        <v/>
      </c>
      <c r="F122" s="16" t="str">
        <f>IF('Paste Here'!$A116&lt;&gt;"",'Paste Here'!$A116,"")</f>
        <v/>
      </c>
      <c r="G122" s="16" t="str">
        <f>IF('Paste Here'!$B116&lt;&gt;"",'Paste Here'!$B116,"")</f>
        <v/>
      </c>
      <c r="H122" s="16" t="str">
        <f>IF('Paste Here'!$C116&lt;&gt;"",'Paste Here'!$C116,"")</f>
        <v/>
      </c>
      <c r="I122" s="25" t="str">
        <f>IF('Paste Here'!$D116&lt;&gt;"",'Paste Here'!$D116,"")</f>
        <v/>
      </c>
      <c r="J122" s="27" t="str">
        <f>IF('Paste Here'!$E116&lt;&gt;"",'Paste Here'!$E116,"")</f>
        <v/>
      </c>
      <c r="K122" s="16" t="str">
        <f>IF('Paste Here'!$F116&lt;&gt;"",'Paste Here'!$F116,"")</f>
        <v/>
      </c>
      <c r="L122" s="16" t="str">
        <f>IF('Paste Here'!$G116&lt;&gt;"",'Paste Here'!$G116,"")</f>
        <v/>
      </c>
      <c r="M122" s="18" t="str">
        <f t="shared" si="3"/>
        <v/>
      </c>
    </row>
    <row r="123" spans="1:13" s="17" customFormat="1" x14ac:dyDescent="0.25">
      <c r="A123" s="16" t="str">
        <f>IF(URN&lt;&gt;"",_xll.mdValue("Resident",_xlnm.Database,$F123),"")</f>
        <v/>
      </c>
      <c r="B123" s="16" t="str">
        <f>IF(PersonId&lt;&gt;"",_xll.mdValue("Resident First Name",_xlnm.Database,$A$8),"")</f>
        <v/>
      </c>
      <c r="C123" s="16" t="str">
        <f>IF(PersonId&lt;&gt;"",_xll.mdValue("Resident Last Name",_xlnm.Database,$A$8),"")</f>
        <v/>
      </c>
      <c r="D123" s="16" t="str">
        <f>IF(PersonId&lt;&gt;"",_xll.mdValue("Person Accomodation Code",_xlnm.Database,$A123),"")</f>
        <v/>
      </c>
      <c r="E123" s="28" t="str">
        <f t="shared" si="2"/>
        <v/>
      </c>
      <c r="F123" s="16" t="str">
        <f>IF('Paste Here'!$A117&lt;&gt;"",'Paste Here'!$A117,"")</f>
        <v/>
      </c>
      <c r="G123" s="16" t="str">
        <f>IF('Paste Here'!$B117&lt;&gt;"",'Paste Here'!$B117,"")</f>
        <v/>
      </c>
      <c r="H123" s="16" t="str">
        <f>IF('Paste Here'!$C117&lt;&gt;"",'Paste Here'!$C117,"")</f>
        <v/>
      </c>
      <c r="I123" s="25" t="str">
        <f>IF('Paste Here'!$D117&lt;&gt;"",'Paste Here'!$D117,"")</f>
        <v/>
      </c>
      <c r="J123" s="27" t="str">
        <f>IF('Paste Here'!$E117&lt;&gt;"",'Paste Here'!$E117,"")</f>
        <v/>
      </c>
      <c r="K123" s="16" t="str">
        <f>IF('Paste Here'!$F117&lt;&gt;"",'Paste Here'!$F117,"")</f>
        <v/>
      </c>
      <c r="L123" s="16" t="str">
        <f>IF('Paste Here'!$G117&lt;&gt;"",'Paste Here'!$G117,"")</f>
        <v/>
      </c>
      <c r="M123" s="18" t="str">
        <f t="shared" si="3"/>
        <v/>
      </c>
    </row>
    <row r="124" spans="1:13" s="17" customFormat="1" x14ac:dyDescent="0.25">
      <c r="A124" s="16" t="str">
        <f>IF(URN&lt;&gt;"",_xll.mdValue("Resident",_xlnm.Database,$F124),"")</f>
        <v/>
      </c>
      <c r="B124" s="16" t="str">
        <f>IF(PersonId&lt;&gt;"",_xll.mdValue("Resident First Name",_xlnm.Database,$A$8),"")</f>
        <v/>
      </c>
      <c r="C124" s="16" t="str">
        <f>IF(PersonId&lt;&gt;"",_xll.mdValue("Resident Last Name",_xlnm.Database,$A$8),"")</f>
        <v/>
      </c>
      <c r="D124" s="16" t="str">
        <f>IF(PersonId&lt;&gt;"",_xll.mdValue("Person Accomodation Code",_xlnm.Database,$A124),"")</f>
        <v/>
      </c>
      <c r="E124" s="28" t="str">
        <f t="shared" si="2"/>
        <v/>
      </c>
      <c r="F124" s="16" t="str">
        <f>IF('Paste Here'!$A118&lt;&gt;"",'Paste Here'!$A118,"")</f>
        <v/>
      </c>
      <c r="G124" s="16" t="str">
        <f>IF('Paste Here'!$B118&lt;&gt;"",'Paste Here'!$B118,"")</f>
        <v/>
      </c>
      <c r="H124" s="16" t="str">
        <f>IF('Paste Here'!$C118&lt;&gt;"",'Paste Here'!$C118,"")</f>
        <v/>
      </c>
      <c r="I124" s="25" t="str">
        <f>IF('Paste Here'!$D118&lt;&gt;"",'Paste Here'!$D118,"")</f>
        <v/>
      </c>
      <c r="J124" s="27" t="str">
        <f>IF('Paste Here'!$E118&lt;&gt;"",'Paste Here'!$E118,"")</f>
        <v/>
      </c>
      <c r="K124" s="16" t="str">
        <f>IF('Paste Here'!$F118&lt;&gt;"",'Paste Here'!$F118,"")</f>
        <v/>
      </c>
      <c r="L124" s="16" t="str">
        <f>IF('Paste Here'!$G118&lt;&gt;"",'Paste Here'!$G118,"")</f>
        <v/>
      </c>
      <c r="M124" s="18" t="str">
        <f t="shared" si="3"/>
        <v/>
      </c>
    </row>
    <row r="125" spans="1:13" s="17" customFormat="1" x14ac:dyDescent="0.25">
      <c r="A125" s="16" t="str">
        <f>IF(URN&lt;&gt;"",_xll.mdValue("Resident",_xlnm.Database,$F125),"")</f>
        <v/>
      </c>
      <c r="B125" s="16" t="str">
        <f>IF(PersonId&lt;&gt;"",_xll.mdValue("Resident First Name",_xlnm.Database,$A$8),"")</f>
        <v/>
      </c>
      <c r="C125" s="16" t="str">
        <f>IF(PersonId&lt;&gt;"",_xll.mdValue("Resident Last Name",_xlnm.Database,$A$8),"")</f>
        <v/>
      </c>
      <c r="D125" s="16" t="str">
        <f>IF(PersonId&lt;&gt;"",_xll.mdValue("Person Accomodation Code",_xlnm.Database,$A125),"")</f>
        <v/>
      </c>
      <c r="E125" s="28" t="str">
        <f t="shared" si="2"/>
        <v/>
      </c>
      <c r="F125" s="16" t="str">
        <f>IF('Paste Here'!$A119&lt;&gt;"",'Paste Here'!$A119,"")</f>
        <v/>
      </c>
      <c r="G125" s="16" t="str">
        <f>IF('Paste Here'!$B119&lt;&gt;"",'Paste Here'!$B119,"")</f>
        <v/>
      </c>
      <c r="H125" s="16" t="str">
        <f>IF('Paste Here'!$C119&lt;&gt;"",'Paste Here'!$C119,"")</f>
        <v/>
      </c>
      <c r="I125" s="25" t="str">
        <f>IF('Paste Here'!$D119&lt;&gt;"",'Paste Here'!$D119,"")</f>
        <v/>
      </c>
      <c r="J125" s="27" t="str">
        <f>IF('Paste Here'!$E119&lt;&gt;"",'Paste Here'!$E119,"")</f>
        <v/>
      </c>
      <c r="K125" s="16" t="str">
        <f>IF('Paste Here'!$F119&lt;&gt;"",'Paste Here'!$F119,"")</f>
        <v/>
      </c>
      <c r="L125" s="16" t="str">
        <f>IF('Paste Here'!$G119&lt;&gt;"",'Paste Here'!$G119,"")</f>
        <v/>
      </c>
      <c r="M125" s="18" t="str">
        <f t="shared" si="3"/>
        <v/>
      </c>
    </row>
    <row r="126" spans="1:13" s="17" customFormat="1" x14ac:dyDescent="0.25">
      <c r="A126" s="16" t="str">
        <f>IF(URN&lt;&gt;"",_xll.mdValue("Resident",_xlnm.Database,$F126),"")</f>
        <v/>
      </c>
      <c r="B126" s="16" t="str">
        <f>IF(PersonId&lt;&gt;"",_xll.mdValue("Resident First Name",_xlnm.Database,$A$8),"")</f>
        <v/>
      </c>
      <c r="C126" s="16" t="str">
        <f>IF(PersonId&lt;&gt;"",_xll.mdValue("Resident Last Name",_xlnm.Database,$A$8),"")</f>
        <v/>
      </c>
      <c r="D126" s="16" t="str">
        <f>IF(PersonId&lt;&gt;"",_xll.mdValue("Person Accomodation Code",_xlnm.Database,$A126),"")</f>
        <v/>
      </c>
      <c r="E126" s="28" t="str">
        <f t="shared" si="2"/>
        <v/>
      </c>
      <c r="F126" s="16" t="str">
        <f>IF('Paste Here'!$A120&lt;&gt;"",'Paste Here'!$A120,"")</f>
        <v/>
      </c>
      <c r="G126" s="16" t="str">
        <f>IF('Paste Here'!$B120&lt;&gt;"",'Paste Here'!$B120,"")</f>
        <v/>
      </c>
      <c r="H126" s="16" t="str">
        <f>IF('Paste Here'!$C120&lt;&gt;"",'Paste Here'!$C120,"")</f>
        <v/>
      </c>
      <c r="I126" s="25" t="str">
        <f>IF('Paste Here'!$D120&lt;&gt;"",'Paste Here'!$D120,"")</f>
        <v/>
      </c>
      <c r="J126" s="27" t="str">
        <f>IF('Paste Here'!$E120&lt;&gt;"",'Paste Here'!$E120,"")</f>
        <v/>
      </c>
      <c r="K126" s="16" t="str">
        <f>IF('Paste Here'!$F120&lt;&gt;"",'Paste Here'!$F120,"")</f>
        <v/>
      </c>
      <c r="L126" s="16" t="str">
        <f>IF('Paste Here'!$G120&lt;&gt;"",'Paste Here'!$G120,"")</f>
        <v/>
      </c>
      <c r="M126" s="18" t="str">
        <f t="shared" si="3"/>
        <v/>
      </c>
    </row>
    <row r="127" spans="1:13" s="17" customFormat="1" x14ac:dyDescent="0.25">
      <c r="A127" s="16" t="str">
        <f>IF(URN&lt;&gt;"",_xll.mdValue("Resident",_xlnm.Database,$F127),"")</f>
        <v/>
      </c>
      <c r="B127" s="16" t="str">
        <f>IF(PersonId&lt;&gt;"",_xll.mdValue("Resident First Name",_xlnm.Database,$A$8),"")</f>
        <v/>
      </c>
      <c r="C127" s="16" t="str">
        <f>IF(PersonId&lt;&gt;"",_xll.mdValue("Resident Last Name",_xlnm.Database,$A$8),"")</f>
        <v/>
      </c>
      <c r="D127" s="16" t="str">
        <f>IF(PersonId&lt;&gt;"",_xll.mdValue("Person Accomodation Code",_xlnm.Database,$A127),"")</f>
        <v/>
      </c>
      <c r="E127" s="28" t="str">
        <f t="shared" si="2"/>
        <v/>
      </c>
      <c r="F127" s="16" t="str">
        <f>IF('Paste Here'!$A121&lt;&gt;"",'Paste Here'!$A121,"")</f>
        <v/>
      </c>
      <c r="G127" s="16" t="str">
        <f>IF('Paste Here'!$B121&lt;&gt;"",'Paste Here'!$B121,"")</f>
        <v/>
      </c>
      <c r="H127" s="16" t="str">
        <f>IF('Paste Here'!$C121&lt;&gt;"",'Paste Here'!$C121,"")</f>
        <v/>
      </c>
      <c r="I127" s="25" t="str">
        <f>IF('Paste Here'!$D121&lt;&gt;"",'Paste Here'!$D121,"")</f>
        <v/>
      </c>
      <c r="J127" s="27" t="str">
        <f>IF('Paste Here'!$E121&lt;&gt;"",'Paste Here'!$E121,"")</f>
        <v/>
      </c>
      <c r="K127" s="16" t="str">
        <f>IF('Paste Here'!$F121&lt;&gt;"",'Paste Here'!$F121,"")</f>
        <v/>
      </c>
      <c r="L127" s="16" t="str">
        <f>IF('Paste Here'!$G121&lt;&gt;"",'Paste Here'!$G121,"")</f>
        <v/>
      </c>
      <c r="M127" s="18" t="str">
        <f t="shared" si="3"/>
        <v/>
      </c>
    </row>
    <row r="128" spans="1:13" s="17" customFormat="1" x14ac:dyDescent="0.25">
      <c r="A128" s="16" t="str">
        <f>IF(URN&lt;&gt;"",_xll.mdValue("Resident",_xlnm.Database,$F128),"")</f>
        <v/>
      </c>
      <c r="B128" s="16" t="str">
        <f>IF(PersonId&lt;&gt;"",_xll.mdValue("Resident First Name",_xlnm.Database,$A$8),"")</f>
        <v/>
      </c>
      <c r="C128" s="16" t="str">
        <f>IF(PersonId&lt;&gt;"",_xll.mdValue("Resident Last Name",_xlnm.Database,$A$8),"")</f>
        <v/>
      </c>
      <c r="D128" s="16" t="str">
        <f>IF(PersonId&lt;&gt;"",_xll.mdValue("Person Accomodation Code",_xlnm.Database,$A128),"")</f>
        <v/>
      </c>
      <c r="E128" s="28" t="str">
        <f t="shared" si="2"/>
        <v/>
      </c>
      <c r="F128" s="16" t="str">
        <f>IF('Paste Here'!$A122&lt;&gt;"",'Paste Here'!$A122,"")</f>
        <v/>
      </c>
      <c r="G128" s="16" t="str">
        <f>IF('Paste Here'!$B122&lt;&gt;"",'Paste Here'!$B122,"")</f>
        <v/>
      </c>
      <c r="H128" s="16" t="str">
        <f>IF('Paste Here'!$C122&lt;&gt;"",'Paste Here'!$C122,"")</f>
        <v/>
      </c>
      <c r="I128" s="25" t="str">
        <f>IF('Paste Here'!$D122&lt;&gt;"",'Paste Here'!$D122,"")</f>
        <v/>
      </c>
      <c r="J128" s="27" t="str">
        <f>IF('Paste Here'!$E122&lt;&gt;"",'Paste Here'!$E122,"")</f>
        <v/>
      </c>
      <c r="K128" s="16" t="str">
        <f>IF('Paste Here'!$F122&lt;&gt;"",'Paste Here'!$F122,"")</f>
        <v/>
      </c>
      <c r="L128" s="16" t="str">
        <f>IF('Paste Here'!$G122&lt;&gt;"",'Paste Here'!$G122,"")</f>
        <v/>
      </c>
      <c r="M128" s="18" t="str">
        <f t="shared" si="3"/>
        <v/>
      </c>
    </row>
    <row r="129" spans="1:13" s="17" customFormat="1" x14ac:dyDescent="0.25">
      <c r="A129" s="16" t="str">
        <f>IF(URN&lt;&gt;"",_xll.mdValue("Resident",_xlnm.Database,$F129),"")</f>
        <v/>
      </c>
      <c r="B129" s="16" t="str">
        <f>IF(PersonId&lt;&gt;"",_xll.mdValue("Resident First Name",_xlnm.Database,$A$8),"")</f>
        <v/>
      </c>
      <c r="C129" s="16" t="str">
        <f>IF(PersonId&lt;&gt;"",_xll.mdValue("Resident Last Name",_xlnm.Database,$A$8),"")</f>
        <v/>
      </c>
      <c r="D129" s="16" t="str">
        <f>IF(PersonId&lt;&gt;"",_xll.mdValue("Person Accomodation Code",_xlnm.Database,$A129),"")</f>
        <v/>
      </c>
      <c r="E129" s="28" t="str">
        <f t="shared" si="2"/>
        <v/>
      </c>
      <c r="F129" s="16" t="str">
        <f>IF('Paste Here'!$A123&lt;&gt;"",'Paste Here'!$A123,"")</f>
        <v/>
      </c>
      <c r="G129" s="16" t="str">
        <f>IF('Paste Here'!$B123&lt;&gt;"",'Paste Here'!$B123,"")</f>
        <v/>
      </c>
      <c r="H129" s="16" t="str">
        <f>IF('Paste Here'!$C123&lt;&gt;"",'Paste Here'!$C123,"")</f>
        <v/>
      </c>
      <c r="I129" s="25" t="str">
        <f>IF('Paste Here'!$D123&lt;&gt;"",'Paste Here'!$D123,"")</f>
        <v/>
      </c>
      <c r="J129" s="27" t="str">
        <f>IF('Paste Here'!$E123&lt;&gt;"",'Paste Here'!$E123,"")</f>
        <v/>
      </c>
      <c r="K129" s="16" t="str">
        <f>IF('Paste Here'!$F123&lt;&gt;"",'Paste Here'!$F123,"")</f>
        <v/>
      </c>
      <c r="L129" s="16" t="str">
        <f>IF('Paste Here'!$G123&lt;&gt;"",'Paste Here'!$G123,"")</f>
        <v/>
      </c>
      <c r="M129" s="18" t="str">
        <f t="shared" si="3"/>
        <v/>
      </c>
    </row>
    <row r="130" spans="1:13" s="17" customFormat="1" x14ac:dyDescent="0.25">
      <c r="A130" s="16" t="str">
        <f>IF(URN&lt;&gt;"",_xll.mdValue("Resident",_xlnm.Database,$F130),"")</f>
        <v/>
      </c>
      <c r="B130" s="16" t="str">
        <f>IF(PersonId&lt;&gt;"",_xll.mdValue("Resident First Name",_xlnm.Database,$A$8),"")</f>
        <v/>
      </c>
      <c r="C130" s="16" t="str">
        <f>IF(PersonId&lt;&gt;"",_xll.mdValue("Resident Last Name",_xlnm.Database,$A$8),"")</f>
        <v/>
      </c>
      <c r="D130" s="16" t="str">
        <f>IF(PersonId&lt;&gt;"",_xll.mdValue("Person Accomodation Code",_xlnm.Database,$A130),"")</f>
        <v/>
      </c>
      <c r="E130" s="28" t="str">
        <f t="shared" si="2"/>
        <v/>
      </c>
      <c r="F130" s="16" t="str">
        <f>IF('Paste Here'!$A124&lt;&gt;"",'Paste Here'!$A124,"")</f>
        <v/>
      </c>
      <c r="G130" s="16" t="str">
        <f>IF('Paste Here'!$B124&lt;&gt;"",'Paste Here'!$B124,"")</f>
        <v/>
      </c>
      <c r="H130" s="16" t="str">
        <f>IF('Paste Here'!$C124&lt;&gt;"",'Paste Here'!$C124,"")</f>
        <v/>
      </c>
      <c r="I130" s="25" t="str">
        <f>IF('Paste Here'!$D124&lt;&gt;"",'Paste Here'!$D124,"")</f>
        <v/>
      </c>
      <c r="J130" s="27" t="str">
        <f>IF('Paste Here'!$E124&lt;&gt;"",'Paste Here'!$E124,"")</f>
        <v/>
      </c>
      <c r="K130" s="16" t="str">
        <f>IF('Paste Here'!$F124&lt;&gt;"",'Paste Here'!$F124,"")</f>
        <v/>
      </c>
      <c r="L130" s="16" t="str">
        <f>IF('Paste Here'!$G124&lt;&gt;"",'Paste Here'!$G124,"")</f>
        <v/>
      </c>
      <c r="M130" s="18" t="str">
        <f t="shared" si="3"/>
        <v/>
      </c>
    </row>
    <row r="131" spans="1:13" s="17" customFormat="1" x14ac:dyDescent="0.25">
      <c r="A131" s="16" t="str">
        <f>IF(URN&lt;&gt;"",_xll.mdValue("Resident",_xlnm.Database,$F131),"")</f>
        <v/>
      </c>
      <c r="B131" s="16" t="str">
        <f>IF(PersonId&lt;&gt;"",_xll.mdValue("Resident First Name",_xlnm.Database,$A$8),"")</f>
        <v/>
      </c>
      <c r="C131" s="16" t="str">
        <f>IF(PersonId&lt;&gt;"",_xll.mdValue("Resident Last Name",_xlnm.Database,$A$8),"")</f>
        <v/>
      </c>
      <c r="D131" s="16" t="str">
        <f>IF(PersonId&lt;&gt;"",_xll.mdValue("Person Accomodation Code",_xlnm.Database,$A131),"")</f>
        <v/>
      </c>
      <c r="E131" s="28" t="str">
        <f t="shared" si="2"/>
        <v/>
      </c>
      <c r="F131" s="16" t="str">
        <f>IF('Paste Here'!$A125&lt;&gt;"",'Paste Here'!$A125,"")</f>
        <v/>
      </c>
      <c r="G131" s="16" t="str">
        <f>IF('Paste Here'!$B125&lt;&gt;"",'Paste Here'!$B125,"")</f>
        <v/>
      </c>
      <c r="H131" s="16" t="str">
        <f>IF('Paste Here'!$C125&lt;&gt;"",'Paste Here'!$C125,"")</f>
        <v/>
      </c>
      <c r="I131" s="25" t="str">
        <f>IF('Paste Here'!$D125&lt;&gt;"",'Paste Here'!$D125,"")</f>
        <v/>
      </c>
      <c r="J131" s="27" t="str">
        <f>IF('Paste Here'!$E125&lt;&gt;"",'Paste Here'!$E125,"")</f>
        <v/>
      </c>
      <c r="K131" s="16" t="str">
        <f>IF('Paste Here'!$F125&lt;&gt;"",'Paste Here'!$F125,"")</f>
        <v/>
      </c>
      <c r="L131" s="16" t="str">
        <f>IF('Paste Here'!$G125&lt;&gt;"",'Paste Here'!$G125,"")</f>
        <v/>
      </c>
      <c r="M131" s="18" t="str">
        <f t="shared" si="3"/>
        <v/>
      </c>
    </row>
    <row r="132" spans="1:13" s="17" customFormat="1" x14ac:dyDescent="0.25">
      <c r="A132" s="16" t="str">
        <f>IF(URN&lt;&gt;"",_xll.mdValue("Resident",_xlnm.Database,$F132),"")</f>
        <v/>
      </c>
      <c r="B132" s="16" t="str">
        <f>IF(PersonId&lt;&gt;"",_xll.mdValue("Resident First Name",_xlnm.Database,$A$8),"")</f>
        <v/>
      </c>
      <c r="C132" s="16" t="str">
        <f>IF(PersonId&lt;&gt;"",_xll.mdValue("Resident Last Name",_xlnm.Database,$A$8),"")</f>
        <v/>
      </c>
      <c r="D132" s="16" t="str">
        <f>IF(PersonId&lt;&gt;"",_xll.mdValue("Person Accomodation Code",_xlnm.Database,$A132),"")</f>
        <v/>
      </c>
      <c r="E132" s="28" t="str">
        <f t="shared" si="2"/>
        <v/>
      </c>
      <c r="F132" s="16" t="str">
        <f>IF('Paste Here'!$A126&lt;&gt;"",'Paste Here'!$A126,"")</f>
        <v/>
      </c>
      <c r="G132" s="16" t="str">
        <f>IF('Paste Here'!$B126&lt;&gt;"",'Paste Here'!$B126,"")</f>
        <v/>
      </c>
      <c r="H132" s="16" t="str">
        <f>IF('Paste Here'!$C126&lt;&gt;"",'Paste Here'!$C126,"")</f>
        <v/>
      </c>
      <c r="I132" s="25" t="str">
        <f>IF('Paste Here'!$D126&lt;&gt;"",'Paste Here'!$D126,"")</f>
        <v/>
      </c>
      <c r="J132" s="27" t="str">
        <f>IF('Paste Here'!$E126&lt;&gt;"",'Paste Here'!$E126,"")</f>
        <v/>
      </c>
      <c r="K132" s="16" t="str">
        <f>IF('Paste Here'!$F126&lt;&gt;"",'Paste Here'!$F126,"")</f>
        <v/>
      </c>
      <c r="L132" s="16" t="str">
        <f>IF('Paste Here'!$G126&lt;&gt;"",'Paste Here'!$G126,"")</f>
        <v/>
      </c>
      <c r="M132" s="18" t="str">
        <f t="shared" si="3"/>
        <v/>
      </c>
    </row>
    <row r="133" spans="1:13" s="17" customFormat="1" x14ac:dyDescent="0.25">
      <c r="A133" s="16" t="str">
        <f>IF(URN&lt;&gt;"",_xll.mdValue("Resident",_xlnm.Database,$F133),"")</f>
        <v/>
      </c>
      <c r="B133" s="16" t="str">
        <f>IF(PersonId&lt;&gt;"",_xll.mdValue("Resident First Name",_xlnm.Database,$A$8),"")</f>
        <v/>
      </c>
      <c r="C133" s="16" t="str">
        <f>IF(PersonId&lt;&gt;"",_xll.mdValue("Resident Last Name",_xlnm.Database,$A$8),"")</f>
        <v/>
      </c>
      <c r="D133" s="16" t="str">
        <f>IF(PersonId&lt;&gt;"",_xll.mdValue("Person Accomodation Code",_xlnm.Database,$A133),"")</f>
        <v/>
      </c>
      <c r="E133" s="28" t="str">
        <f t="shared" si="2"/>
        <v/>
      </c>
      <c r="F133" s="16" t="str">
        <f>IF('Paste Here'!$A127&lt;&gt;"",'Paste Here'!$A127,"")</f>
        <v/>
      </c>
      <c r="G133" s="16" t="str">
        <f>IF('Paste Here'!$B127&lt;&gt;"",'Paste Here'!$B127,"")</f>
        <v/>
      </c>
      <c r="H133" s="16" t="str">
        <f>IF('Paste Here'!$C127&lt;&gt;"",'Paste Here'!$C127,"")</f>
        <v/>
      </c>
      <c r="I133" s="25" t="str">
        <f>IF('Paste Here'!$D127&lt;&gt;"",'Paste Here'!$D127,"")</f>
        <v/>
      </c>
      <c r="J133" s="27" t="str">
        <f>IF('Paste Here'!$E127&lt;&gt;"",'Paste Here'!$E127,"")</f>
        <v/>
      </c>
      <c r="K133" s="16" t="str">
        <f>IF('Paste Here'!$F127&lt;&gt;"",'Paste Here'!$F127,"")</f>
        <v/>
      </c>
      <c r="L133" s="16" t="str">
        <f>IF('Paste Here'!$G127&lt;&gt;"",'Paste Here'!$G127,"")</f>
        <v/>
      </c>
      <c r="M133" s="18" t="str">
        <f t="shared" si="3"/>
        <v/>
      </c>
    </row>
    <row r="134" spans="1:13" s="17" customFormat="1" x14ac:dyDescent="0.25">
      <c r="A134" s="16" t="str">
        <f>IF(URN&lt;&gt;"",_xll.mdValue("Resident",_xlnm.Database,$F134),"")</f>
        <v/>
      </c>
      <c r="B134" s="16" t="str">
        <f>IF(PersonId&lt;&gt;"",_xll.mdValue("Resident First Name",_xlnm.Database,$A$8),"")</f>
        <v/>
      </c>
      <c r="C134" s="16" t="str">
        <f>IF(PersonId&lt;&gt;"",_xll.mdValue("Resident Last Name",_xlnm.Database,$A$8),"")</f>
        <v/>
      </c>
      <c r="D134" s="16" t="str">
        <f>IF(PersonId&lt;&gt;"",_xll.mdValue("Person Accomodation Code",_xlnm.Database,$A134),"")</f>
        <v/>
      </c>
      <c r="E134" s="28" t="str">
        <f t="shared" si="2"/>
        <v/>
      </c>
      <c r="F134" s="16" t="str">
        <f>IF('Paste Here'!$A128&lt;&gt;"",'Paste Here'!$A128,"")</f>
        <v/>
      </c>
      <c r="G134" s="16" t="str">
        <f>IF('Paste Here'!$B128&lt;&gt;"",'Paste Here'!$B128,"")</f>
        <v/>
      </c>
      <c r="H134" s="16" t="str">
        <f>IF('Paste Here'!$C128&lt;&gt;"",'Paste Here'!$C128,"")</f>
        <v/>
      </c>
      <c r="I134" s="25" t="str">
        <f>IF('Paste Here'!$D128&lt;&gt;"",'Paste Here'!$D128,"")</f>
        <v/>
      </c>
      <c r="J134" s="27" t="str">
        <f>IF('Paste Here'!$E128&lt;&gt;"",'Paste Here'!$E128,"")</f>
        <v/>
      </c>
      <c r="K134" s="16" t="str">
        <f>IF('Paste Here'!$F128&lt;&gt;"",'Paste Here'!$F128,"")</f>
        <v/>
      </c>
      <c r="L134" s="16" t="str">
        <f>IF('Paste Here'!$G128&lt;&gt;"",'Paste Here'!$G128,"")</f>
        <v/>
      </c>
      <c r="M134" s="18" t="str">
        <f t="shared" si="3"/>
        <v/>
      </c>
    </row>
    <row r="135" spans="1:13" s="17" customFormat="1" x14ac:dyDescent="0.25">
      <c r="A135" s="16" t="str">
        <f>IF(URN&lt;&gt;"",_xll.mdValue("Resident",_xlnm.Database,$F135),"")</f>
        <v/>
      </c>
      <c r="B135" s="16" t="str">
        <f>IF(PersonId&lt;&gt;"",_xll.mdValue("Resident First Name",_xlnm.Database,$A$8),"")</f>
        <v/>
      </c>
      <c r="C135" s="16" t="str">
        <f>IF(PersonId&lt;&gt;"",_xll.mdValue("Resident Last Name",_xlnm.Database,$A$8),"")</f>
        <v/>
      </c>
      <c r="D135" s="16" t="str">
        <f>IF(PersonId&lt;&gt;"",_xll.mdValue("Person Accomodation Code",_xlnm.Database,$A135),"")</f>
        <v/>
      </c>
      <c r="E135" s="28" t="str">
        <f t="shared" si="2"/>
        <v/>
      </c>
      <c r="F135" s="16" t="str">
        <f>IF('Paste Here'!$A129&lt;&gt;"",'Paste Here'!$A129,"")</f>
        <v/>
      </c>
      <c r="G135" s="16" t="str">
        <f>IF('Paste Here'!$B129&lt;&gt;"",'Paste Here'!$B129,"")</f>
        <v/>
      </c>
      <c r="H135" s="16" t="str">
        <f>IF('Paste Here'!$C129&lt;&gt;"",'Paste Here'!$C129,"")</f>
        <v/>
      </c>
      <c r="I135" s="25" t="str">
        <f>IF('Paste Here'!$D129&lt;&gt;"",'Paste Here'!$D129,"")</f>
        <v/>
      </c>
      <c r="J135" s="27" t="str">
        <f>IF('Paste Here'!$E129&lt;&gt;"",'Paste Here'!$E129,"")</f>
        <v/>
      </c>
      <c r="K135" s="16" t="str">
        <f>IF('Paste Here'!$F129&lt;&gt;"",'Paste Here'!$F129,"")</f>
        <v/>
      </c>
      <c r="L135" s="16" t="str">
        <f>IF('Paste Here'!$G129&lt;&gt;"",'Paste Here'!$G129,"")</f>
        <v/>
      </c>
      <c r="M135" s="18" t="str">
        <f t="shared" si="3"/>
        <v/>
      </c>
    </row>
    <row r="136" spans="1:13" s="17" customFormat="1" x14ac:dyDescent="0.25">
      <c r="A136" s="16" t="str">
        <f>IF(URN&lt;&gt;"",_xll.mdValue("Resident",_xlnm.Database,$F136),"")</f>
        <v/>
      </c>
      <c r="B136" s="16" t="str">
        <f>IF(PersonId&lt;&gt;"",_xll.mdValue("Resident First Name",_xlnm.Database,$A$8),"")</f>
        <v/>
      </c>
      <c r="C136" s="16" t="str">
        <f>IF(PersonId&lt;&gt;"",_xll.mdValue("Resident Last Name",_xlnm.Database,$A$8),"")</f>
        <v/>
      </c>
      <c r="D136" s="16" t="str">
        <f>IF(PersonId&lt;&gt;"",_xll.mdValue("Person Accomodation Code",_xlnm.Database,$A136),"")</f>
        <v/>
      </c>
      <c r="E136" s="28" t="str">
        <f t="shared" ref="E136:E199" si="4">IF(ClientCare_Accommodation&lt;&gt;"",IF(ClientCare_Accommodation&lt;&gt;AccommodationCode,"Missing Accommodation",""),"")</f>
        <v/>
      </c>
      <c r="F136" s="16" t="str">
        <f>IF('Paste Here'!$A130&lt;&gt;"",'Paste Here'!$A130,"")</f>
        <v/>
      </c>
      <c r="G136" s="16" t="str">
        <f>IF('Paste Here'!$B130&lt;&gt;"",'Paste Here'!$B130,"")</f>
        <v/>
      </c>
      <c r="H136" s="16" t="str">
        <f>IF('Paste Here'!$C130&lt;&gt;"",'Paste Here'!$C130,"")</f>
        <v/>
      </c>
      <c r="I136" s="25" t="str">
        <f>IF('Paste Here'!$D130&lt;&gt;"",'Paste Here'!$D130,"")</f>
        <v/>
      </c>
      <c r="J136" s="27" t="str">
        <f>IF('Paste Here'!$E130&lt;&gt;"",'Paste Here'!$E130,"")</f>
        <v/>
      </c>
      <c r="K136" s="16" t="str">
        <f>IF('Paste Here'!$F130&lt;&gt;"",'Paste Here'!$F130,"")</f>
        <v/>
      </c>
      <c r="L136" s="16" t="str">
        <f>IF('Paste Here'!$G130&lt;&gt;"",'Paste Here'!$G130,"")</f>
        <v/>
      </c>
      <c r="M136" s="18" t="str">
        <f t="shared" ref="M136:M199" si="5">IF(PersonId&lt;&gt;"","Normal","")</f>
        <v/>
      </c>
    </row>
    <row r="137" spans="1:13" s="17" customFormat="1" x14ac:dyDescent="0.25">
      <c r="A137" s="16" t="str">
        <f>IF(URN&lt;&gt;"",_xll.mdValue("Resident",_xlnm.Database,$F137),"")</f>
        <v/>
      </c>
      <c r="B137" s="16" t="str">
        <f>IF(PersonId&lt;&gt;"",_xll.mdValue("Resident First Name",_xlnm.Database,$A$8),"")</f>
        <v/>
      </c>
      <c r="C137" s="16" t="str">
        <f>IF(PersonId&lt;&gt;"",_xll.mdValue("Resident Last Name",_xlnm.Database,$A$8),"")</f>
        <v/>
      </c>
      <c r="D137" s="16" t="str">
        <f>IF(PersonId&lt;&gt;"",_xll.mdValue("Person Accomodation Code",_xlnm.Database,$A137),"")</f>
        <v/>
      </c>
      <c r="E137" s="28" t="str">
        <f t="shared" si="4"/>
        <v/>
      </c>
      <c r="F137" s="16" t="str">
        <f>IF('Paste Here'!$A131&lt;&gt;"",'Paste Here'!$A131,"")</f>
        <v/>
      </c>
      <c r="G137" s="16" t="str">
        <f>IF('Paste Here'!$B131&lt;&gt;"",'Paste Here'!$B131,"")</f>
        <v/>
      </c>
      <c r="H137" s="16" t="str">
        <f>IF('Paste Here'!$C131&lt;&gt;"",'Paste Here'!$C131,"")</f>
        <v/>
      </c>
      <c r="I137" s="25" t="str">
        <f>IF('Paste Here'!$D131&lt;&gt;"",'Paste Here'!$D131,"")</f>
        <v/>
      </c>
      <c r="J137" s="27" t="str">
        <f>IF('Paste Here'!$E131&lt;&gt;"",'Paste Here'!$E131,"")</f>
        <v/>
      </c>
      <c r="K137" s="16" t="str">
        <f>IF('Paste Here'!$F131&lt;&gt;"",'Paste Here'!$F131,"")</f>
        <v/>
      </c>
      <c r="L137" s="16" t="str">
        <f>IF('Paste Here'!$G131&lt;&gt;"",'Paste Here'!$G131,"")</f>
        <v/>
      </c>
      <c r="M137" s="18" t="str">
        <f t="shared" si="5"/>
        <v/>
      </c>
    </row>
    <row r="138" spans="1:13" s="17" customFormat="1" x14ac:dyDescent="0.25">
      <c r="A138" s="16" t="str">
        <f>IF(URN&lt;&gt;"",_xll.mdValue("Resident",_xlnm.Database,$F138),"")</f>
        <v/>
      </c>
      <c r="B138" s="16" t="str">
        <f>IF(PersonId&lt;&gt;"",_xll.mdValue("Resident First Name",_xlnm.Database,$A$8),"")</f>
        <v/>
      </c>
      <c r="C138" s="16" t="str">
        <f>IF(PersonId&lt;&gt;"",_xll.mdValue("Resident Last Name",_xlnm.Database,$A$8),"")</f>
        <v/>
      </c>
      <c r="D138" s="16" t="str">
        <f>IF(PersonId&lt;&gt;"",_xll.mdValue("Person Accomodation Code",_xlnm.Database,$A138),"")</f>
        <v/>
      </c>
      <c r="E138" s="28" t="str">
        <f t="shared" si="4"/>
        <v/>
      </c>
      <c r="F138" s="16" t="str">
        <f>IF('Paste Here'!$A132&lt;&gt;"",'Paste Here'!$A132,"")</f>
        <v/>
      </c>
      <c r="G138" s="16" t="str">
        <f>IF('Paste Here'!$B132&lt;&gt;"",'Paste Here'!$B132,"")</f>
        <v/>
      </c>
      <c r="H138" s="16" t="str">
        <f>IF('Paste Here'!$C132&lt;&gt;"",'Paste Here'!$C132,"")</f>
        <v/>
      </c>
      <c r="I138" s="25" t="str">
        <f>IF('Paste Here'!$D132&lt;&gt;"",'Paste Here'!$D132,"")</f>
        <v/>
      </c>
      <c r="J138" s="27" t="str">
        <f>IF('Paste Here'!$E132&lt;&gt;"",'Paste Here'!$E132,"")</f>
        <v/>
      </c>
      <c r="K138" s="16" t="str">
        <f>IF('Paste Here'!$F132&lt;&gt;"",'Paste Here'!$F132,"")</f>
        <v/>
      </c>
      <c r="L138" s="16" t="str">
        <f>IF('Paste Here'!$G132&lt;&gt;"",'Paste Here'!$G132,"")</f>
        <v/>
      </c>
      <c r="M138" s="18" t="str">
        <f t="shared" si="5"/>
        <v/>
      </c>
    </row>
    <row r="139" spans="1:13" s="17" customFormat="1" x14ac:dyDescent="0.25">
      <c r="A139" s="16" t="str">
        <f>IF(URN&lt;&gt;"",_xll.mdValue("Resident",_xlnm.Database,$F139),"")</f>
        <v/>
      </c>
      <c r="B139" s="16" t="str">
        <f>IF(PersonId&lt;&gt;"",_xll.mdValue("Resident First Name",_xlnm.Database,$A$8),"")</f>
        <v/>
      </c>
      <c r="C139" s="16" t="str">
        <f>IF(PersonId&lt;&gt;"",_xll.mdValue("Resident Last Name",_xlnm.Database,$A$8),"")</f>
        <v/>
      </c>
      <c r="D139" s="16" t="str">
        <f>IF(PersonId&lt;&gt;"",_xll.mdValue("Person Accomodation Code",_xlnm.Database,$A139),"")</f>
        <v/>
      </c>
      <c r="E139" s="28" t="str">
        <f t="shared" si="4"/>
        <v/>
      </c>
      <c r="F139" s="16" t="str">
        <f>IF('Paste Here'!$A133&lt;&gt;"",'Paste Here'!$A133,"")</f>
        <v/>
      </c>
      <c r="G139" s="16" t="str">
        <f>IF('Paste Here'!$B133&lt;&gt;"",'Paste Here'!$B133,"")</f>
        <v/>
      </c>
      <c r="H139" s="16" t="str">
        <f>IF('Paste Here'!$C133&lt;&gt;"",'Paste Here'!$C133,"")</f>
        <v/>
      </c>
      <c r="I139" s="25" t="str">
        <f>IF('Paste Here'!$D133&lt;&gt;"",'Paste Here'!$D133,"")</f>
        <v/>
      </c>
      <c r="J139" s="27" t="str">
        <f>IF('Paste Here'!$E133&lt;&gt;"",'Paste Here'!$E133,"")</f>
        <v/>
      </c>
      <c r="K139" s="16" t="str">
        <f>IF('Paste Here'!$F133&lt;&gt;"",'Paste Here'!$F133,"")</f>
        <v/>
      </c>
      <c r="L139" s="16" t="str">
        <f>IF('Paste Here'!$G133&lt;&gt;"",'Paste Here'!$G133,"")</f>
        <v/>
      </c>
      <c r="M139" s="18" t="str">
        <f t="shared" si="5"/>
        <v/>
      </c>
    </row>
    <row r="140" spans="1:13" s="17" customFormat="1" x14ac:dyDescent="0.25">
      <c r="A140" s="16" t="str">
        <f>IF(URN&lt;&gt;"",_xll.mdValue("Resident",_xlnm.Database,$F140),"")</f>
        <v/>
      </c>
      <c r="B140" s="16" t="str">
        <f>IF(PersonId&lt;&gt;"",_xll.mdValue("Resident First Name",_xlnm.Database,$A$8),"")</f>
        <v/>
      </c>
      <c r="C140" s="16" t="str">
        <f>IF(PersonId&lt;&gt;"",_xll.mdValue("Resident Last Name",_xlnm.Database,$A$8),"")</f>
        <v/>
      </c>
      <c r="D140" s="16" t="str">
        <f>IF(PersonId&lt;&gt;"",_xll.mdValue("Person Accomodation Code",_xlnm.Database,$A140),"")</f>
        <v/>
      </c>
      <c r="E140" s="28" t="str">
        <f t="shared" si="4"/>
        <v/>
      </c>
      <c r="F140" s="16" t="str">
        <f>IF('Paste Here'!$A134&lt;&gt;"",'Paste Here'!$A134,"")</f>
        <v/>
      </c>
      <c r="G140" s="16" t="str">
        <f>IF('Paste Here'!$B134&lt;&gt;"",'Paste Here'!$B134,"")</f>
        <v/>
      </c>
      <c r="H140" s="16" t="str">
        <f>IF('Paste Here'!$C134&lt;&gt;"",'Paste Here'!$C134,"")</f>
        <v/>
      </c>
      <c r="I140" s="25" t="str">
        <f>IF('Paste Here'!$D134&lt;&gt;"",'Paste Here'!$D134,"")</f>
        <v/>
      </c>
      <c r="J140" s="27" t="str">
        <f>IF('Paste Here'!$E134&lt;&gt;"",'Paste Here'!$E134,"")</f>
        <v/>
      </c>
      <c r="K140" s="16" t="str">
        <f>IF('Paste Here'!$F134&lt;&gt;"",'Paste Here'!$F134,"")</f>
        <v/>
      </c>
      <c r="L140" s="16" t="str">
        <f>IF('Paste Here'!$G134&lt;&gt;"",'Paste Here'!$G134,"")</f>
        <v/>
      </c>
      <c r="M140" s="18" t="str">
        <f t="shared" si="5"/>
        <v/>
      </c>
    </row>
    <row r="141" spans="1:13" s="17" customFormat="1" x14ac:dyDescent="0.25">
      <c r="A141" s="16" t="str">
        <f>IF(URN&lt;&gt;"",_xll.mdValue("Resident",_xlnm.Database,$F141),"")</f>
        <v/>
      </c>
      <c r="B141" s="16" t="str">
        <f>IF(PersonId&lt;&gt;"",_xll.mdValue("Resident First Name",_xlnm.Database,$A$8),"")</f>
        <v/>
      </c>
      <c r="C141" s="16" t="str">
        <f>IF(PersonId&lt;&gt;"",_xll.mdValue("Resident Last Name",_xlnm.Database,$A$8),"")</f>
        <v/>
      </c>
      <c r="D141" s="16" t="str">
        <f>IF(PersonId&lt;&gt;"",_xll.mdValue("Person Accomodation Code",_xlnm.Database,$A141),"")</f>
        <v/>
      </c>
      <c r="E141" s="28" t="str">
        <f t="shared" si="4"/>
        <v/>
      </c>
      <c r="F141" s="16" t="str">
        <f>IF('Paste Here'!$A135&lt;&gt;"",'Paste Here'!$A135,"")</f>
        <v/>
      </c>
      <c r="G141" s="16" t="str">
        <f>IF('Paste Here'!$B135&lt;&gt;"",'Paste Here'!$B135,"")</f>
        <v/>
      </c>
      <c r="H141" s="16" t="str">
        <f>IF('Paste Here'!$C135&lt;&gt;"",'Paste Here'!$C135,"")</f>
        <v/>
      </c>
      <c r="I141" s="25" t="str">
        <f>IF('Paste Here'!$D135&lt;&gt;"",'Paste Here'!$D135,"")</f>
        <v/>
      </c>
      <c r="J141" s="27" t="str">
        <f>IF('Paste Here'!$E135&lt;&gt;"",'Paste Here'!$E135,"")</f>
        <v/>
      </c>
      <c r="K141" s="16" t="str">
        <f>IF('Paste Here'!$F135&lt;&gt;"",'Paste Here'!$F135,"")</f>
        <v/>
      </c>
      <c r="L141" s="16" t="str">
        <f>IF('Paste Here'!$G135&lt;&gt;"",'Paste Here'!$G135,"")</f>
        <v/>
      </c>
      <c r="M141" s="18" t="str">
        <f t="shared" si="5"/>
        <v/>
      </c>
    </row>
    <row r="142" spans="1:13" s="17" customFormat="1" x14ac:dyDescent="0.25">
      <c r="A142" s="16" t="str">
        <f>IF(URN&lt;&gt;"",_xll.mdValue("Resident",_xlnm.Database,$F142),"")</f>
        <v/>
      </c>
      <c r="B142" s="16" t="str">
        <f>IF(PersonId&lt;&gt;"",_xll.mdValue("Resident First Name",_xlnm.Database,$A$8),"")</f>
        <v/>
      </c>
      <c r="C142" s="16" t="str">
        <f>IF(PersonId&lt;&gt;"",_xll.mdValue("Resident Last Name",_xlnm.Database,$A$8),"")</f>
        <v/>
      </c>
      <c r="D142" s="16" t="str">
        <f>IF(PersonId&lt;&gt;"",_xll.mdValue("Person Accomodation Code",_xlnm.Database,$A142),"")</f>
        <v/>
      </c>
      <c r="E142" s="28" t="str">
        <f t="shared" si="4"/>
        <v/>
      </c>
      <c r="F142" s="16" t="str">
        <f>IF('Paste Here'!$A136&lt;&gt;"",'Paste Here'!$A136,"")</f>
        <v/>
      </c>
      <c r="G142" s="16" t="str">
        <f>IF('Paste Here'!$B136&lt;&gt;"",'Paste Here'!$B136,"")</f>
        <v/>
      </c>
      <c r="H142" s="16" t="str">
        <f>IF('Paste Here'!$C136&lt;&gt;"",'Paste Here'!$C136,"")</f>
        <v/>
      </c>
      <c r="I142" s="25" t="str">
        <f>IF('Paste Here'!$D136&lt;&gt;"",'Paste Here'!$D136,"")</f>
        <v/>
      </c>
      <c r="J142" s="27" t="str">
        <f>IF('Paste Here'!$E136&lt;&gt;"",'Paste Here'!$E136,"")</f>
        <v/>
      </c>
      <c r="K142" s="16" t="str">
        <f>IF('Paste Here'!$F136&lt;&gt;"",'Paste Here'!$F136,"")</f>
        <v/>
      </c>
      <c r="L142" s="16" t="str">
        <f>IF('Paste Here'!$G136&lt;&gt;"",'Paste Here'!$G136,"")</f>
        <v/>
      </c>
      <c r="M142" s="18" t="str">
        <f t="shared" si="5"/>
        <v/>
      </c>
    </row>
    <row r="143" spans="1:13" s="17" customFormat="1" x14ac:dyDescent="0.25">
      <c r="A143" s="16" t="str">
        <f>IF(URN&lt;&gt;"",_xll.mdValue("Resident",_xlnm.Database,$F143),"")</f>
        <v/>
      </c>
      <c r="B143" s="16" t="str">
        <f>IF(PersonId&lt;&gt;"",_xll.mdValue("Resident First Name",_xlnm.Database,$A$8),"")</f>
        <v/>
      </c>
      <c r="C143" s="16" t="str">
        <f>IF(PersonId&lt;&gt;"",_xll.mdValue("Resident Last Name",_xlnm.Database,$A$8),"")</f>
        <v/>
      </c>
      <c r="D143" s="16" t="str">
        <f>IF(PersonId&lt;&gt;"",_xll.mdValue("Person Accomodation Code",_xlnm.Database,$A143),"")</f>
        <v/>
      </c>
      <c r="E143" s="28" t="str">
        <f t="shared" si="4"/>
        <v/>
      </c>
      <c r="F143" s="16" t="str">
        <f>IF('Paste Here'!$A137&lt;&gt;"",'Paste Here'!$A137,"")</f>
        <v/>
      </c>
      <c r="G143" s="16" t="str">
        <f>IF('Paste Here'!$B137&lt;&gt;"",'Paste Here'!$B137,"")</f>
        <v/>
      </c>
      <c r="H143" s="16" t="str">
        <f>IF('Paste Here'!$C137&lt;&gt;"",'Paste Here'!$C137,"")</f>
        <v/>
      </c>
      <c r="I143" s="25" t="str">
        <f>IF('Paste Here'!$D137&lt;&gt;"",'Paste Here'!$D137,"")</f>
        <v/>
      </c>
      <c r="J143" s="27" t="str">
        <f>IF('Paste Here'!$E137&lt;&gt;"",'Paste Here'!$E137,"")</f>
        <v/>
      </c>
      <c r="K143" s="16" t="str">
        <f>IF('Paste Here'!$F137&lt;&gt;"",'Paste Here'!$F137,"")</f>
        <v/>
      </c>
      <c r="L143" s="16" t="str">
        <f>IF('Paste Here'!$G137&lt;&gt;"",'Paste Here'!$G137,"")</f>
        <v/>
      </c>
      <c r="M143" s="18" t="str">
        <f t="shared" si="5"/>
        <v/>
      </c>
    </row>
    <row r="144" spans="1:13" s="17" customFormat="1" x14ac:dyDescent="0.25">
      <c r="A144" s="16" t="str">
        <f>IF(URN&lt;&gt;"",_xll.mdValue("Resident",_xlnm.Database,$F144),"")</f>
        <v/>
      </c>
      <c r="B144" s="16" t="str">
        <f>IF(PersonId&lt;&gt;"",_xll.mdValue("Resident First Name",_xlnm.Database,$A$8),"")</f>
        <v/>
      </c>
      <c r="C144" s="16" t="str">
        <f>IF(PersonId&lt;&gt;"",_xll.mdValue("Resident Last Name",_xlnm.Database,$A$8),"")</f>
        <v/>
      </c>
      <c r="D144" s="16" t="str">
        <f>IF(PersonId&lt;&gt;"",_xll.mdValue("Person Accomodation Code",_xlnm.Database,$A144),"")</f>
        <v/>
      </c>
      <c r="E144" s="28" t="str">
        <f t="shared" si="4"/>
        <v/>
      </c>
      <c r="F144" s="16" t="str">
        <f>IF('Paste Here'!$A138&lt;&gt;"",'Paste Here'!$A138,"")</f>
        <v/>
      </c>
      <c r="G144" s="16" t="str">
        <f>IF('Paste Here'!$B138&lt;&gt;"",'Paste Here'!$B138,"")</f>
        <v/>
      </c>
      <c r="H144" s="16" t="str">
        <f>IF('Paste Here'!$C138&lt;&gt;"",'Paste Here'!$C138,"")</f>
        <v/>
      </c>
      <c r="I144" s="25" t="str">
        <f>IF('Paste Here'!$D138&lt;&gt;"",'Paste Here'!$D138,"")</f>
        <v/>
      </c>
      <c r="J144" s="27" t="str">
        <f>IF('Paste Here'!$E138&lt;&gt;"",'Paste Here'!$E138,"")</f>
        <v/>
      </c>
      <c r="K144" s="16" t="str">
        <f>IF('Paste Here'!$F138&lt;&gt;"",'Paste Here'!$F138,"")</f>
        <v/>
      </c>
      <c r="L144" s="16" t="str">
        <f>IF('Paste Here'!$G138&lt;&gt;"",'Paste Here'!$G138,"")</f>
        <v/>
      </c>
      <c r="M144" s="18" t="str">
        <f t="shared" si="5"/>
        <v/>
      </c>
    </row>
    <row r="145" spans="1:13" s="17" customFormat="1" x14ac:dyDescent="0.25">
      <c r="A145" s="16" t="str">
        <f>IF(URN&lt;&gt;"",_xll.mdValue("Resident",_xlnm.Database,$F145),"")</f>
        <v/>
      </c>
      <c r="B145" s="16" t="str">
        <f>IF(PersonId&lt;&gt;"",_xll.mdValue("Resident First Name",_xlnm.Database,$A$8),"")</f>
        <v/>
      </c>
      <c r="C145" s="16" t="str">
        <f>IF(PersonId&lt;&gt;"",_xll.mdValue("Resident Last Name",_xlnm.Database,$A$8),"")</f>
        <v/>
      </c>
      <c r="D145" s="16" t="str">
        <f>IF(PersonId&lt;&gt;"",_xll.mdValue("Person Accomodation Code",_xlnm.Database,$A145),"")</f>
        <v/>
      </c>
      <c r="E145" s="28" t="str">
        <f t="shared" si="4"/>
        <v/>
      </c>
      <c r="F145" s="16" t="str">
        <f>IF('Paste Here'!$A139&lt;&gt;"",'Paste Here'!$A139,"")</f>
        <v/>
      </c>
      <c r="G145" s="16" t="str">
        <f>IF('Paste Here'!$B139&lt;&gt;"",'Paste Here'!$B139,"")</f>
        <v/>
      </c>
      <c r="H145" s="16" t="str">
        <f>IF('Paste Here'!$C139&lt;&gt;"",'Paste Here'!$C139,"")</f>
        <v/>
      </c>
      <c r="I145" s="25" t="str">
        <f>IF('Paste Here'!$D139&lt;&gt;"",'Paste Here'!$D139,"")</f>
        <v/>
      </c>
      <c r="J145" s="27" t="str">
        <f>IF('Paste Here'!$E139&lt;&gt;"",'Paste Here'!$E139,"")</f>
        <v/>
      </c>
      <c r="K145" s="16" t="str">
        <f>IF('Paste Here'!$F139&lt;&gt;"",'Paste Here'!$F139,"")</f>
        <v/>
      </c>
      <c r="L145" s="16" t="str">
        <f>IF('Paste Here'!$G139&lt;&gt;"",'Paste Here'!$G139,"")</f>
        <v/>
      </c>
      <c r="M145" s="18" t="str">
        <f t="shared" si="5"/>
        <v/>
      </c>
    </row>
    <row r="146" spans="1:13" s="17" customFormat="1" x14ac:dyDescent="0.25">
      <c r="A146" s="16" t="str">
        <f>IF(URN&lt;&gt;"",_xll.mdValue("Resident",_xlnm.Database,$F146),"")</f>
        <v/>
      </c>
      <c r="B146" s="16" t="str">
        <f>IF(PersonId&lt;&gt;"",_xll.mdValue("Resident First Name",_xlnm.Database,$A$8),"")</f>
        <v/>
      </c>
      <c r="C146" s="16" t="str">
        <f>IF(PersonId&lt;&gt;"",_xll.mdValue("Resident Last Name",_xlnm.Database,$A$8),"")</f>
        <v/>
      </c>
      <c r="D146" s="16" t="str">
        <f>IF(PersonId&lt;&gt;"",_xll.mdValue("Person Accomodation Code",_xlnm.Database,$A146),"")</f>
        <v/>
      </c>
      <c r="E146" s="28" t="str">
        <f t="shared" si="4"/>
        <v/>
      </c>
      <c r="F146" s="16" t="str">
        <f>IF('Paste Here'!$A140&lt;&gt;"",'Paste Here'!$A140,"")</f>
        <v/>
      </c>
      <c r="G146" s="16" t="str">
        <f>IF('Paste Here'!$B140&lt;&gt;"",'Paste Here'!$B140,"")</f>
        <v/>
      </c>
      <c r="H146" s="16" t="str">
        <f>IF('Paste Here'!$C140&lt;&gt;"",'Paste Here'!$C140,"")</f>
        <v/>
      </c>
      <c r="I146" s="25" t="str">
        <f>IF('Paste Here'!$D140&lt;&gt;"",'Paste Here'!$D140,"")</f>
        <v/>
      </c>
      <c r="J146" s="27" t="str">
        <f>IF('Paste Here'!$E140&lt;&gt;"",'Paste Here'!$E140,"")</f>
        <v/>
      </c>
      <c r="K146" s="16" t="str">
        <f>IF('Paste Here'!$F140&lt;&gt;"",'Paste Here'!$F140,"")</f>
        <v/>
      </c>
      <c r="L146" s="16" t="str">
        <f>IF('Paste Here'!$G140&lt;&gt;"",'Paste Here'!$G140,"")</f>
        <v/>
      </c>
      <c r="M146" s="18" t="str">
        <f t="shared" si="5"/>
        <v/>
      </c>
    </row>
    <row r="147" spans="1:13" s="17" customFormat="1" x14ac:dyDescent="0.25">
      <c r="A147" s="16" t="str">
        <f>IF(URN&lt;&gt;"",_xll.mdValue("Resident",_xlnm.Database,$F147),"")</f>
        <v/>
      </c>
      <c r="B147" s="16" t="str">
        <f>IF(PersonId&lt;&gt;"",_xll.mdValue("Resident First Name",_xlnm.Database,$A$8),"")</f>
        <v/>
      </c>
      <c r="C147" s="16" t="str">
        <f>IF(PersonId&lt;&gt;"",_xll.mdValue("Resident Last Name",_xlnm.Database,$A$8),"")</f>
        <v/>
      </c>
      <c r="D147" s="16" t="str">
        <f>IF(PersonId&lt;&gt;"",_xll.mdValue("Person Accomodation Code",_xlnm.Database,$A147),"")</f>
        <v/>
      </c>
      <c r="E147" s="28" t="str">
        <f t="shared" si="4"/>
        <v/>
      </c>
      <c r="F147" s="16" t="str">
        <f>IF('Paste Here'!$A141&lt;&gt;"",'Paste Here'!$A141,"")</f>
        <v/>
      </c>
      <c r="G147" s="16" t="str">
        <f>IF('Paste Here'!$B141&lt;&gt;"",'Paste Here'!$B141,"")</f>
        <v/>
      </c>
      <c r="H147" s="16" t="str">
        <f>IF('Paste Here'!$C141&lt;&gt;"",'Paste Here'!$C141,"")</f>
        <v/>
      </c>
      <c r="I147" s="25" t="str">
        <f>IF('Paste Here'!$D141&lt;&gt;"",'Paste Here'!$D141,"")</f>
        <v/>
      </c>
      <c r="J147" s="27" t="str">
        <f>IF('Paste Here'!$E141&lt;&gt;"",'Paste Here'!$E141,"")</f>
        <v/>
      </c>
      <c r="K147" s="16" t="str">
        <f>IF('Paste Here'!$F141&lt;&gt;"",'Paste Here'!$F141,"")</f>
        <v/>
      </c>
      <c r="L147" s="16" t="str">
        <f>IF('Paste Here'!$G141&lt;&gt;"",'Paste Here'!$G141,"")</f>
        <v/>
      </c>
      <c r="M147" s="18" t="str">
        <f t="shared" si="5"/>
        <v/>
      </c>
    </row>
    <row r="148" spans="1:13" s="17" customFormat="1" x14ac:dyDescent="0.25">
      <c r="A148" s="16" t="str">
        <f>IF(URN&lt;&gt;"",_xll.mdValue("Resident",_xlnm.Database,$F148),"")</f>
        <v/>
      </c>
      <c r="B148" s="16" t="str">
        <f>IF(PersonId&lt;&gt;"",_xll.mdValue("Resident First Name",_xlnm.Database,$A$8),"")</f>
        <v/>
      </c>
      <c r="C148" s="16" t="str">
        <f>IF(PersonId&lt;&gt;"",_xll.mdValue("Resident Last Name",_xlnm.Database,$A$8),"")</f>
        <v/>
      </c>
      <c r="D148" s="16" t="str">
        <f>IF(PersonId&lt;&gt;"",_xll.mdValue("Person Accomodation Code",_xlnm.Database,$A148),"")</f>
        <v/>
      </c>
      <c r="E148" s="28" t="str">
        <f t="shared" si="4"/>
        <v/>
      </c>
      <c r="F148" s="16" t="str">
        <f>IF('Paste Here'!$A142&lt;&gt;"",'Paste Here'!$A142,"")</f>
        <v/>
      </c>
      <c r="G148" s="16" t="str">
        <f>IF('Paste Here'!$B142&lt;&gt;"",'Paste Here'!$B142,"")</f>
        <v/>
      </c>
      <c r="H148" s="16" t="str">
        <f>IF('Paste Here'!$C142&lt;&gt;"",'Paste Here'!$C142,"")</f>
        <v/>
      </c>
      <c r="I148" s="25" t="str">
        <f>IF('Paste Here'!$D142&lt;&gt;"",'Paste Here'!$D142,"")</f>
        <v/>
      </c>
      <c r="J148" s="27" t="str">
        <f>IF('Paste Here'!$E142&lt;&gt;"",'Paste Here'!$E142,"")</f>
        <v/>
      </c>
      <c r="K148" s="16" t="str">
        <f>IF('Paste Here'!$F142&lt;&gt;"",'Paste Here'!$F142,"")</f>
        <v/>
      </c>
      <c r="L148" s="16" t="str">
        <f>IF('Paste Here'!$G142&lt;&gt;"",'Paste Here'!$G142,"")</f>
        <v/>
      </c>
      <c r="M148" s="18" t="str">
        <f t="shared" si="5"/>
        <v/>
      </c>
    </row>
    <row r="149" spans="1:13" s="17" customFormat="1" x14ac:dyDescent="0.25">
      <c r="A149" s="16" t="str">
        <f>IF(URN&lt;&gt;"",_xll.mdValue("Resident",_xlnm.Database,$F149),"")</f>
        <v/>
      </c>
      <c r="B149" s="16" t="str">
        <f>IF(PersonId&lt;&gt;"",_xll.mdValue("Resident First Name",_xlnm.Database,$A$8),"")</f>
        <v/>
      </c>
      <c r="C149" s="16" t="str">
        <f>IF(PersonId&lt;&gt;"",_xll.mdValue("Resident Last Name",_xlnm.Database,$A$8),"")</f>
        <v/>
      </c>
      <c r="D149" s="16" t="str">
        <f>IF(PersonId&lt;&gt;"",_xll.mdValue("Person Accomodation Code",_xlnm.Database,$A149),"")</f>
        <v/>
      </c>
      <c r="E149" s="28" t="str">
        <f t="shared" si="4"/>
        <v/>
      </c>
      <c r="F149" s="16" t="str">
        <f>IF('Paste Here'!$A143&lt;&gt;"",'Paste Here'!$A143,"")</f>
        <v/>
      </c>
      <c r="G149" s="16" t="str">
        <f>IF('Paste Here'!$B143&lt;&gt;"",'Paste Here'!$B143,"")</f>
        <v/>
      </c>
      <c r="H149" s="16" t="str">
        <f>IF('Paste Here'!$C143&lt;&gt;"",'Paste Here'!$C143,"")</f>
        <v/>
      </c>
      <c r="I149" s="25" t="str">
        <f>IF('Paste Here'!$D143&lt;&gt;"",'Paste Here'!$D143,"")</f>
        <v/>
      </c>
      <c r="J149" s="27" t="str">
        <f>IF('Paste Here'!$E143&lt;&gt;"",'Paste Here'!$E143,"")</f>
        <v/>
      </c>
      <c r="K149" s="16" t="str">
        <f>IF('Paste Here'!$F143&lt;&gt;"",'Paste Here'!$F143,"")</f>
        <v/>
      </c>
      <c r="L149" s="16" t="str">
        <f>IF('Paste Here'!$G143&lt;&gt;"",'Paste Here'!$G143,"")</f>
        <v/>
      </c>
      <c r="M149" s="18" t="str">
        <f t="shared" si="5"/>
        <v/>
      </c>
    </row>
    <row r="150" spans="1:13" s="17" customFormat="1" x14ac:dyDescent="0.25">
      <c r="A150" s="16" t="str">
        <f>IF(URN&lt;&gt;"",_xll.mdValue("Resident",_xlnm.Database,$F150),"")</f>
        <v/>
      </c>
      <c r="B150" s="16" t="str">
        <f>IF(PersonId&lt;&gt;"",_xll.mdValue("Resident First Name",_xlnm.Database,$A$8),"")</f>
        <v/>
      </c>
      <c r="C150" s="16" t="str">
        <f>IF(PersonId&lt;&gt;"",_xll.mdValue("Resident Last Name",_xlnm.Database,$A$8),"")</f>
        <v/>
      </c>
      <c r="D150" s="16" t="str">
        <f>IF(PersonId&lt;&gt;"",_xll.mdValue("Person Accomodation Code",_xlnm.Database,$A150),"")</f>
        <v/>
      </c>
      <c r="E150" s="28" t="str">
        <f t="shared" si="4"/>
        <v/>
      </c>
      <c r="F150" s="16" t="str">
        <f>IF('Paste Here'!$A144&lt;&gt;"",'Paste Here'!$A144,"")</f>
        <v/>
      </c>
      <c r="G150" s="16" t="str">
        <f>IF('Paste Here'!$B144&lt;&gt;"",'Paste Here'!$B144,"")</f>
        <v/>
      </c>
      <c r="H150" s="16" t="str">
        <f>IF('Paste Here'!$C144&lt;&gt;"",'Paste Here'!$C144,"")</f>
        <v/>
      </c>
      <c r="I150" s="25" t="str">
        <f>IF('Paste Here'!$D144&lt;&gt;"",'Paste Here'!$D144,"")</f>
        <v/>
      </c>
      <c r="J150" s="27" t="str">
        <f>IF('Paste Here'!$E144&lt;&gt;"",'Paste Here'!$E144,"")</f>
        <v/>
      </c>
      <c r="K150" s="16" t="str">
        <f>IF('Paste Here'!$F144&lt;&gt;"",'Paste Here'!$F144,"")</f>
        <v/>
      </c>
      <c r="L150" s="16" t="str">
        <f>IF('Paste Here'!$G144&lt;&gt;"",'Paste Here'!$G144,"")</f>
        <v/>
      </c>
      <c r="M150" s="18" t="str">
        <f t="shared" si="5"/>
        <v/>
      </c>
    </row>
    <row r="151" spans="1:13" s="17" customFormat="1" x14ac:dyDescent="0.25">
      <c r="A151" s="16" t="str">
        <f>IF(URN&lt;&gt;"",_xll.mdValue("Resident",_xlnm.Database,$F151),"")</f>
        <v/>
      </c>
      <c r="B151" s="16" t="str">
        <f>IF(PersonId&lt;&gt;"",_xll.mdValue("Resident First Name",_xlnm.Database,$A$8),"")</f>
        <v/>
      </c>
      <c r="C151" s="16" t="str">
        <f>IF(PersonId&lt;&gt;"",_xll.mdValue("Resident Last Name",_xlnm.Database,$A$8),"")</f>
        <v/>
      </c>
      <c r="D151" s="16" t="str">
        <f>IF(PersonId&lt;&gt;"",_xll.mdValue("Person Accomodation Code",_xlnm.Database,$A151),"")</f>
        <v/>
      </c>
      <c r="E151" s="28" t="str">
        <f t="shared" si="4"/>
        <v/>
      </c>
      <c r="F151" s="16" t="str">
        <f>IF('Paste Here'!$A145&lt;&gt;"",'Paste Here'!$A145,"")</f>
        <v/>
      </c>
      <c r="G151" s="16" t="str">
        <f>IF('Paste Here'!$B145&lt;&gt;"",'Paste Here'!$B145,"")</f>
        <v/>
      </c>
      <c r="H151" s="16" t="str">
        <f>IF('Paste Here'!$C145&lt;&gt;"",'Paste Here'!$C145,"")</f>
        <v/>
      </c>
      <c r="I151" s="25" t="str">
        <f>IF('Paste Here'!$D145&lt;&gt;"",'Paste Here'!$D145,"")</f>
        <v/>
      </c>
      <c r="J151" s="27" t="str">
        <f>IF('Paste Here'!$E145&lt;&gt;"",'Paste Here'!$E145,"")</f>
        <v/>
      </c>
      <c r="K151" s="16" t="str">
        <f>IF('Paste Here'!$F145&lt;&gt;"",'Paste Here'!$F145,"")</f>
        <v/>
      </c>
      <c r="L151" s="16" t="str">
        <f>IF('Paste Here'!$G145&lt;&gt;"",'Paste Here'!$G145,"")</f>
        <v/>
      </c>
      <c r="M151" s="18" t="str">
        <f t="shared" si="5"/>
        <v/>
      </c>
    </row>
    <row r="152" spans="1:13" s="17" customFormat="1" x14ac:dyDescent="0.25">
      <c r="A152" s="16" t="str">
        <f>IF(URN&lt;&gt;"",_xll.mdValue("Resident",_xlnm.Database,$F152),"")</f>
        <v/>
      </c>
      <c r="B152" s="16" t="str">
        <f>IF(PersonId&lt;&gt;"",_xll.mdValue("Resident First Name",_xlnm.Database,$A$8),"")</f>
        <v/>
      </c>
      <c r="C152" s="16" t="str">
        <f>IF(PersonId&lt;&gt;"",_xll.mdValue("Resident Last Name",_xlnm.Database,$A$8),"")</f>
        <v/>
      </c>
      <c r="D152" s="16" t="str">
        <f>IF(PersonId&lt;&gt;"",_xll.mdValue("Person Accomodation Code",_xlnm.Database,$A152),"")</f>
        <v/>
      </c>
      <c r="E152" s="28" t="str">
        <f t="shared" si="4"/>
        <v/>
      </c>
      <c r="F152" s="16" t="str">
        <f>IF('Paste Here'!$A146&lt;&gt;"",'Paste Here'!$A146,"")</f>
        <v/>
      </c>
      <c r="G152" s="16" t="str">
        <f>IF('Paste Here'!$B146&lt;&gt;"",'Paste Here'!$B146,"")</f>
        <v/>
      </c>
      <c r="H152" s="16" t="str">
        <f>IF('Paste Here'!$C146&lt;&gt;"",'Paste Here'!$C146,"")</f>
        <v/>
      </c>
      <c r="I152" s="25" t="str">
        <f>IF('Paste Here'!$D146&lt;&gt;"",'Paste Here'!$D146,"")</f>
        <v/>
      </c>
      <c r="J152" s="27" t="str">
        <f>IF('Paste Here'!$E146&lt;&gt;"",'Paste Here'!$E146,"")</f>
        <v/>
      </c>
      <c r="K152" s="16" t="str">
        <f>IF('Paste Here'!$F146&lt;&gt;"",'Paste Here'!$F146,"")</f>
        <v/>
      </c>
      <c r="L152" s="16" t="str">
        <f>IF('Paste Here'!$G146&lt;&gt;"",'Paste Here'!$G146,"")</f>
        <v/>
      </c>
      <c r="M152" s="18" t="str">
        <f t="shared" si="5"/>
        <v/>
      </c>
    </row>
    <row r="153" spans="1:13" s="17" customFormat="1" x14ac:dyDescent="0.25">
      <c r="A153" s="16" t="str">
        <f>IF(URN&lt;&gt;"",_xll.mdValue("Resident",_xlnm.Database,$F153),"")</f>
        <v/>
      </c>
      <c r="B153" s="16" t="str">
        <f>IF(PersonId&lt;&gt;"",_xll.mdValue("Resident First Name",_xlnm.Database,$A$8),"")</f>
        <v/>
      </c>
      <c r="C153" s="16" t="str">
        <f>IF(PersonId&lt;&gt;"",_xll.mdValue("Resident Last Name",_xlnm.Database,$A$8),"")</f>
        <v/>
      </c>
      <c r="D153" s="16" t="str">
        <f>IF(PersonId&lt;&gt;"",_xll.mdValue("Person Accomodation Code",_xlnm.Database,$A153),"")</f>
        <v/>
      </c>
      <c r="E153" s="28" t="str">
        <f t="shared" si="4"/>
        <v/>
      </c>
      <c r="F153" s="16" t="str">
        <f>IF('Paste Here'!$A147&lt;&gt;"",'Paste Here'!$A147,"")</f>
        <v/>
      </c>
      <c r="G153" s="16" t="str">
        <f>IF('Paste Here'!$B147&lt;&gt;"",'Paste Here'!$B147,"")</f>
        <v/>
      </c>
      <c r="H153" s="16" t="str">
        <f>IF('Paste Here'!$C147&lt;&gt;"",'Paste Here'!$C147,"")</f>
        <v/>
      </c>
      <c r="I153" s="25" t="str">
        <f>IF('Paste Here'!$D147&lt;&gt;"",'Paste Here'!$D147,"")</f>
        <v/>
      </c>
      <c r="J153" s="27" t="str">
        <f>IF('Paste Here'!$E147&lt;&gt;"",'Paste Here'!$E147,"")</f>
        <v/>
      </c>
      <c r="K153" s="16" t="str">
        <f>IF('Paste Here'!$F147&lt;&gt;"",'Paste Here'!$F147,"")</f>
        <v/>
      </c>
      <c r="L153" s="16" t="str">
        <f>IF('Paste Here'!$G147&lt;&gt;"",'Paste Here'!$G147,"")</f>
        <v/>
      </c>
      <c r="M153" s="18" t="str">
        <f t="shared" si="5"/>
        <v/>
      </c>
    </row>
    <row r="154" spans="1:13" s="17" customFormat="1" x14ac:dyDescent="0.25">
      <c r="A154" s="16" t="str">
        <f>IF(URN&lt;&gt;"",_xll.mdValue("Resident",_xlnm.Database,$F154),"")</f>
        <v/>
      </c>
      <c r="B154" s="16" t="str">
        <f>IF(PersonId&lt;&gt;"",_xll.mdValue("Resident First Name",_xlnm.Database,$A$8),"")</f>
        <v/>
      </c>
      <c r="C154" s="16" t="str">
        <f>IF(PersonId&lt;&gt;"",_xll.mdValue("Resident Last Name",_xlnm.Database,$A$8),"")</f>
        <v/>
      </c>
      <c r="D154" s="16" t="str">
        <f>IF(PersonId&lt;&gt;"",_xll.mdValue("Person Accomodation Code",_xlnm.Database,$A154),"")</f>
        <v/>
      </c>
      <c r="E154" s="28" t="str">
        <f t="shared" si="4"/>
        <v/>
      </c>
      <c r="F154" s="16" t="str">
        <f>IF('Paste Here'!$A148&lt;&gt;"",'Paste Here'!$A148,"")</f>
        <v/>
      </c>
      <c r="G154" s="16" t="str">
        <f>IF('Paste Here'!$B148&lt;&gt;"",'Paste Here'!$B148,"")</f>
        <v/>
      </c>
      <c r="H154" s="16" t="str">
        <f>IF('Paste Here'!$C148&lt;&gt;"",'Paste Here'!$C148,"")</f>
        <v/>
      </c>
      <c r="I154" s="25" t="str">
        <f>IF('Paste Here'!$D148&lt;&gt;"",'Paste Here'!$D148,"")</f>
        <v/>
      </c>
      <c r="J154" s="27" t="str">
        <f>IF('Paste Here'!$E148&lt;&gt;"",'Paste Here'!$E148,"")</f>
        <v/>
      </c>
      <c r="K154" s="16" t="str">
        <f>IF('Paste Here'!$F148&lt;&gt;"",'Paste Here'!$F148,"")</f>
        <v/>
      </c>
      <c r="L154" s="16" t="str">
        <f>IF('Paste Here'!$G148&lt;&gt;"",'Paste Here'!$G148,"")</f>
        <v/>
      </c>
      <c r="M154" s="18" t="str">
        <f t="shared" si="5"/>
        <v/>
      </c>
    </row>
    <row r="155" spans="1:13" s="17" customFormat="1" x14ac:dyDescent="0.25">
      <c r="A155" s="16" t="str">
        <f>IF(URN&lt;&gt;"",_xll.mdValue("Resident",_xlnm.Database,$F155),"")</f>
        <v/>
      </c>
      <c r="B155" s="16" t="str">
        <f>IF(PersonId&lt;&gt;"",_xll.mdValue("Resident First Name",_xlnm.Database,$A$8),"")</f>
        <v/>
      </c>
      <c r="C155" s="16" t="str">
        <f>IF(PersonId&lt;&gt;"",_xll.mdValue("Resident Last Name",_xlnm.Database,$A$8),"")</f>
        <v/>
      </c>
      <c r="D155" s="16" t="str">
        <f>IF(PersonId&lt;&gt;"",_xll.mdValue("Person Accomodation Code",_xlnm.Database,$A155),"")</f>
        <v/>
      </c>
      <c r="E155" s="28" t="str">
        <f t="shared" si="4"/>
        <v/>
      </c>
      <c r="F155" s="16" t="str">
        <f>IF('Paste Here'!$A149&lt;&gt;"",'Paste Here'!$A149,"")</f>
        <v/>
      </c>
      <c r="G155" s="16" t="str">
        <f>IF('Paste Here'!$B149&lt;&gt;"",'Paste Here'!$B149,"")</f>
        <v/>
      </c>
      <c r="H155" s="16" t="str">
        <f>IF('Paste Here'!$C149&lt;&gt;"",'Paste Here'!$C149,"")</f>
        <v/>
      </c>
      <c r="I155" s="25" t="str">
        <f>IF('Paste Here'!$D149&lt;&gt;"",'Paste Here'!$D149,"")</f>
        <v/>
      </c>
      <c r="J155" s="27" t="str">
        <f>IF('Paste Here'!$E149&lt;&gt;"",'Paste Here'!$E149,"")</f>
        <v/>
      </c>
      <c r="K155" s="16" t="str">
        <f>IF('Paste Here'!$F149&lt;&gt;"",'Paste Here'!$F149,"")</f>
        <v/>
      </c>
      <c r="L155" s="16" t="str">
        <f>IF('Paste Here'!$G149&lt;&gt;"",'Paste Here'!$G149,"")</f>
        <v/>
      </c>
      <c r="M155" s="18" t="str">
        <f t="shared" si="5"/>
        <v/>
      </c>
    </row>
    <row r="156" spans="1:13" s="17" customFormat="1" x14ac:dyDescent="0.25">
      <c r="A156" s="16" t="str">
        <f>IF(URN&lt;&gt;"",_xll.mdValue("Resident",_xlnm.Database,$F156),"")</f>
        <v/>
      </c>
      <c r="B156" s="16" t="str">
        <f>IF(PersonId&lt;&gt;"",_xll.mdValue("Resident First Name",_xlnm.Database,$A$8),"")</f>
        <v/>
      </c>
      <c r="C156" s="16" t="str">
        <f>IF(PersonId&lt;&gt;"",_xll.mdValue("Resident Last Name",_xlnm.Database,$A$8),"")</f>
        <v/>
      </c>
      <c r="D156" s="16" t="str">
        <f>IF(PersonId&lt;&gt;"",_xll.mdValue("Person Accomodation Code",_xlnm.Database,$A156),"")</f>
        <v/>
      </c>
      <c r="E156" s="28" t="str">
        <f t="shared" si="4"/>
        <v/>
      </c>
      <c r="F156" s="16" t="str">
        <f>IF('Paste Here'!$A150&lt;&gt;"",'Paste Here'!$A150,"")</f>
        <v/>
      </c>
      <c r="G156" s="16" t="str">
        <f>IF('Paste Here'!$B150&lt;&gt;"",'Paste Here'!$B150,"")</f>
        <v/>
      </c>
      <c r="H156" s="16" t="str">
        <f>IF('Paste Here'!$C150&lt;&gt;"",'Paste Here'!$C150,"")</f>
        <v/>
      </c>
      <c r="I156" s="25" t="str">
        <f>IF('Paste Here'!$D150&lt;&gt;"",'Paste Here'!$D150,"")</f>
        <v/>
      </c>
      <c r="J156" s="27" t="str">
        <f>IF('Paste Here'!$E150&lt;&gt;"",'Paste Here'!$E150,"")</f>
        <v/>
      </c>
      <c r="K156" s="16" t="str">
        <f>IF('Paste Here'!$F150&lt;&gt;"",'Paste Here'!$F150,"")</f>
        <v/>
      </c>
      <c r="L156" s="16" t="str">
        <f>IF('Paste Here'!$G150&lt;&gt;"",'Paste Here'!$G150,"")</f>
        <v/>
      </c>
      <c r="M156" s="18" t="str">
        <f t="shared" si="5"/>
        <v/>
      </c>
    </row>
    <row r="157" spans="1:13" s="17" customFormat="1" x14ac:dyDescent="0.25">
      <c r="A157" s="16" t="str">
        <f>IF(URN&lt;&gt;"",_xll.mdValue("Resident",_xlnm.Database,$F157),"")</f>
        <v/>
      </c>
      <c r="B157" s="16" t="str">
        <f>IF(PersonId&lt;&gt;"",_xll.mdValue("Resident First Name",_xlnm.Database,$A$8),"")</f>
        <v/>
      </c>
      <c r="C157" s="16" t="str">
        <f>IF(PersonId&lt;&gt;"",_xll.mdValue("Resident Last Name",_xlnm.Database,$A$8),"")</f>
        <v/>
      </c>
      <c r="D157" s="16" t="str">
        <f>IF(PersonId&lt;&gt;"",_xll.mdValue("Person Accomodation Code",_xlnm.Database,$A157),"")</f>
        <v/>
      </c>
      <c r="E157" s="28" t="str">
        <f t="shared" si="4"/>
        <v/>
      </c>
      <c r="F157" s="16" t="str">
        <f>IF('Paste Here'!$A151&lt;&gt;"",'Paste Here'!$A151,"")</f>
        <v/>
      </c>
      <c r="G157" s="16" t="str">
        <f>IF('Paste Here'!$B151&lt;&gt;"",'Paste Here'!$B151,"")</f>
        <v/>
      </c>
      <c r="H157" s="16" t="str">
        <f>IF('Paste Here'!$C151&lt;&gt;"",'Paste Here'!$C151,"")</f>
        <v/>
      </c>
      <c r="I157" s="25" t="str">
        <f>IF('Paste Here'!$D151&lt;&gt;"",'Paste Here'!$D151,"")</f>
        <v/>
      </c>
      <c r="J157" s="27" t="str">
        <f>IF('Paste Here'!$E151&lt;&gt;"",'Paste Here'!$E151,"")</f>
        <v/>
      </c>
      <c r="K157" s="16" t="str">
        <f>IF('Paste Here'!$F151&lt;&gt;"",'Paste Here'!$F151,"")</f>
        <v/>
      </c>
      <c r="L157" s="16" t="str">
        <f>IF('Paste Here'!$G151&lt;&gt;"",'Paste Here'!$G151,"")</f>
        <v/>
      </c>
      <c r="M157" s="18" t="str">
        <f t="shared" si="5"/>
        <v/>
      </c>
    </row>
    <row r="158" spans="1:13" s="17" customFormat="1" x14ac:dyDescent="0.25">
      <c r="A158" s="16" t="str">
        <f>IF(URN&lt;&gt;"",_xll.mdValue("Resident",_xlnm.Database,$F158),"")</f>
        <v/>
      </c>
      <c r="B158" s="16" t="str">
        <f>IF(PersonId&lt;&gt;"",_xll.mdValue("Resident First Name",_xlnm.Database,$A$8),"")</f>
        <v/>
      </c>
      <c r="C158" s="16" t="str">
        <f>IF(PersonId&lt;&gt;"",_xll.mdValue("Resident Last Name",_xlnm.Database,$A$8),"")</f>
        <v/>
      </c>
      <c r="D158" s="16" t="str">
        <f>IF(PersonId&lt;&gt;"",_xll.mdValue("Person Accomodation Code",_xlnm.Database,$A158),"")</f>
        <v/>
      </c>
      <c r="E158" s="28" t="str">
        <f t="shared" si="4"/>
        <v/>
      </c>
      <c r="F158" s="16" t="str">
        <f>IF('Paste Here'!$A152&lt;&gt;"",'Paste Here'!$A152,"")</f>
        <v/>
      </c>
      <c r="G158" s="16" t="str">
        <f>IF('Paste Here'!$B152&lt;&gt;"",'Paste Here'!$B152,"")</f>
        <v/>
      </c>
      <c r="H158" s="16" t="str">
        <f>IF('Paste Here'!$C152&lt;&gt;"",'Paste Here'!$C152,"")</f>
        <v/>
      </c>
      <c r="I158" s="25" t="str">
        <f>IF('Paste Here'!$D152&lt;&gt;"",'Paste Here'!$D152,"")</f>
        <v/>
      </c>
      <c r="J158" s="27" t="str">
        <f>IF('Paste Here'!$E152&lt;&gt;"",'Paste Here'!$E152,"")</f>
        <v/>
      </c>
      <c r="K158" s="16" t="str">
        <f>IF('Paste Here'!$F152&lt;&gt;"",'Paste Here'!$F152,"")</f>
        <v/>
      </c>
      <c r="L158" s="16" t="str">
        <f>IF('Paste Here'!$G152&lt;&gt;"",'Paste Here'!$G152,"")</f>
        <v/>
      </c>
      <c r="M158" s="18" t="str">
        <f t="shared" si="5"/>
        <v/>
      </c>
    </row>
    <row r="159" spans="1:13" s="17" customFormat="1" x14ac:dyDescent="0.25">
      <c r="A159" s="16" t="str">
        <f>IF(URN&lt;&gt;"",_xll.mdValue("Resident",_xlnm.Database,$F159),"")</f>
        <v/>
      </c>
      <c r="B159" s="16" t="str">
        <f>IF(PersonId&lt;&gt;"",_xll.mdValue("Resident First Name",_xlnm.Database,$A$8),"")</f>
        <v/>
      </c>
      <c r="C159" s="16" t="str">
        <f>IF(PersonId&lt;&gt;"",_xll.mdValue("Resident Last Name",_xlnm.Database,$A$8),"")</f>
        <v/>
      </c>
      <c r="D159" s="16" t="str">
        <f>IF(PersonId&lt;&gt;"",_xll.mdValue("Person Accomodation Code",_xlnm.Database,$A159),"")</f>
        <v/>
      </c>
      <c r="E159" s="28" t="str">
        <f t="shared" si="4"/>
        <v/>
      </c>
      <c r="F159" s="16" t="str">
        <f>IF('Paste Here'!$A153&lt;&gt;"",'Paste Here'!$A153,"")</f>
        <v/>
      </c>
      <c r="G159" s="16" t="str">
        <f>IF('Paste Here'!$B153&lt;&gt;"",'Paste Here'!$B153,"")</f>
        <v/>
      </c>
      <c r="H159" s="16" t="str">
        <f>IF('Paste Here'!$C153&lt;&gt;"",'Paste Here'!$C153,"")</f>
        <v/>
      </c>
      <c r="I159" s="25" t="str">
        <f>IF('Paste Here'!$D153&lt;&gt;"",'Paste Here'!$D153,"")</f>
        <v/>
      </c>
      <c r="J159" s="27" t="str">
        <f>IF('Paste Here'!$E153&lt;&gt;"",'Paste Here'!$E153,"")</f>
        <v/>
      </c>
      <c r="K159" s="16" t="str">
        <f>IF('Paste Here'!$F153&lt;&gt;"",'Paste Here'!$F153,"")</f>
        <v/>
      </c>
      <c r="L159" s="16" t="str">
        <f>IF('Paste Here'!$G153&lt;&gt;"",'Paste Here'!$G153,"")</f>
        <v/>
      </c>
      <c r="M159" s="18" t="str">
        <f t="shared" si="5"/>
        <v/>
      </c>
    </row>
    <row r="160" spans="1:13" s="17" customFormat="1" x14ac:dyDescent="0.25">
      <c r="A160" s="16" t="str">
        <f>IF(URN&lt;&gt;"",_xll.mdValue("Resident",_xlnm.Database,$F160),"")</f>
        <v/>
      </c>
      <c r="B160" s="16" t="str">
        <f>IF(PersonId&lt;&gt;"",_xll.mdValue("Resident First Name",_xlnm.Database,$A$8),"")</f>
        <v/>
      </c>
      <c r="C160" s="16" t="str">
        <f>IF(PersonId&lt;&gt;"",_xll.mdValue("Resident Last Name",_xlnm.Database,$A$8),"")</f>
        <v/>
      </c>
      <c r="D160" s="16" t="str">
        <f>IF(PersonId&lt;&gt;"",_xll.mdValue("Person Accomodation Code",_xlnm.Database,$A160),"")</f>
        <v/>
      </c>
      <c r="E160" s="28" t="str">
        <f t="shared" si="4"/>
        <v/>
      </c>
      <c r="F160" s="16" t="str">
        <f>IF('Paste Here'!$A154&lt;&gt;"",'Paste Here'!$A154,"")</f>
        <v/>
      </c>
      <c r="G160" s="16" t="str">
        <f>IF('Paste Here'!$B154&lt;&gt;"",'Paste Here'!$B154,"")</f>
        <v/>
      </c>
      <c r="H160" s="16" t="str">
        <f>IF('Paste Here'!$C154&lt;&gt;"",'Paste Here'!$C154,"")</f>
        <v/>
      </c>
      <c r="I160" s="25" t="str">
        <f>IF('Paste Here'!$D154&lt;&gt;"",'Paste Here'!$D154,"")</f>
        <v/>
      </c>
      <c r="J160" s="27" t="str">
        <f>IF('Paste Here'!$E154&lt;&gt;"",'Paste Here'!$E154,"")</f>
        <v/>
      </c>
      <c r="K160" s="16" t="str">
        <f>IF('Paste Here'!$F154&lt;&gt;"",'Paste Here'!$F154,"")</f>
        <v/>
      </c>
      <c r="L160" s="16" t="str">
        <f>IF('Paste Here'!$G154&lt;&gt;"",'Paste Here'!$G154,"")</f>
        <v/>
      </c>
      <c r="M160" s="18" t="str">
        <f t="shared" si="5"/>
        <v/>
      </c>
    </row>
    <row r="161" spans="1:13" s="17" customFormat="1" x14ac:dyDescent="0.25">
      <c r="A161" s="16" t="str">
        <f>IF(URN&lt;&gt;"",_xll.mdValue("Resident",_xlnm.Database,$F161),"")</f>
        <v/>
      </c>
      <c r="B161" s="16" t="str">
        <f>IF(PersonId&lt;&gt;"",_xll.mdValue("Resident First Name",_xlnm.Database,$A$8),"")</f>
        <v/>
      </c>
      <c r="C161" s="16" t="str">
        <f>IF(PersonId&lt;&gt;"",_xll.mdValue("Resident Last Name",_xlnm.Database,$A$8),"")</f>
        <v/>
      </c>
      <c r="D161" s="16" t="str">
        <f>IF(PersonId&lt;&gt;"",_xll.mdValue("Person Accomodation Code",_xlnm.Database,$A161),"")</f>
        <v/>
      </c>
      <c r="E161" s="28" t="str">
        <f t="shared" si="4"/>
        <v/>
      </c>
      <c r="F161" s="16" t="str">
        <f>IF('Paste Here'!$A155&lt;&gt;"",'Paste Here'!$A155,"")</f>
        <v/>
      </c>
      <c r="G161" s="16" t="str">
        <f>IF('Paste Here'!$B155&lt;&gt;"",'Paste Here'!$B155,"")</f>
        <v/>
      </c>
      <c r="H161" s="16" t="str">
        <f>IF('Paste Here'!$C155&lt;&gt;"",'Paste Here'!$C155,"")</f>
        <v/>
      </c>
      <c r="I161" s="25" t="str">
        <f>IF('Paste Here'!$D155&lt;&gt;"",'Paste Here'!$D155,"")</f>
        <v/>
      </c>
      <c r="J161" s="27" t="str">
        <f>IF('Paste Here'!$E155&lt;&gt;"",'Paste Here'!$E155,"")</f>
        <v/>
      </c>
      <c r="K161" s="16" t="str">
        <f>IF('Paste Here'!$F155&lt;&gt;"",'Paste Here'!$F155,"")</f>
        <v/>
      </c>
      <c r="L161" s="16" t="str">
        <f>IF('Paste Here'!$G155&lt;&gt;"",'Paste Here'!$G155,"")</f>
        <v/>
      </c>
      <c r="M161" s="18" t="str">
        <f t="shared" si="5"/>
        <v/>
      </c>
    </row>
    <row r="162" spans="1:13" s="17" customFormat="1" x14ac:dyDescent="0.25">
      <c r="A162" s="16" t="str">
        <f>IF(URN&lt;&gt;"",_xll.mdValue("Resident",_xlnm.Database,$F162),"")</f>
        <v/>
      </c>
      <c r="B162" s="16" t="str">
        <f>IF(PersonId&lt;&gt;"",_xll.mdValue("Resident First Name",_xlnm.Database,$A$8),"")</f>
        <v/>
      </c>
      <c r="C162" s="16" t="str">
        <f>IF(PersonId&lt;&gt;"",_xll.mdValue("Resident Last Name",_xlnm.Database,$A$8),"")</f>
        <v/>
      </c>
      <c r="D162" s="16" t="str">
        <f>IF(PersonId&lt;&gt;"",_xll.mdValue("Person Accomodation Code",_xlnm.Database,$A162),"")</f>
        <v/>
      </c>
      <c r="E162" s="28" t="str">
        <f t="shared" si="4"/>
        <v/>
      </c>
      <c r="F162" s="16" t="str">
        <f>IF('Paste Here'!$A156&lt;&gt;"",'Paste Here'!$A156,"")</f>
        <v/>
      </c>
      <c r="G162" s="16" t="str">
        <f>IF('Paste Here'!$B156&lt;&gt;"",'Paste Here'!$B156,"")</f>
        <v/>
      </c>
      <c r="H162" s="16" t="str">
        <f>IF('Paste Here'!$C156&lt;&gt;"",'Paste Here'!$C156,"")</f>
        <v/>
      </c>
      <c r="I162" s="25" t="str">
        <f>IF('Paste Here'!$D156&lt;&gt;"",'Paste Here'!$D156,"")</f>
        <v/>
      </c>
      <c r="J162" s="27" t="str">
        <f>IF('Paste Here'!$E156&lt;&gt;"",'Paste Here'!$E156,"")</f>
        <v/>
      </c>
      <c r="K162" s="16" t="str">
        <f>IF('Paste Here'!$F156&lt;&gt;"",'Paste Here'!$F156,"")</f>
        <v/>
      </c>
      <c r="L162" s="16" t="str">
        <f>IF('Paste Here'!$G156&lt;&gt;"",'Paste Here'!$G156,"")</f>
        <v/>
      </c>
      <c r="M162" s="18" t="str">
        <f t="shared" si="5"/>
        <v/>
      </c>
    </row>
    <row r="163" spans="1:13" s="17" customFormat="1" x14ac:dyDescent="0.25">
      <c r="A163" s="16" t="str">
        <f>IF(URN&lt;&gt;"",_xll.mdValue("Resident",_xlnm.Database,$F163),"")</f>
        <v/>
      </c>
      <c r="B163" s="16" t="str">
        <f>IF(PersonId&lt;&gt;"",_xll.mdValue("Resident First Name",_xlnm.Database,$A$8),"")</f>
        <v/>
      </c>
      <c r="C163" s="16" t="str">
        <f>IF(PersonId&lt;&gt;"",_xll.mdValue("Resident Last Name",_xlnm.Database,$A$8),"")</f>
        <v/>
      </c>
      <c r="D163" s="16" t="str">
        <f>IF(PersonId&lt;&gt;"",_xll.mdValue("Person Accomodation Code",_xlnm.Database,$A163),"")</f>
        <v/>
      </c>
      <c r="E163" s="28" t="str">
        <f t="shared" si="4"/>
        <v/>
      </c>
      <c r="F163" s="16" t="str">
        <f>IF('Paste Here'!$A157&lt;&gt;"",'Paste Here'!$A157,"")</f>
        <v/>
      </c>
      <c r="G163" s="16" t="str">
        <f>IF('Paste Here'!$B157&lt;&gt;"",'Paste Here'!$B157,"")</f>
        <v/>
      </c>
      <c r="H163" s="16" t="str">
        <f>IF('Paste Here'!$C157&lt;&gt;"",'Paste Here'!$C157,"")</f>
        <v/>
      </c>
      <c r="I163" s="25" t="str">
        <f>IF('Paste Here'!$D157&lt;&gt;"",'Paste Here'!$D157,"")</f>
        <v/>
      </c>
      <c r="J163" s="27" t="str">
        <f>IF('Paste Here'!$E157&lt;&gt;"",'Paste Here'!$E157,"")</f>
        <v/>
      </c>
      <c r="K163" s="16" t="str">
        <f>IF('Paste Here'!$F157&lt;&gt;"",'Paste Here'!$F157,"")</f>
        <v/>
      </c>
      <c r="L163" s="16" t="str">
        <f>IF('Paste Here'!$G157&lt;&gt;"",'Paste Here'!$G157,"")</f>
        <v/>
      </c>
      <c r="M163" s="18" t="str">
        <f t="shared" si="5"/>
        <v/>
      </c>
    </row>
    <row r="164" spans="1:13" s="17" customFormat="1" x14ac:dyDescent="0.25">
      <c r="A164" s="16" t="str">
        <f>IF(URN&lt;&gt;"",_xll.mdValue("Resident",_xlnm.Database,$F164),"")</f>
        <v/>
      </c>
      <c r="B164" s="16" t="str">
        <f>IF(PersonId&lt;&gt;"",_xll.mdValue("Resident First Name",_xlnm.Database,$A$8),"")</f>
        <v/>
      </c>
      <c r="C164" s="16" t="str">
        <f>IF(PersonId&lt;&gt;"",_xll.mdValue("Resident Last Name",_xlnm.Database,$A$8),"")</f>
        <v/>
      </c>
      <c r="D164" s="16" t="str">
        <f>IF(PersonId&lt;&gt;"",_xll.mdValue("Person Accomodation Code",_xlnm.Database,$A164),"")</f>
        <v/>
      </c>
      <c r="E164" s="28" t="str">
        <f t="shared" si="4"/>
        <v/>
      </c>
      <c r="F164" s="16" t="str">
        <f>IF('Paste Here'!$A158&lt;&gt;"",'Paste Here'!$A158,"")</f>
        <v/>
      </c>
      <c r="G164" s="16" t="str">
        <f>IF('Paste Here'!$B158&lt;&gt;"",'Paste Here'!$B158,"")</f>
        <v/>
      </c>
      <c r="H164" s="16" t="str">
        <f>IF('Paste Here'!$C158&lt;&gt;"",'Paste Here'!$C158,"")</f>
        <v/>
      </c>
      <c r="I164" s="25" t="str">
        <f>IF('Paste Here'!$D158&lt;&gt;"",'Paste Here'!$D158,"")</f>
        <v/>
      </c>
      <c r="J164" s="27" t="str">
        <f>IF('Paste Here'!$E158&lt;&gt;"",'Paste Here'!$E158,"")</f>
        <v/>
      </c>
      <c r="K164" s="16" t="str">
        <f>IF('Paste Here'!$F158&lt;&gt;"",'Paste Here'!$F158,"")</f>
        <v/>
      </c>
      <c r="L164" s="16" t="str">
        <f>IF('Paste Here'!$G158&lt;&gt;"",'Paste Here'!$G158,"")</f>
        <v/>
      </c>
      <c r="M164" s="18" t="str">
        <f t="shared" si="5"/>
        <v/>
      </c>
    </row>
    <row r="165" spans="1:13" s="17" customFormat="1" x14ac:dyDescent="0.25">
      <c r="A165" s="16" t="str">
        <f>IF(URN&lt;&gt;"",_xll.mdValue("Resident",_xlnm.Database,$F165),"")</f>
        <v/>
      </c>
      <c r="B165" s="16" t="str">
        <f>IF(PersonId&lt;&gt;"",_xll.mdValue("Resident First Name",_xlnm.Database,$A$8),"")</f>
        <v/>
      </c>
      <c r="C165" s="16" t="str">
        <f>IF(PersonId&lt;&gt;"",_xll.mdValue("Resident Last Name",_xlnm.Database,$A$8),"")</f>
        <v/>
      </c>
      <c r="D165" s="16" t="str">
        <f>IF(PersonId&lt;&gt;"",_xll.mdValue("Person Accomodation Code",_xlnm.Database,$A165),"")</f>
        <v/>
      </c>
      <c r="E165" s="28" t="str">
        <f t="shared" si="4"/>
        <v/>
      </c>
      <c r="F165" s="16" t="str">
        <f>IF('Paste Here'!$A159&lt;&gt;"",'Paste Here'!$A159,"")</f>
        <v/>
      </c>
      <c r="G165" s="16" t="str">
        <f>IF('Paste Here'!$B159&lt;&gt;"",'Paste Here'!$B159,"")</f>
        <v/>
      </c>
      <c r="H165" s="16" t="str">
        <f>IF('Paste Here'!$C159&lt;&gt;"",'Paste Here'!$C159,"")</f>
        <v/>
      </c>
      <c r="I165" s="25" t="str">
        <f>IF('Paste Here'!$D159&lt;&gt;"",'Paste Here'!$D159,"")</f>
        <v/>
      </c>
      <c r="J165" s="27" t="str">
        <f>IF('Paste Here'!$E159&lt;&gt;"",'Paste Here'!$E159,"")</f>
        <v/>
      </c>
      <c r="K165" s="16" t="str">
        <f>IF('Paste Here'!$F159&lt;&gt;"",'Paste Here'!$F159,"")</f>
        <v/>
      </c>
      <c r="L165" s="16" t="str">
        <f>IF('Paste Here'!$G159&lt;&gt;"",'Paste Here'!$G159,"")</f>
        <v/>
      </c>
      <c r="M165" s="18" t="str">
        <f t="shared" si="5"/>
        <v/>
      </c>
    </row>
    <row r="166" spans="1:13" s="17" customFormat="1" x14ac:dyDescent="0.25">
      <c r="A166" s="16" t="str">
        <f>IF(URN&lt;&gt;"",_xll.mdValue("Resident",_xlnm.Database,$F166),"")</f>
        <v/>
      </c>
      <c r="B166" s="16" t="str">
        <f>IF(PersonId&lt;&gt;"",_xll.mdValue("Resident First Name",_xlnm.Database,$A$8),"")</f>
        <v/>
      </c>
      <c r="C166" s="16" t="str">
        <f>IF(PersonId&lt;&gt;"",_xll.mdValue("Resident Last Name",_xlnm.Database,$A$8),"")</f>
        <v/>
      </c>
      <c r="D166" s="16" t="str">
        <f>IF(PersonId&lt;&gt;"",_xll.mdValue("Person Accomodation Code",_xlnm.Database,$A166),"")</f>
        <v/>
      </c>
      <c r="E166" s="28" t="str">
        <f t="shared" si="4"/>
        <v/>
      </c>
      <c r="F166" s="16" t="str">
        <f>IF('Paste Here'!$A160&lt;&gt;"",'Paste Here'!$A160,"")</f>
        <v/>
      </c>
      <c r="G166" s="16" t="str">
        <f>IF('Paste Here'!$B160&lt;&gt;"",'Paste Here'!$B160,"")</f>
        <v/>
      </c>
      <c r="H166" s="16" t="str">
        <f>IF('Paste Here'!$C160&lt;&gt;"",'Paste Here'!$C160,"")</f>
        <v/>
      </c>
      <c r="I166" s="25" t="str">
        <f>IF('Paste Here'!$D160&lt;&gt;"",'Paste Here'!$D160,"")</f>
        <v/>
      </c>
      <c r="J166" s="27" t="str">
        <f>IF('Paste Here'!$E160&lt;&gt;"",'Paste Here'!$E160,"")</f>
        <v/>
      </c>
      <c r="K166" s="16" t="str">
        <f>IF('Paste Here'!$F160&lt;&gt;"",'Paste Here'!$F160,"")</f>
        <v/>
      </c>
      <c r="L166" s="16" t="str">
        <f>IF('Paste Here'!$G160&lt;&gt;"",'Paste Here'!$G160,"")</f>
        <v/>
      </c>
      <c r="M166" s="18" t="str">
        <f t="shared" si="5"/>
        <v/>
      </c>
    </row>
    <row r="167" spans="1:13" s="17" customFormat="1" x14ac:dyDescent="0.25">
      <c r="A167" s="16" t="str">
        <f>IF(URN&lt;&gt;"",_xll.mdValue("Resident",_xlnm.Database,$F167),"")</f>
        <v/>
      </c>
      <c r="B167" s="16" t="str">
        <f>IF(PersonId&lt;&gt;"",_xll.mdValue("Resident First Name",_xlnm.Database,$A$8),"")</f>
        <v/>
      </c>
      <c r="C167" s="16" t="str">
        <f>IF(PersonId&lt;&gt;"",_xll.mdValue("Resident Last Name",_xlnm.Database,$A$8),"")</f>
        <v/>
      </c>
      <c r="D167" s="16" t="str">
        <f>IF(PersonId&lt;&gt;"",_xll.mdValue("Person Accomodation Code",_xlnm.Database,$A167),"")</f>
        <v/>
      </c>
      <c r="E167" s="28" t="str">
        <f t="shared" si="4"/>
        <v/>
      </c>
      <c r="F167" s="16" t="str">
        <f>IF('Paste Here'!$A161&lt;&gt;"",'Paste Here'!$A161,"")</f>
        <v/>
      </c>
      <c r="G167" s="16" t="str">
        <f>IF('Paste Here'!$B161&lt;&gt;"",'Paste Here'!$B161,"")</f>
        <v/>
      </c>
      <c r="H167" s="16" t="str">
        <f>IF('Paste Here'!$C161&lt;&gt;"",'Paste Here'!$C161,"")</f>
        <v/>
      </c>
      <c r="I167" s="25" t="str">
        <f>IF('Paste Here'!$D161&lt;&gt;"",'Paste Here'!$D161,"")</f>
        <v/>
      </c>
      <c r="J167" s="27" t="str">
        <f>IF('Paste Here'!$E161&lt;&gt;"",'Paste Here'!$E161,"")</f>
        <v/>
      </c>
      <c r="K167" s="16" t="str">
        <f>IF('Paste Here'!$F161&lt;&gt;"",'Paste Here'!$F161,"")</f>
        <v/>
      </c>
      <c r="L167" s="16" t="str">
        <f>IF('Paste Here'!$G161&lt;&gt;"",'Paste Here'!$G161,"")</f>
        <v/>
      </c>
      <c r="M167" s="18" t="str">
        <f t="shared" si="5"/>
        <v/>
      </c>
    </row>
    <row r="168" spans="1:13" s="17" customFormat="1" x14ac:dyDescent="0.25">
      <c r="A168" s="16" t="str">
        <f>IF(URN&lt;&gt;"",_xll.mdValue("Resident",_xlnm.Database,$F168),"")</f>
        <v/>
      </c>
      <c r="B168" s="16" t="str">
        <f>IF(PersonId&lt;&gt;"",_xll.mdValue("Resident First Name",_xlnm.Database,$A$8),"")</f>
        <v/>
      </c>
      <c r="C168" s="16" t="str">
        <f>IF(PersonId&lt;&gt;"",_xll.mdValue("Resident Last Name",_xlnm.Database,$A$8),"")</f>
        <v/>
      </c>
      <c r="D168" s="16" t="str">
        <f>IF(PersonId&lt;&gt;"",_xll.mdValue("Person Accomodation Code",_xlnm.Database,$A168),"")</f>
        <v/>
      </c>
      <c r="E168" s="28" t="str">
        <f t="shared" si="4"/>
        <v/>
      </c>
      <c r="F168" s="16" t="str">
        <f>IF('Paste Here'!$A162&lt;&gt;"",'Paste Here'!$A162,"")</f>
        <v/>
      </c>
      <c r="G168" s="16" t="str">
        <f>IF('Paste Here'!$B162&lt;&gt;"",'Paste Here'!$B162,"")</f>
        <v/>
      </c>
      <c r="H168" s="16" t="str">
        <f>IF('Paste Here'!$C162&lt;&gt;"",'Paste Here'!$C162,"")</f>
        <v/>
      </c>
      <c r="I168" s="25" t="str">
        <f>IF('Paste Here'!$D162&lt;&gt;"",'Paste Here'!$D162,"")</f>
        <v/>
      </c>
      <c r="J168" s="27" t="str">
        <f>IF('Paste Here'!$E162&lt;&gt;"",'Paste Here'!$E162,"")</f>
        <v/>
      </c>
      <c r="K168" s="16" t="str">
        <f>IF('Paste Here'!$F162&lt;&gt;"",'Paste Here'!$F162,"")</f>
        <v/>
      </c>
      <c r="L168" s="16" t="str">
        <f>IF('Paste Here'!$G162&lt;&gt;"",'Paste Here'!$G162,"")</f>
        <v/>
      </c>
      <c r="M168" s="18" t="str">
        <f t="shared" si="5"/>
        <v/>
      </c>
    </row>
    <row r="169" spans="1:13" s="17" customFormat="1" x14ac:dyDescent="0.25">
      <c r="A169" s="16" t="str">
        <f>IF(URN&lt;&gt;"",_xll.mdValue("Resident",_xlnm.Database,$F169),"")</f>
        <v/>
      </c>
      <c r="B169" s="16" t="str">
        <f>IF(PersonId&lt;&gt;"",_xll.mdValue("Resident First Name",_xlnm.Database,$A$8),"")</f>
        <v/>
      </c>
      <c r="C169" s="16" t="str">
        <f>IF(PersonId&lt;&gt;"",_xll.mdValue("Resident Last Name",_xlnm.Database,$A$8),"")</f>
        <v/>
      </c>
      <c r="D169" s="16" t="str">
        <f>IF(PersonId&lt;&gt;"",_xll.mdValue("Person Accomodation Code",_xlnm.Database,$A169),"")</f>
        <v/>
      </c>
      <c r="E169" s="28" t="str">
        <f t="shared" si="4"/>
        <v/>
      </c>
      <c r="F169" s="16" t="str">
        <f>IF('Paste Here'!$A163&lt;&gt;"",'Paste Here'!$A163,"")</f>
        <v/>
      </c>
      <c r="G169" s="16" t="str">
        <f>IF('Paste Here'!$B163&lt;&gt;"",'Paste Here'!$B163,"")</f>
        <v/>
      </c>
      <c r="H169" s="16" t="str">
        <f>IF('Paste Here'!$C163&lt;&gt;"",'Paste Here'!$C163,"")</f>
        <v/>
      </c>
      <c r="I169" s="25" t="str">
        <f>IF('Paste Here'!$D163&lt;&gt;"",'Paste Here'!$D163,"")</f>
        <v/>
      </c>
      <c r="J169" s="27" t="str">
        <f>IF('Paste Here'!$E163&lt;&gt;"",'Paste Here'!$E163,"")</f>
        <v/>
      </c>
      <c r="K169" s="16" t="str">
        <f>IF('Paste Here'!$F163&lt;&gt;"",'Paste Here'!$F163,"")</f>
        <v/>
      </c>
      <c r="L169" s="16" t="str">
        <f>IF('Paste Here'!$G163&lt;&gt;"",'Paste Here'!$G163,"")</f>
        <v/>
      </c>
      <c r="M169" s="18" t="str">
        <f t="shared" si="5"/>
        <v/>
      </c>
    </row>
    <row r="170" spans="1:13" s="17" customFormat="1" x14ac:dyDescent="0.25">
      <c r="A170" s="16" t="str">
        <f>IF(URN&lt;&gt;"",_xll.mdValue("Resident",_xlnm.Database,$F170),"")</f>
        <v/>
      </c>
      <c r="B170" s="16" t="str">
        <f>IF(PersonId&lt;&gt;"",_xll.mdValue("Resident First Name",_xlnm.Database,$A$8),"")</f>
        <v/>
      </c>
      <c r="C170" s="16" t="str">
        <f>IF(PersonId&lt;&gt;"",_xll.mdValue("Resident Last Name",_xlnm.Database,$A$8),"")</f>
        <v/>
      </c>
      <c r="D170" s="16" t="str">
        <f>IF(PersonId&lt;&gt;"",_xll.mdValue("Person Accomodation Code",_xlnm.Database,$A170),"")</f>
        <v/>
      </c>
      <c r="E170" s="28" t="str">
        <f t="shared" si="4"/>
        <v/>
      </c>
      <c r="F170" s="16" t="str">
        <f>IF('Paste Here'!$A164&lt;&gt;"",'Paste Here'!$A164,"")</f>
        <v/>
      </c>
      <c r="G170" s="16" t="str">
        <f>IF('Paste Here'!$B164&lt;&gt;"",'Paste Here'!$B164,"")</f>
        <v/>
      </c>
      <c r="H170" s="16" t="str">
        <f>IF('Paste Here'!$C164&lt;&gt;"",'Paste Here'!$C164,"")</f>
        <v/>
      </c>
      <c r="I170" s="25" t="str">
        <f>IF('Paste Here'!$D164&lt;&gt;"",'Paste Here'!$D164,"")</f>
        <v/>
      </c>
      <c r="J170" s="27" t="str">
        <f>IF('Paste Here'!$E164&lt;&gt;"",'Paste Here'!$E164,"")</f>
        <v/>
      </c>
      <c r="K170" s="16" t="str">
        <f>IF('Paste Here'!$F164&lt;&gt;"",'Paste Here'!$F164,"")</f>
        <v/>
      </c>
      <c r="L170" s="16" t="str">
        <f>IF('Paste Here'!$G164&lt;&gt;"",'Paste Here'!$G164,"")</f>
        <v/>
      </c>
      <c r="M170" s="18" t="str">
        <f t="shared" si="5"/>
        <v/>
      </c>
    </row>
    <row r="171" spans="1:13" s="17" customFormat="1" x14ac:dyDescent="0.25">
      <c r="A171" s="16" t="str">
        <f>IF(URN&lt;&gt;"",_xll.mdValue("Resident",_xlnm.Database,$F171),"")</f>
        <v/>
      </c>
      <c r="B171" s="16" t="str">
        <f>IF(PersonId&lt;&gt;"",_xll.mdValue("Resident First Name",_xlnm.Database,$A$8),"")</f>
        <v/>
      </c>
      <c r="C171" s="16" t="str">
        <f>IF(PersonId&lt;&gt;"",_xll.mdValue("Resident Last Name",_xlnm.Database,$A$8),"")</f>
        <v/>
      </c>
      <c r="D171" s="16" t="str">
        <f>IF(PersonId&lt;&gt;"",_xll.mdValue("Person Accomodation Code",_xlnm.Database,$A171),"")</f>
        <v/>
      </c>
      <c r="E171" s="28" t="str">
        <f t="shared" si="4"/>
        <v/>
      </c>
      <c r="F171" s="16" t="str">
        <f>IF('Paste Here'!$A165&lt;&gt;"",'Paste Here'!$A165,"")</f>
        <v/>
      </c>
      <c r="G171" s="16" t="str">
        <f>IF('Paste Here'!$B165&lt;&gt;"",'Paste Here'!$B165,"")</f>
        <v/>
      </c>
      <c r="H171" s="16" t="str">
        <f>IF('Paste Here'!$C165&lt;&gt;"",'Paste Here'!$C165,"")</f>
        <v/>
      </c>
      <c r="I171" s="25" t="str">
        <f>IF('Paste Here'!$D165&lt;&gt;"",'Paste Here'!$D165,"")</f>
        <v/>
      </c>
      <c r="J171" s="27" t="str">
        <f>IF('Paste Here'!$E165&lt;&gt;"",'Paste Here'!$E165,"")</f>
        <v/>
      </c>
      <c r="K171" s="16" t="str">
        <f>IF('Paste Here'!$F165&lt;&gt;"",'Paste Here'!$F165,"")</f>
        <v/>
      </c>
      <c r="L171" s="16" t="str">
        <f>IF('Paste Here'!$G165&lt;&gt;"",'Paste Here'!$G165,"")</f>
        <v/>
      </c>
      <c r="M171" s="18" t="str">
        <f t="shared" si="5"/>
        <v/>
      </c>
    </row>
    <row r="172" spans="1:13" s="17" customFormat="1" x14ac:dyDescent="0.25">
      <c r="A172" s="16" t="str">
        <f>IF(URN&lt;&gt;"",_xll.mdValue("Resident",_xlnm.Database,$F172),"")</f>
        <v/>
      </c>
      <c r="B172" s="16" t="str">
        <f>IF(PersonId&lt;&gt;"",_xll.mdValue("Resident First Name",_xlnm.Database,$A$8),"")</f>
        <v/>
      </c>
      <c r="C172" s="16" t="str">
        <f>IF(PersonId&lt;&gt;"",_xll.mdValue("Resident Last Name",_xlnm.Database,$A$8),"")</f>
        <v/>
      </c>
      <c r="D172" s="16" t="str">
        <f>IF(PersonId&lt;&gt;"",_xll.mdValue("Person Accomodation Code",_xlnm.Database,$A172),"")</f>
        <v/>
      </c>
      <c r="E172" s="28" t="str">
        <f t="shared" si="4"/>
        <v/>
      </c>
      <c r="F172" s="16" t="str">
        <f>IF('Paste Here'!$A166&lt;&gt;"",'Paste Here'!$A166,"")</f>
        <v/>
      </c>
      <c r="G172" s="16" t="str">
        <f>IF('Paste Here'!$B166&lt;&gt;"",'Paste Here'!$B166,"")</f>
        <v/>
      </c>
      <c r="H172" s="16" t="str">
        <f>IF('Paste Here'!$C166&lt;&gt;"",'Paste Here'!$C166,"")</f>
        <v/>
      </c>
      <c r="I172" s="25" t="str">
        <f>IF('Paste Here'!$D166&lt;&gt;"",'Paste Here'!$D166,"")</f>
        <v/>
      </c>
      <c r="J172" s="27" t="str">
        <f>IF('Paste Here'!$E166&lt;&gt;"",'Paste Here'!$E166,"")</f>
        <v/>
      </c>
      <c r="K172" s="16" t="str">
        <f>IF('Paste Here'!$F166&lt;&gt;"",'Paste Here'!$F166,"")</f>
        <v/>
      </c>
      <c r="L172" s="16" t="str">
        <f>IF('Paste Here'!$G166&lt;&gt;"",'Paste Here'!$G166,"")</f>
        <v/>
      </c>
      <c r="M172" s="18" t="str">
        <f t="shared" si="5"/>
        <v/>
      </c>
    </row>
    <row r="173" spans="1:13" s="17" customFormat="1" x14ac:dyDescent="0.25">
      <c r="A173" s="16" t="str">
        <f>IF(URN&lt;&gt;"",_xll.mdValue("Resident",_xlnm.Database,$F173),"")</f>
        <v/>
      </c>
      <c r="B173" s="16" t="str">
        <f>IF(PersonId&lt;&gt;"",_xll.mdValue("Resident First Name",_xlnm.Database,$A$8),"")</f>
        <v/>
      </c>
      <c r="C173" s="16" t="str">
        <f>IF(PersonId&lt;&gt;"",_xll.mdValue("Resident Last Name",_xlnm.Database,$A$8),"")</f>
        <v/>
      </c>
      <c r="D173" s="16" t="str">
        <f>IF(PersonId&lt;&gt;"",_xll.mdValue("Person Accomodation Code",_xlnm.Database,$A173),"")</f>
        <v/>
      </c>
      <c r="E173" s="28" t="str">
        <f t="shared" si="4"/>
        <v/>
      </c>
      <c r="F173" s="16" t="str">
        <f>IF('Paste Here'!$A167&lt;&gt;"",'Paste Here'!$A167,"")</f>
        <v/>
      </c>
      <c r="G173" s="16" t="str">
        <f>IF('Paste Here'!$B167&lt;&gt;"",'Paste Here'!$B167,"")</f>
        <v/>
      </c>
      <c r="H173" s="16" t="str">
        <f>IF('Paste Here'!$C167&lt;&gt;"",'Paste Here'!$C167,"")</f>
        <v/>
      </c>
      <c r="I173" s="25" t="str">
        <f>IF('Paste Here'!$D167&lt;&gt;"",'Paste Here'!$D167,"")</f>
        <v/>
      </c>
      <c r="J173" s="27" t="str">
        <f>IF('Paste Here'!$E167&lt;&gt;"",'Paste Here'!$E167,"")</f>
        <v/>
      </c>
      <c r="K173" s="16" t="str">
        <f>IF('Paste Here'!$F167&lt;&gt;"",'Paste Here'!$F167,"")</f>
        <v/>
      </c>
      <c r="L173" s="16" t="str">
        <f>IF('Paste Here'!$G167&lt;&gt;"",'Paste Here'!$G167,"")</f>
        <v/>
      </c>
      <c r="M173" s="18" t="str">
        <f t="shared" si="5"/>
        <v/>
      </c>
    </row>
    <row r="174" spans="1:13" s="17" customFormat="1" x14ac:dyDescent="0.25">
      <c r="A174" s="16" t="str">
        <f>IF(URN&lt;&gt;"",_xll.mdValue("Resident",_xlnm.Database,$F174),"")</f>
        <v/>
      </c>
      <c r="B174" s="16" t="str">
        <f>IF(PersonId&lt;&gt;"",_xll.mdValue("Resident First Name",_xlnm.Database,$A$8),"")</f>
        <v/>
      </c>
      <c r="C174" s="16" t="str">
        <f>IF(PersonId&lt;&gt;"",_xll.mdValue("Resident Last Name",_xlnm.Database,$A$8),"")</f>
        <v/>
      </c>
      <c r="D174" s="16" t="str">
        <f>IF(PersonId&lt;&gt;"",_xll.mdValue("Person Accomodation Code",_xlnm.Database,$A174),"")</f>
        <v/>
      </c>
      <c r="E174" s="28" t="str">
        <f t="shared" si="4"/>
        <v/>
      </c>
      <c r="F174" s="16" t="str">
        <f>IF('Paste Here'!$A168&lt;&gt;"",'Paste Here'!$A168,"")</f>
        <v/>
      </c>
      <c r="G174" s="16" t="str">
        <f>IF('Paste Here'!$B168&lt;&gt;"",'Paste Here'!$B168,"")</f>
        <v/>
      </c>
      <c r="H174" s="16" t="str">
        <f>IF('Paste Here'!$C168&lt;&gt;"",'Paste Here'!$C168,"")</f>
        <v/>
      </c>
      <c r="I174" s="25" t="str">
        <f>IF('Paste Here'!$D168&lt;&gt;"",'Paste Here'!$D168,"")</f>
        <v/>
      </c>
      <c r="J174" s="27" t="str">
        <f>IF('Paste Here'!$E168&lt;&gt;"",'Paste Here'!$E168,"")</f>
        <v/>
      </c>
      <c r="K174" s="16" t="str">
        <f>IF('Paste Here'!$F168&lt;&gt;"",'Paste Here'!$F168,"")</f>
        <v/>
      </c>
      <c r="L174" s="16" t="str">
        <f>IF('Paste Here'!$G168&lt;&gt;"",'Paste Here'!$G168,"")</f>
        <v/>
      </c>
      <c r="M174" s="18" t="str">
        <f t="shared" si="5"/>
        <v/>
      </c>
    </row>
    <row r="175" spans="1:13" s="17" customFormat="1" x14ac:dyDescent="0.25">
      <c r="A175" s="16" t="str">
        <f>IF(URN&lt;&gt;"",_xll.mdValue("Resident",_xlnm.Database,$F175),"")</f>
        <v/>
      </c>
      <c r="B175" s="16" t="str">
        <f>IF(PersonId&lt;&gt;"",_xll.mdValue("Resident First Name",_xlnm.Database,$A$8),"")</f>
        <v/>
      </c>
      <c r="C175" s="16" t="str">
        <f>IF(PersonId&lt;&gt;"",_xll.mdValue("Resident Last Name",_xlnm.Database,$A$8),"")</f>
        <v/>
      </c>
      <c r="D175" s="16" t="str">
        <f>IF(PersonId&lt;&gt;"",_xll.mdValue("Person Accomodation Code",_xlnm.Database,$A175),"")</f>
        <v/>
      </c>
      <c r="E175" s="28" t="str">
        <f t="shared" si="4"/>
        <v/>
      </c>
      <c r="F175" s="16" t="str">
        <f>IF('Paste Here'!$A169&lt;&gt;"",'Paste Here'!$A169,"")</f>
        <v/>
      </c>
      <c r="G175" s="16" t="str">
        <f>IF('Paste Here'!$B169&lt;&gt;"",'Paste Here'!$B169,"")</f>
        <v/>
      </c>
      <c r="H175" s="16" t="str">
        <f>IF('Paste Here'!$C169&lt;&gt;"",'Paste Here'!$C169,"")</f>
        <v/>
      </c>
      <c r="I175" s="25" t="str">
        <f>IF('Paste Here'!$D169&lt;&gt;"",'Paste Here'!$D169,"")</f>
        <v/>
      </c>
      <c r="J175" s="27" t="str">
        <f>IF('Paste Here'!$E169&lt;&gt;"",'Paste Here'!$E169,"")</f>
        <v/>
      </c>
      <c r="K175" s="16" t="str">
        <f>IF('Paste Here'!$F169&lt;&gt;"",'Paste Here'!$F169,"")</f>
        <v/>
      </c>
      <c r="L175" s="16" t="str">
        <f>IF('Paste Here'!$G169&lt;&gt;"",'Paste Here'!$G169,"")</f>
        <v/>
      </c>
      <c r="M175" s="18" t="str">
        <f t="shared" si="5"/>
        <v/>
      </c>
    </row>
    <row r="176" spans="1:13" s="17" customFormat="1" x14ac:dyDescent="0.25">
      <c r="A176" s="16" t="str">
        <f>IF(URN&lt;&gt;"",_xll.mdValue("Resident",_xlnm.Database,$F176),"")</f>
        <v/>
      </c>
      <c r="B176" s="16" t="str">
        <f>IF(PersonId&lt;&gt;"",_xll.mdValue("Resident First Name",_xlnm.Database,$A$8),"")</f>
        <v/>
      </c>
      <c r="C176" s="16" t="str">
        <f>IF(PersonId&lt;&gt;"",_xll.mdValue("Resident Last Name",_xlnm.Database,$A$8),"")</f>
        <v/>
      </c>
      <c r="D176" s="16" t="str">
        <f>IF(PersonId&lt;&gt;"",_xll.mdValue("Person Accomodation Code",_xlnm.Database,$A176),"")</f>
        <v/>
      </c>
      <c r="E176" s="28" t="str">
        <f t="shared" si="4"/>
        <v/>
      </c>
      <c r="F176" s="16" t="str">
        <f>IF('Paste Here'!$A170&lt;&gt;"",'Paste Here'!$A170,"")</f>
        <v/>
      </c>
      <c r="G176" s="16" t="str">
        <f>IF('Paste Here'!$B170&lt;&gt;"",'Paste Here'!$B170,"")</f>
        <v/>
      </c>
      <c r="H176" s="16" t="str">
        <f>IF('Paste Here'!$C170&lt;&gt;"",'Paste Here'!$C170,"")</f>
        <v/>
      </c>
      <c r="I176" s="25" t="str">
        <f>IF('Paste Here'!$D170&lt;&gt;"",'Paste Here'!$D170,"")</f>
        <v/>
      </c>
      <c r="J176" s="27" t="str">
        <f>IF('Paste Here'!$E170&lt;&gt;"",'Paste Here'!$E170,"")</f>
        <v/>
      </c>
      <c r="K176" s="16" t="str">
        <f>IF('Paste Here'!$F170&lt;&gt;"",'Paste Here'!$F170,"")</f>
        <v/>
      </c>
      <c r="L176" s="16" t="str">
        <f>IF('Paste Here'!$G170&lt;&gt;"",'Paste Here'!$G170,"")</f>
        <v/>
      </c>
      <c r="M176" s="18" t="str">
        <f t="shared" si="5"/>
        <v/>
      </c>
    </row>
    <row r="177" spans="1:13" s="17" customFormat="1" x14ac:dyDescent="0.25">
      <c r="A177" s="16" t="str">
        <f>IF(URN&lt;&gt;"",_xll.mdValue("Resident",_xlnm.Database,$F177),"")</f>
        <v/>
      </c>
      <c r="B177" s="16" t="str">
        <f>IF(PersonId&lt;&gt;"",_xll.mdValue("Resident First Name",_xlnm.Database,$A$8),"")</f>
        <v/>
      </c>
      <c r="C177" s="16" t="str">
        <f>IF(PersonId&lt;&gt;"",_xll.mdValue("Resident Last Name",_xlnm.Database,$A$8),"")</f>
        <v/>
      </c>
      <c r="D177" s="16" t="str">
        <f>IF(PersonId&lt;&gt;"",_xll.mdValue("Person Accomodation Code",_xlnm.Database,$A177),"")</f>
        <v/>
      </c>
      <c r="E177" s="28" t="str">
        <f t="shared" si="4"/>
        <v/>
      </c>
      <c r="F177" s="16" t="str">
        <f>IF('Paste Here'!$A171&lt;&gt;"",'Paste Here'!$A171,"")</f>
        <v/>
      </c>
      <c r="G177" s="16" t="str">
        <f>IF('Paste Here'!$B171&lt;&gt;"",'Paste Here'!$B171,"")</f>
        <v/>
      </c>
      <c r="H177" s="16" t="str">
        <f>IF('Paste Here'!$C171&lt;&gt;"",'Paste Here'!$C171,"")</f>
        <v/>
      </c>
      <c r="I177" s="25" t="str">
        <f>IF('Paste Here'!$D171&lt;&gt;"",'Paste Here'!$D171,"")</f>
        <v/>
      </c>
      <c r="J177" s="27" t="str">
        <f>IF('Paste Here'!$E171&lt;&gt;"",'Paste Here'!$E171,"")</f>
        <v/>
      </c>
      <c r="K177" s="16" t="str">
        <f>IF('Paste Here'!$F171&lt;&gt;"",'Paste Here'!$F171,"")</f>
        <v/>
      </c>
      <c r="L177" s="16" t="str">
        <f>IF('Paste Here'!$G171&lt;&gt;"",'Paste Here'!$G171,"")</f>
        <v/>
      </c>
      <c r="M177" s="18" t="str">
        <f t="shared" si="5"/>
        <v/>
      </c>
    </row>
    <row r="178" spans="1:13" s="17" customFormat="1" x14ac:dyDescent="0.25">
      <c r="A178" s="16" t="str">
        <f>IF(URN&lt;&gt;"",_xll.mdValue("Resident",_xlnm.Database,$F178),"")</f>
        <v/>
      </c>
      <c r="B178" s="16" t="str">
        <f>IF(PersonId&lt;&gt;"",_xll.mdValue("Resident First Name",_xlnm.Database,$A$8),"")</f>
        <v/>
      </c>
      <c r="C178" s="16" t="str">
        <f>IF(PersonId&lt;&gt;"",_xll.mdValue("Resident Last Name",_xlnm.Database,$A$8),"")</f>
        <v/>
      </c>
      <c r="D178" s="16" t="str">
        <f>IF(PersonId&lt;&gt;"",_xll.mdValue("Person Accomodation Code",_xlnm.Database,$A178),"")</f>
        <v/>
      </c>
      <c r="E178" s="28" t="str">
        <f t="shared" si="4"/>
        <v/>
      </c>
      <c r="F178" s="16" t="str">
        <f>IF('Paste Here'!$A172&lt;&gt;"",'Paste Here'!$A172,"")</f>
        <v/>
      </c>
      <c r="G178" s="16" t="str">
        <f>IF('Paste Here'!$B172&lt;&gt;"",'Paste Here'!$B172,"")</f>
        <v/>
      </c>
      <c r="H178" s="16" t="str">
        <f>IF('Paste Here'!$C172&lt;&gt;"",'Paste Here'!$C172,"")</f>
        <v/>
      </c>
      <c r="I178" s="25" t="str">
        <f>IF('Paste Here'!$D172&lt;&gt;"",'Paste Here'!$D172,"")</f>
        <v/>
      </c>
      <c r="J178" s="27" t="str">
        <f>IF('Paste Here'!$E172&lt;&gt;"",'Paste Here'!$E172,"")</f>
        <v/>
      </c>
      <c r="K178" s="16" t="str">
        <f>IF('Paste Here'!$F172&lt;&gt;"",'Paste Here'!$F172,"")</f>
        <v/>
      </c>
      <c r="L178" s="16" t="str">
        <f>IF('Paste Here'!$G172&lt;&gt;"",'Paste Here'!$G172,"")</f>
        <v/>
      </c>
      <c r="M178" s="18" t="str">
        <f t="shared" si="5"/>
        <v/>
      </c>
    </row>
    <row r="179" spans="1:13" s="17" customFormat="1" x14ac:dyDescent="0.25">
      <c r="A179" s="16" t="str">
        <f>IF(URN&lt;&gt;"",_xll.mdValue("Resident",_xlnm.Database,$F179),"")</f>
        <v/>
      </c>
      <c r="B179" s="16" t="str">
        <f>IF(PersonId&lt;&gt;"",_xll.mdValue("Resident First Name",_xlnm.Database,$A$8),"")</f>
        <v/>
      </c>
      <c r="C179" s="16" t="str">
        <f>IF(PersonId&lt;&gt;"",_xll.mdValue("Resident Last Name",_xlnm.Database,$A$8),"")</f>
        <v/>
      </c>
      <c r="D179" s="16" t="str">
        <f>IF(PersonId&lt;&gt;"",_xll.mdValue("Person Accomodation Code",_xlnm.Database,$A179),"")</f>
        <v/>
      </c>
      <c r="E179" s="28" t="str">
        <f t="shared" si="4"/>
        <v/>
      </c>
      <c r="F179" s="16" t="str">
        <f>IF('Paste Here'!$A173&lt;&gt;"",'Paste Here'!$A173,"")</f>
        <v/>
      </c>
      <c r="G179" s="16" t="str">
        <f>IF('Paste Here'!$B173&lt;&gt;"",'Paste Here'!$B173,"")</f>
        <v/>
      </c>
      <c r="H179" s="16" t="str">
        <f>IF('Paste Here'!$C173&lt;&gt;"",'Paste Here'!$C173,"")</f>
        <v/>
      </c>
      <c r="I179" s="25" t="str">
        <f>IF('Paste Here'!$D173&lt;&gt;"",'Paste Here'!$D173,"")</f>
        <v/>
      </c>
      <c r="J179" s="27" t="str">
        <f>IF('Paste Here'!$E173&lt;&gt;"",'Paste Here'!$E173,"")</f>
        <v/>
      </c>
      <c r="K179" s="16" t="str">
        <f>IF('Paste Here'!$F173&lt;&gt;"",'Paste Here'!$F173,"")</f>
        <v/>
      </c>
      <c r="L179" s="16" t="str">
        <f>IF('Paste Here'!$G173&lt;&gt;"",'Paste Here'!$G173,"")</f>
        <v/>
      </c>
      <c r="M179" s="18" t="str">
        <f t="shared" si="5"/>
        <v/>
      </c>
    </row>
    <row r="180" spans="1:13" s="17" customFormat="1" x14ac:dyDescent="0.25">
      <c r="A180" s="16" t="str">
        <f>IF(URN&lt;&gt;"",_xll.mdValue("Resident",_xlnm.Database,$F180),"")</f>
        <v/>
      </c>
      <c r="B180" s="16" t="str">
        <f>IF(PersonId&lt;&gt;"",_xll.mdValue("Resident First Name",_xlnm.Database,$A$8),"")</f>
        <v/>
      </c>
      <c r="C180" s="16" t="str">
        <f>IF(PersonId&lt;&gt;"",_xll.mdValue("Resident Last Name",_xlnm.Database,$A$8),"")</f>
        <v/>
      </c>
      <c r="D180" s="16" t="str">
        <f>IF(PersonId&lt;&gt;"",_xll.mdValue("Person Accomodation Code",_xlnm.Database,$A180),"")</f>
        <v/>
      </c>
      <c r="E180" s="28" t="str">
        <f t="shared" si="4"/>
        <v/>
      </c>
      <c r="F180" s="16" t="str">
        <f>IF('Paste Here'!$A174&lt;&gt;"",'Paste Here'!$A174,"")</f>
        <v/>
      </c>
      <c r="G180" s="16" t="str">
        <f>IF('Paste Here'!$B174&lt;&gt;"",'Paste Here'!$B174,"")</f>
        <v/>
      </c>
      <c r="H180" s="16" t="str">
        <f>IF('Paste Here'!$C174&lt;&gt;"",'Paste Here'!$C174,"")</f>
        <v/>
      </c>
      <c r="I180" s="25" t="str">
        <f>IF('Paste Here'!$D174&lt;&gt;"",'Paste Here'!$D174,"")</f>
        <v/>
      </c>
      <c r="J180" s="27" t="str">
        <f>IF('Paste Here'!$E174&lt;&gt;"",'Paste Here'!$E174,"")</f>
        <v/>
      </c>
      <c r="K180" s="16" t="str">
        <f>IF('Paste Here'!$F174&lt;&gt;"",'Paste Here'!$F174,"")</f>
        <v/>
      </c>
      <c r="L180" s="16" t="str">
        <f>IF('Paste Here'!$G174&lt;&gt;"",'Paste Here'!$G174,"")</f>
        <v/>
      </c>
      <c r="M180" s="18" t="str">
        <f t="shared" si="5"/>
        <v/>
      </c>
    </row>
    <row r="181" spans="1:13" s="17" customFormat="1" x14ac:dyDescent="0.25">
      <c r="A181" s="16" t="str">
        <f>IF(URN&lt;&gt;"",_xll.mdValue("Resident",_xlnm.Database,$F181),"")</f>
        <v/>
      </c>
      <c r="B181" s="16" t="str">
        <f>IF(PersonId&lt;&gt;"",_xll.mdValue("Resident First Name",_xlnm.Database,$A$8),"")</f>
        <v/>
      </c>
      <c r="C181" s="16" t="str">
        <f>IF(PersonId&lt;&gt;"",_xll.mdValue("Resident Last Name",_xlnm.Database,$A$8),"")</f>
        <v/>
      </c>
      <c r="D181" s="16" t="str">
        <f>IF(PersonId&lt;&gt;"",_xll.mdValue("Person Accomodation Code",_xlnm.Database,$A181),"")</f>
        <v/>
      </c>
      <c r="E181" s="28" t="str">
        <f t="shared" si="4"/>
        <v/>
      </c>
      <c r="F181" s="16" t="str">
        <f>IF('Paste Here'!$A175&lt;&gt;"",'Paste Here'!$A175,"")</f>
        <v/>
      </c>
      <c r="G181" s="16" t="str">
        <f>IF('Paste Here'!$B175&lt;&gt;"",'Paste Here'!$B175,"")</f>
        <v/>
      </c>
      <c r="H181" s="16" t="str">
        <f>IF('Paste Here'!$C175&lt;&gt;"",'Paste Here'!$C175,"")</f>
        <v/>
      </c>
      <c r="I181" s="25" t="str">
        <f>IF('Paste Here'!$D175&lt;&gt;"",'Paste Here'!$D175,"")</f>
        <v/>
      </c>
      <c r="J181" s="27" t="str">
        <f>IF('Paste Here'!$E175&lt;&gt;"",'Paste Here'!$E175,"")</f>
        <v/>
      </c>
      <c r="K181" s="16" t="str">
        <f>IF('Paste Here'!$F175&lt;&gt;"",'Paste Here'!$F175,"")</f>
        <v/>
      </c>
      <c r="L181" s="16" t="str">
        <f>IF('Paste Here'!$G175&lt;&gt;"",'Paste Here'!$G175,"")</f>
        <v/>
      </c>
      <c r="M181" s="18" t="str">
        <f t="shared" si="5"/>
        <v/>
      </c>
    </row>
    <row r="182" spans="1:13" s="17" customFormat="1" x14ac:dyDescent="0.25">
      <c r="A182" s="16" t="str">
        <f>IF(URN&lt;&gt;"",_xll.mdValue("Resident",_xlnm.Database,$F182),"")</f>
        <v/>
      </c>
      <c r="B182" s="16" t="str">
        <f>IF(PersonId&lt;&gt;"",_xll.mdValue("Resident First Name",_xlnm.Database,$A$8),"")</f>
        <v/>
      </c>
      <c r="C182" s="16" t="str">
        <f>IF(PersonId&lt;&gt;"",_xll.mdValue("Resident Last Name",_xlnm.Database,$A$8),"")</f>
        <v/>
      </c>
      <c r="D182" s="16" t="str">
        <f>IF(PersonId&lt;&gt;"",_xll.mdValue("Person Accomodation Code",_xlnm.Database,$A182),"")</f>
        <v/>
      </c>
      <c r="E182" s="28" t="str">
        <f t="shared" si="4"/>
        <v/>
      </c>
      <c r="F182" s="16" t="str">
        <f>IF('Paste Here'!$A176&lt;&gt;"",'Paste Here'!$A176,"")</f>
        <v/>
      </c>
      <c r="G182" s="16" t="str">
        <f>IF('Paste Here'!$B176&lt;&gt;"",'Paste Here'!$B176,"")</f>
        <v/>
      </c>
      <c r="H182" s="16" t="str">
        <f>IF('Paste Here'!$C176&lt;&gt;"",'Paste Here'!$C176,"")</f>
        <v/>
      </c>
      <c r="I182" s="25" t="str">
        <f>IF('Paste Here'!$D176&lt;&gt;"",'Paste Here'!$D176,"")</f>
        <v/>
      </c>
      <c r="J182" s="27" t="str">
        <f>IF('Paste Here'!$E176&lt;&gt;"",'Paste Here'!$E176,"")</f>
        <v/>
      </c>
      <c r="K182" s="16" t="str">
        <f>IF('Paste Here'!$F176&lt;&gt;"",'Paste Here'!$F176,"")</f>
        <v/>
      </c>
      <c r="L182" s="16" t="str">
        <f>IF('Paste Here'!$G176&lt;&gt;"",'Paste Here'!$G176,"")</f>
        <v/>
      </c>
      <c r="M182" s="18" t="str">
        <f t="shared" si="5"/>
        <v/>
      </c>
    </row>
    <row r="183" spans="1:13" s="17" customFormat="1" x14ac:dyDescent="0.25">
      <c r="A183" s="16" t="str">
        <f>IF(URN&lt;&gt;"",_xll.mdValue("Resident",_xlnm.Database,$F183),"")</f>
        <v/>
      </c>
      <c r="B183" s="16" t="str">
        <f>IF(PersonId&lt;&gt;"",_xll.mdValue("Resident First Name",_xlnm.Database,$A$8),"")</f>
        <v/>
      </c>
      <c r="C183" s="16" t="str">
        <f>IF(PersonId&lt;&gt;"",_xll.mdValue("Resident Last Name",_xlnm.Database,$A$8),"")</f>
        <v/>
      </c>
      <c r="D183" s="16" t="str">
        <f>IF(PersonId&lt;&gt;"",_xll.mdValue("Person Accomodation Code",_xlnm.Database,$A183),"")</f>
        <v/>
      </c>
      <c r="E183" s="28" t="str">
        <f t="shared" si="4"/>
        <v/>
      </c>
      <c r="F183" s="16" t="str">
        <f>IF('Paste Here'!$A177&lt;&gt;"",'Paste Here'!$A177,"")</f>
        <v/>
      </c>
      <c r="G183" s="16" t="str">
        <f>IF('Paste Here'!$B177&lt;&gt;"",'Paste Here'!$B177,"")</f>
        <v/>
      </c>
      <c r="H183" s="16" t="str">
        <f>IF('Paste Here'!$C177&lt;&gt;"",'Paste Here'!$C177,"")</f>
        <v/>
      </c>
      <c r="I183" s="25" t="str">
        <f>IF('Paste Here'!$D177&lt;&gt;"",'Paste Here'!$D177,"")</f>
        <v/>
      </c>
      <c r="J183" s="27" t="str">
        <f>IF('Paste Here'!$E177&lt;&gt;"",'Paste Here'!$E177,"")</f>
        <v/>
      </c>
      <c r="K183" s="16" t="str">
        <f>IF('Paste Here'!$F177&lt;&gt;"",'Paste Here'!$F177,"")</f>
        <v/>
      </c>
      <c r="L183" s="16" t="str">
        <f>IF('Paste Here'!$G177&lt;&gt;"",'Paste Here'!$G177,"")</f>
        <v/>
      </c>
      <c r="M183" s="18" t="str">
        <f t="shared" si="5"/>
        <v/>
      </c>
    </row>
    <row r="184" spans="1:13" s="17" customFormat="1" x14ac:dyDescent="0.25">
      <c r="A184" s="16" t="str">
        <f>IF(URN&lt;&gt;"",_xll.mdValue("Resident",_xlnm.Database,$F184),"")</f>
        <v/>
      </c>
      <c r="B184" s="16" t="str">
        <f>IF(PersonId&lt;&gt;"",_xll.mdValue("Resident First Name",_xlnm.Database,$A$8),"")</f>
        <v/>
      </c>
      <c r="C184" s="16" t="str">
        <f>IF(PersonId&lt;&gt;"",_xll.mdValue("Resident Last Name",_xlnm.Database,$A$8),"")</f>
        <v/>
      </c>
      <c r="D184" s="16" t="str">
        <f>IF(PersonId&lt;&gt;"",_xll.mdValue("Person Accomodation Code",_xlnm.Database,$A184),"")</f>
        <v/>
      </c>
      <c r="E184" s="28" t="str">
        <f t="shared" si="4"/>
        <v/>
      </c>
      <c r="F184" s="16" t="str">
        <f>IF('Paste Here'!$A178&lt;&gt;"",'Paste Here'!$A178,"")</f>
        <v/>
      </c>
      <c r="G184" s="16" t="str">
        <f>IF('Paste Here'!$B178&lt;&gt;"",'Paste Here'!$B178,"")</f>
        <v/>
      </c>
      <c r="H184" s="16" t="str">
        <f>IF('Paste Here'!$C178&lt;&gt;"",'Paste Here'!$C178,"")</f>
        <v/>
      </c>
      <c r="I184" s="25" t="str">
        <f>IF('Paste Here'!$D178&lt;&gt;"",'Paste Here'!$D178,"")</f>
        <v/>
      </c>
      <c r="J184" s="27" t="str">
        <f>IF('Paste Here'!$E178&lt;&gt;"",'Paste Here'!$E178,"")</f>
        <v/>
      </c>
      <c r="K184" s="16" t="str">
        <f>IF('Paste Here'!$F178&lt;&gt;"",'Paste Here'!$F178,"")</f>
        <v/>
      </c>
      <c r="L184" s="16" t="str">
        <f>IF('Paste Here'!$G178&lt;&gt;"",'Paste Here'!$G178,"")</f>
        <v/>
      </c>
      <c r="M184" s="18" t="str">
        <f t="shared" si="5"/>
        <v/>
      </c>
    </row>
    <row r="185" spans="1:13" s="17" customFormat="1" x14ac:dyDescent="0.25">
      <c r="A185" s="16" t="str">
        <f>IF(URN&lt;&gt;"",_xll.mdValue("Resident",_xlnm.Database,$F185),"")</f>
        <v/>
      </c>
      <c r="B185" s="16" t="str">
        <f>IF(PersonId&lt;&gt;"",_xll.mdValue("Resident First Name",_xlnm.Database,$A$8),"")</f>
        <v/>
      </c>
      <c r="C185" s="16" t="str">
        <f>IF(PersonId&lt;&gt;"",_xll.mdValue("Resident Last Name",_xlnm.Database,$A$8),"")</f>
        <v/>
      </c>
      <c r="D185" s="16" t="str">
        <f>IF(PersonId&lt;&gt;"",_xll.mdValue("Person Accomodation Code",_xlnm.Database,$A185),"")</f>
        <v/>
      </c>
      <c r="E185" s="28" t="str">
        <f t="shared" si="4"/>
        <v/>
      </c>
      <c r="F185" s="16" t="str">
        <f>IF('Paste Here'!$A179&lt;&gt;"",'Paste Here'!$A179,"")</f>
        <v/>
      </c>
      <c r="G185" s="16" t="str">
        <f>IF('Paste Here'!$B179&lt;&gt;"",'Paste Here'!$B179,"")</f>
        <v/>
      </c>
      <c r="H185" s="16" t="str">
        <f>IF('Paste Here'!$C179&lt;&gt;"",'Paste Here'!$C179,"")</f>
        <v/>
      </c>
      <c r="I185" s="25" t="str">
        <f>IF('Paste Here'!$D179&lt;&gt;"",'Paste Here'!$D179,"")</f>
        <v/>
      </c>
      <c r="J185" s="27" t="str">
        <f>IF('Paste Here'!$E179&lt;&gt;"",'Paste Here'!$E179,"")</f>
        <v/>
      </c>
      <c r="K185" s="16" t="str">
        <f>IF('Paste Here'!$F179&lt;&gt;"",'Paste Here'!$F179,"")</f>
        <v/>
      </c>
      <c r="L185" s="16" t="str">
        <f>IF('Paste Here'!$G179&lt;&gt;"",'Paste Here'!$G179,"")</f>
        <v/>
      </c>
      <c r="M185" s="18" t="str">
        <f t="shared" si="5"/>
        <v/>
      </c>
    </row>
    <row r="186" spans="1:13" s="17" customFormat="1" x14ac:dyDescent="0.25">
      <c r="A186" s="16" t="str">
        <f>IF(URN&lt;&gt;"",_xll.mdValue("Resident",_xlnm.Database,$F186),"")</f>
        <v/>
      </c>
      <c r="B186" s="16" t="str">
        <f>IF(PersonId&lt;&gt;"",_xll.mdValue("Resident First Name",_xlnm.Database,$A$8),"")</f>
        <v/>
      </c>
      <c r="C186" s="16" t="str">
        <f>IF(PersonId&lt;&gt;"",_xll.mdValue("Resident Last Name",_xlnm.Database,$A$8),"")</f>
        <v/>
      </c>
      <c r="D186" s="16" t="str">
        <f>IF(PersonId&lt;&gt;"",_xll.mdValue("Person Accomodation Code",_xlnm.Database,$A186),"")</f>
        <v/>
      </c>
      <c r="E186" s="28" t="str">
        <f t="shared" si="4"/>
        <v/>
      </c>
      <c r="F186" s="16" t="str">
        <f>IF('Paste Here'!$A180&lt;&gt;"",'Paste Here'!$A180,"")</f>
        <v/>
      </c>
      <c r="G186" s="16" t="str">
        <f>IF('Paste Here'!$B180&lt;&gt;"",'Paste Here'!$B180,"")</f>
        <v/>
      </c>
      <c r="H186" s="16" t="str">
        <f>IF('Paste Here'!$C180&lt;&gt;"",'Paste Here'!$C180,"")</f>
        <v/>
      </c>
      <c r="I186" s="25" t="str">
        <f>IF('Paste Here'!$D180&lt;&gt;"",'Paste Here'!$D180,"")</f>
        <v/>
      </c>
      <c r="J186" s="27" t="str">
        <f>IF('Paste Here'!$E180&lt;&gt;"",'Paste Here'!$E180,"")</f>
        <v/>
      </c>
      <c r="K186" s="16" t="str">
        <f>IF('Paste Here'!$F180&lt;&gt;"",'Paste Here'!$F180,"")</f>
        <v/>
      </c>
      <c r="L186" s="16" t="str">
        <f>IF('Paste Here'!$G180&lt;&gt;"",'Paste Here'!$G180,"")</f>
        <v/>
      </c>
      <c r="M186" s="18" t="str">
        <f t="shared" si="5"/>
        <v/>
      </c>
    </row>
    <row r="187" spans="1:13" s="17" customFormat="1" x14ac:dyDescent="0.25">
      <c r="A187" s="16" t="str">
        <f>IF(URN&lt;&gt;"",_xll.mdValue("Resident",_xlnm.Database,$F187),"")</f>
        <v/>
      </c>
      <c r="B187" s="16" t="str">
        <f>IF(PersonId&lt;&gt;"",_xll.mdValue("Resident First Name",_xlnm.Database,$A$8),"")</f>
        <v/>
      </c>
      <c r="C187" s="16" t="str">
        <f>IF(PersonId&lt;&gt;"",_xll.mdValue("Resident Last Name",_xlnm.Database,$A$8),"")</f>
        <v/>
      </c>
      <c r="D187" s="16" t="str">
        <f>IF(PersonId&lt;&gt;"",_xll.mdValue("Person Accomodation Code",_xlnm.Database,$A187),"")</f>
        <v/>
      </c>
      <c r="E187" s="28" t="str">
        <f t="shared" si="4"/>
        <v/>
      </c>
      <c r="F187" s="16" t="str">
        <f>IF('Paste Here'!$A181&lt;&gt;"",'Paste Here'!$A181,"")</f>
        <v/>
      </c>
      <c r="G187" s="16" t="str">
        <f>IF('Paste Here'!$B181&lt;&gt;"",'Paste Here'!$B181,"")</f>
        <v/>
      </c>
      <c r="H187" s="16" t="str">
        <f>IF('Paste Here'!$C181&lt;&gt;"",'Paste Here'!$C181,"")</f>
        <v/>
      </c>
      <c r="I187" s="25" t="str">
        <f>IF('Paste Here'!$D181&lt;&gt;"",'Paste Here'!$D181,"")</f>
        <v/>
      </c>
      <c r="J187" s="27" t="str">
        <f>IF('Paste Here'!$E181&lt;&gt;"",'Paste Here'!$E181,"")</f>
        <v/>
      </c>
      <c r="K187" s="16" t="str">
        <f>IF('Paste Here'!$F181&lt;&gt;"",'Paste Here'!$F181,"")</f>
        <v/>
      </c>
      <c r="L187" s="16" t="str">
        <f>IF('Paste Here'!$G181&lt;&gt;"",'Paste Here'!$G181,"")</f>
        <v/>
      </c>
      <c r="M187" s="18" t="str">
        <f t="shared" si="5"/>
        <v/>
      </c>
    </row>
    <row r="188" spans="1:13" s="17" customFormat="1" x14ac:dyDescent="0.25">
      <c r="A188" s="16" t="str">
        <f>IF(URN&lt;&gt;"",_xll.mdValue("Resident",_xlnm.Database,$F188),"")</f>
        <v/>
      </c>
      <c r="B188" s="16" t="str">
        <f>IF(PersonId&lt;&gt;"",_xll.mdValue("Resident First Name",_xlnm.Database,$A$8),"")</f>
        <v/>
      </c>
      <c r="C188" s="16" t="str">
        <f>IF(PersonId&lt;&gt;"",_xll.mdValue("Resident Last Name",_xlnm.Database,$A$8),"")</f>
        <v/>
      </c>
      <c r="D188" s="16" t="str">
        <f>IF(PersonId&lt;&gt;"",_xll.mdValue("Person Accomodation Code",_xlnm.Database,$A188),"")</f>
        <v/>
      </c>
      <c r="E188" s="28" t="str">
        <f t="shared" si="4"/>
        <v/>
      </c>
      <c r="F188" s="16" t="str">
        <f>IF('Paste Here'!$A182&lt;&gt;"",'Paste Here'!$A182,"")</f>
        <v/>
      </c>
      <c r="G188" s="16" t="str">
        <f>IF('Paste Here'!$B182&lt;&gt;"",'Paste Here'!$B182,"")</f>
        <v/>
      </c>
      <c r="H188" s="16" t="str">
        <f>IF('Paste Here'!$C182&lt;&gt;"",'Paste Here'!$C182,"")</f>
        <v/>
      </c>
      <c r="I188" s="25" t="str">
        <f>IF('Paste Here'!$D182&lt;&gt;"",'Paste Here'!$D182,"")</f>
        <v/>
      </c>
      <c r="J188" s="27" t="str">
        <f>IF('Paste Here'!$E182&lt;&gt;"",'Paste Here'!$E182,"")</f>
        <v/>
      </c>
      <c r="K188" s="16" t="str">
        <f>IF('Paste Here'!$F182&lt;&gt;"",'Paste Here'!$F182,"")</f>
        <v/>
      </c>
      <c r="L188" s="16" t="str">
        <f>IF('Paste Here'!$G182&lt;&gt;"",'Paste Here'!$G182,"")</f>
        <v/>
      </c>
      <c r="M188" s="18" t="str">
        <f t="shared" si="5"/>
        <v/>
      </c>
    </row>
    <row r="189" spans="1:13" s="17" customFormat="1" x14ac:dyDescent="0.25">
      <c r="A189" s="16" t="str">
        <f>IF(URN&lt;&gt;"",_xll.mdValue("Resident",_xlnm.Database,$F189),"")</f>
        <v/>
      </c>
      <c r="B189" s="16" t="str">
        <f>IF(PersonId&lt;&gt;"",_xll.mdValue("Resident First Name",_xlnm.Database,$A$8),"")</f>
        <v/>
      </c>
      <c r="C189" s="16" t="str">
        <f>IF(PersonId&lt;&gt;"",_xll.mdValue("Resident Last Name",_xlnm.Database,$A$8),"")</f>
        <v/>
      </c>
      <c r="D189" s="16" t="str">
        <f>IF(PersonId&lt;&gt;"",_xll.mdValue("Person Accomodation Code",_xlnm.Database,$A189),"")</f>
        <v/>
      </c>
      <c r="E189" s="28" t="str">
        <f t="shared" si="4"/>
        <v/>
      </c>
      <c r="F189" s="16" t="str">
        <f>IF('Paste Here'!$A183&lt;&gt;"",'Paste Here'!$A183,"")</f>
        <v/>
      </c>
      <c r="G189" s="16" t="str">
        <f>IF('Paste Here'!$B183&lt;&gt;"",'Paste Here'!$B183,"")</f>
        <v/>
      </c>
      <c r="H189" s="16" t="str">
        <f>IF('Paste Here'!$C183&lt;&gt;"",'Paste Here'!$C183,"")</f>
        <v/>
      </c>
      <c r="I189" s="25" t="str">
        <f>IF('Paste Here'!$D183&lt;&gt;"",'Paste Here'!$D183,"")</f>
        <v/>
      </c>
      <c r="J189" s="27" t="str">
        <f>IF('Paste Here'!$E183&lt;&gt;"",'Paste Here'!$E183,"")</f>
        <v/>
      </c>
      <c r="K189" s="16" t="str">
        <f>IF('Paste Here'!$F183&lt;&gt;"",'Paste Here'!$F183,"")</f>
        <v/>
      </c>
      <c r="L189" s="16" t="str">
        <f>IF('Paste Here'!$G183&lt;&gt;"",'Paste Here'!$G183,"")</f>
        <v/>
      </c>
      <c r="M189" s="18" t="str">
        <f t="shared" si="5"/>
        <v/>
      </c>
    </row>
    <row r="190" spans="1:13" s="17" customFormat="1" x14ac:dyDescent="0.25">
      <c r="A190" s="16" t="str">
        <f>IF(URN&lt;&gt;"",_xll.mdValue("Resident",_xlnm.Database,$F190),"")</f>
        <v/>
      </c>
      <c r="B190" s="16" t="str">
        <f>IF(PersonId&lt;&gt;"",_xll.mdValue("Resident First Name",_xlnm.Database,$A$8),"")</f>
        <v/>
      </c>
      <c r="C190" s="16" t="str">
        <f>IF(PersonId&lt;&gt;"",_xll.mdValue("Resident Last Name",_xlnm.Database,$A$8),"")</f>
        <v/>
      </c>
      <c r="D190" s="16" t="str">
        <f>IF(PersonId&lt;&gt;"",_xll.mdValue("Person Accomodation Code",_xlnm.Database,$A190),"")</f>
        <v/>
      </c>
      <c r="E190" s="28" t="str">
        <f t="shared" si="4"/>
        <v/>
      </c>
      <c r="F190" s="16" t="str">
        <f>IF('Paste Here'!$A184&lt;&gt;"",'Paste Here'!$A184,"")</f>
        <v/>
      </c>
      <c r="G190" s="16" t="str">
        <f>IF('Paste Here'!$B184&lt;&gt;"",'Paste Here'!$B184,"")</f>
        <v/>
      </c>
      <c r="H190" s="16" t="str">
        <f>IF('Paste Here'!$C184&lt;&gt;"",'Paste Here'!$C184,"")</f>
        <v/>
      </c>
      <c r="I190" s="25" t="str">
        <f>IF('Paste Here'!$D184&lt;&gt;"",'Paste Here'!$D184,"")</f>
        <v/>
      </c>
      <c r="J190" s="27" t="str">
        <f>IF('Paste Here'!$E184&lt;&gt;"",'Paste Here'!$E184,"")</f>
        <v/>
      </c>
      <c r="K190" s="16" t="str">
        <f>IF('Paste Here'!$F184&lt;&gt;"",'Paste Here'!$F184,"")</f>
        <v/>
      </c>
      <c r="L190" s="16" t="str">
        <f>IF('Paste Here'!$G184&lt;&gt;"",'Paste Here'!$G184,"")</f>
        <v/>
      </c>
      <c r="M190" s="18" t="str">
        <f t="shared" si="5"/>
        <v/>
      </c>
    </row>
    <row r="191" spans="1:13" s="17" customFormat="1" x14ac:dyDescent="0.25">
      <c r="A191" s="16" t="str">
        <f>IF(URN&lt;&gt;"",_xll.mdValue("Resident",_xlnm.Database,$F191),"")</f>
        <v/>
      </c>
      <c r="B191" s="16" t="str">
        <f>IF(PersonId&lt;&gt;"",_xll.mdValue("Resident First Name",_xlnm.Database,$A$8),"")</f>
        <v/>
      </c>
      <c r="C191" s="16" t="str">
        <f>IF(PersonId&lt;&gt;"",_xll.mdValue("Resident Last Name",_xlnm.Database,$A$8),"")</f>
        <v/>
      </c>
      <c r="D191" s="16" t="str">
        <f>IF(PersonId&lt;&gt;"",_xll.mdValue("Person Accomodation Code",_xlnm.Database,$A191),"")</f>
        <v/>
      </c>
      <c r="E191" s="28" t="str">
        <f t="shared" si="4"/>
        <v/>
      </c>
      <c r="F191" s="16" t="str">
        <f>IF('Paste Here'!$A185&lt;&gt;"",'Paste Here'!$A185,"")</f>
        <v/>
      </c>
      <c r="G191" s="16" t="str">
        <f>IF('Paste Here'!$B185&lt;&gt;"",'Paste Here'!$B185,"")</f>
        <v/>
      </c>
      <c r="H191" s="16" t="str">
        <f>IF('Paste Here'!$C185&lt;&gt;"",'Paste Here'!$C185,"")</f>
        <v/>
      </c>
      <c r="I191" s="25" t="str">
        <f>IF('Paste Here'!$D185&lt;&gt;"",'Paste Here'!$D185,"")</f>
        <v/>
      </c>
      <c r="J191" s="27" t="str">
        <f>IF('Paste Here'!$E185&lt;&gt;"",'Paste Here'!$E185,"")</f>
        <v/>
      </c>
      <c r="K191" s="16" t="str">
        <f>IF('Paste Here'!$F185&lt;&gt;"",'Paste Here'!$F185,"")</f>
        <v/>
      </c>
      <c r="L191" s="16" t="str">
        <f>IF('Paste Here'!$G185&lt;&gt;"",'Paste Here'!$G185,"")</f>
        <v/>
      </c>
      <c r="M191" s="18" t="str">
        <f t="shared" si="5"/>
        <v/>
      </c>
    </row>
    <row r="192" spans="1:13" s="17" customFormat="1" x14ac:dyDescent="0.25">
      <c r="A192" s="16" t="str">
        <f>IF(URN&lt;&gt;"",_xll.mdValue("Resident",_xlnm.Database,$F192),"")</f>
        <v/>
      </c>
      <c r="B192" s="16" t="str">
        <f>IF(PersonId&lt;&gt;"",_xll.mdValue("Resident First Name",_xlnm.Database,$A$8),"")</f>
        <v/>
      </c>
      <c r="C192" s="16" t="str">
        <f>IF(PersonId&lt;&gt;"",_xll.mdValue("Resident Last Name",_xlnm.Database,$A$8),"")</f>
        <v/>
      </c>
      <c r="D192" s="16" t="str">
        <f>IF(PersonId&lt;&gt;"",_xll.mdValue("Person Accomodation Code",_xlnm.Database,$A192),"")</f>
        <v/>
      </c>
      <c r="E192" s="28" t="str">
        <f t="shared" si="4"/>
        <v/>
      </c>
      <c r="F192" s="16" t="str">
        <f>IF('Paste Here'!$A186&lt;&gt;"",'Paste Here'!$A186,"")</f>
        <v/>
      </c>
      <c r="G192" s="16" t="str">
        <f>IF('Paste Here'!$B186&lt;&gt;"",'Paste Here'!$B186,"")</f>
        <v/>
      </c>
      <c r="H192" s="16" t="str">
        <f>IF('Paste Here'!$C186&lt;&gt;"",'Paste Here'!$C186,"")</f>
        <v/>
      </c>
      <c r="I192" s="25" t="str">
        <f>IF('Paste Here'!$D186&lt;&gt;"",'Paste Here'!$D186,"")</f>
        <v/>
      </c>
      <c r="J192" s="27" t="str">
        <f>IF('Paste Here'!$E186&lt;&gt;"",'Paste Here'!$E186,"")</f>
        <v/>
      </c>
      <c r="K192" s="16" t="str">
        <f>IF('Paste Here'!$F186&lt;&gt;"",'Paste Here'!$F186,"")</f>
        <v/>
      </c>
      <c r="L192" s="16" t="str">
        <f>IF('Paste Here'!$G186&lt;&gt;"",'Paste Here'!$G186,"")</f>
        <v/>
      </c>
      <c r="M192" s="18" t="str">
        <f t="shared" si="5"/>
        <v/>
      </c>
    </row>
    <row r="193" spans="1:13" s="17" customFormat="1" x14ac:dyDescent="0.25">
      <c r="A193" s="16" t="str">
        <f>IF(URN&lt;&gt;"",_xll.mdValue("Resident",_xlnm.Database,$F193),"")</f>
        <v/>
      </c>
      <c r="B193" s="16" t="str">
        <f>IF(PersonId&lt;&gt;"",_xll.mdValue("Resident First Name",_xlnm.Database,$A$8),"")</f>
        <v/>
      </c>
      <c r="C193" s="16" t="str">
        <f>IF(PersonId&lt;&gt;"",_xll.mdValue("Resident Last Name",_xlnm.Database,$A$8),"")</f>
        <v/>
      </c>
      <c r="D193" s="16" t="str">
        <f>IF(PersonId&lt;&gt;"",_xll.mdValue("Person Accomodation Code",_xlnm.Database,$A193),"")</f>
        <v/>
      </c>
      <c r="E193" s="28" t="str">
        <f t="shared" si="4"/>
        <v/>
      </c>
      <c r="F193" s="16" t="str">
        <f>IF('Paste Here'!$A187&lt;&gt;"",'Paste Here'!$A187,"")</f>
        <v/>
      </c>
      <c r="G193" s="16" t="str">
        <f>IF('Paste Here'!$B187&lt;&gt;"",'Paste Here'!$B187,"")</f>
        <v/>
      </c>
      <c r="H193" s="16" t="str">
        <f>IF('Paste Here'!$C187&lt;&gt;"",'Paste Here'!$C187,"")</f>
        <v/>
      </c>
      <c r="I193" s="25" t="str">
        <f>IF('Paste Here'!$D187&lt;&gt;"",'Paste Here'!$D187,"")</f>
        <v/>
      </c>
      <c r="J193" s="27" t="str">
        <f>IF('Paste Here'!$E187&lt;&gt;"",'Paste Here'!$E187,"")</f>
        <v/>
      </c>
      <c r="K193" s="16" t="str">
        <f>IF('Paste Here'!$F187&lt;&gt;"",'Paste Here'!$F187,"")</f>
        <v/>
      </c>
      <c r="L193" s="16" t="str">
        <f>IF('Paste Here'!$G187&lt;&gt;"",'Paste Here'!$G187,"")</f>
        <v/>
      </c>
      <c r="M193" s="18" t="str">
        <f t="shared" si="5"/>
        <v/>
      </c>
    </row>
    <row r="194" spans="1:13" s="17" customFormat="1" x14ac:dyDescent="0.25">
      <c r="A194" s="16" t="str">
        <f>IF(URN&lt;&gt;"",_xll.mdValue("Resident",_xlnm.Database,$F194),"")</f>
        <v/>
      </c>
      <c r="B194" s="16" t="str">
        <f>IF(PersonId&lt;&gt;"",_xll.mdValue("Resident First Name",_xlnm.Database,$A$8),"")</f>
        <v/>
      </c>
      <c r="C194" s="16" t="str">
        <f>IF(PersonId&lt;&gt;"",_xll.mdValue("Resident Last Name",_xlnm.Database,$A$8),"")</f>
        <v/>
      </c>
      <c r="D194" s="16" t="str">
        <f>IF(PersonId&lt;&gt;"",_xll.mdValue("Person Accomodation Code",_xlnm.Database,$A194),"")</f>
        <v/>
      </c>
      <c r="E194" s="28" t="str">
        <f t="shared" si="4"/>
        <v/>
      </c>
      <c r="F194" s="16" t="str">
        <f>IF('Paste Here'!$A188&lt;&gt;"",'Paste Here'!$A188,"")</f>
        <v/>
      </c>
      <c r="G194" s="16" t="str">
        <f>IF('Paste Here'!$B188&lt;&gt;"",'Paste Here'!$B188,"")</f>
        <v/>
      </c>
      <c r="H194" s="16" t="str">
        <f>IF('Paste Here'!$C188&lt;&gt;"",'Paste Here'!$C188,"")</f>
        <v/>
      </c>
      <c r="I194" s="25" t="str">
        <f>IF('Paste Here'!$D188&lt;&gt;"",'Paste Here'!$D188,"")</f>
        <v/>
      </c>
      <c r="J194" s="27" t="str">
        <f>IF('Paste Here'!$E188&lt;&gt;"",'Paste Here'!$E188,"")</f>
        <v/>
      </c>
      <c r="K194" s="16" t="str">
        <f>IF('Paste Here'!$F188&lt;&gt;"",'Paste Here'!$F188,"")</f>
        <v/>
      </c>
      <c r="L194" s="16" t="str">
        <f>IF('Paste Here'!$G188&lt;&gt;"",'Paste Here'!$G188,"")</f>
        <v/>
      </c>
      <c r="M194" s="18" t="str">
        <f t="shared" si="5"/>
        <v/>
      </c>
    </row>
    <row r="195" spans="1:13" s="17" customFormat="1" x14ac:dyDescent="0.25">
      <c r="A195" s="16" t="str">
        <f>IF(URN&lt;&gt;"",_xll.mdValue("Resident",_xlnm.Database,$F195),"")</f>
        <v/>
      </c>
      <c r="B195" s="16" t="str">
        <f>IF(PersonId&lt;&gt;"",_xll.mdValue("Resident First Name",_xlnm.Database,$A$8),"")</f>
        <v/>
      </c>
      <c r="C195" s="16" t="str">
        <f>IF(PersonId&lt;&gt;"",_xll.mdValue("Resident Last Name",_xlnm.Database,$A$8),"")</f>
        <v/>
      </c>
      <c r="D195" s="16" t="str">
        <f>IF(PersonId&lt;&gt;"",_xll.mdValue("Person Accomodation Code",_xlnm.Database,$A195),"")</f>
        <v/>
      </c>
      <c r="E195" s="28" t="str">
        <f t="shared" si="4"/>
        <v/>
      </c>
      <c r="F195" s="16" t="str">
        <f>IF('Paste Here'!$A189&lt;&gt;"",'Paste Here'!$A189,"")</f>
        <v/>
      </c>
      <c r="G195" s="16" t="str">
        <f>IF('Paste Here'!$B189&lt;&gt;"",'Paste Here'!$B189,"")</f>
        <v/>
      </c>
      <c r="H195" s="16" t="str">
        <f>IF('Paste Here'!$C189&lt;&gt;"",'Paste Here'!$C189,"")</f>
        <v/>
      </c>
      <c r="I195" s="25" t="str">
        <f>IF('Paste Here'!$D189&lt;&gt;"",'Paste Here'!$D189,"")</f>
        <v/>
      </c>
      <c r="J195" s="27" t="str">
        <f>IF('Paste Here'!$E189&lt;&gt;"",'Paste Here'!$E189,"")</f>
        <v/>
      </c>
      <c r="K195" s="16" t="str">
        <f>IF('Paste Here'!$F189&lt;&gt;"",'Paste Here'!$F189,"")</f>
        <v/>
      </c>
      <c r="L195" s="16" t="str">
        <f>IF('Paste Here'!$G189&lt;&gt;"",'Paste Here'!$G189,"")</f>
        <v/>
      </c>
      <c r="M195" s="18" t="str">
        <f t="shared" si="5"/>
        <v/>
      </c>
    </row>
    <row r="196" spans="1:13" s="17" customFormat="1" x14ac:dyDescent="0.25">
      <c r="A196" s="16" t="str">
        <f>IF(URN&lt;&gt;"",_xll.mdValue("Resident",_xlnm.Database,$F196),"")</f>
        <v/>
      </c>
      <c r="B196" s="16" t="str">
        <f>IF(PersonId&lt;&gt;"",_xll.mdValue("Resident First Name",_xlnm.Database,$A$8),"")</f>
        <v/>
      </c>
      <c r="C196" s="16" t="str">
        <f>IF(PersonId&lt;&gt;"",_xll.mdValue("Resident Last Name",_xlnm.Database,$A$8),"")</f>
        <v/>
      </c>
      <c r="D196" s="16" t="str">
        <f>IF(PersonId&lt;&gt;"",_xll.mdValue("Person Accomodation Code",_xlnm.Database,$A196),"")</f>
        <v/>
      </c>
      <c r="E196" s="28" t="str">
        <f t="shared" si="4"/>
        <v/>
      </c>
      <c r="F196" s="16" t="str">
        <f>IF('Paste Here'!$A190&lt;&gt;"",'Paste Here'!$A190,"")</f>
        <v/>
      </c>
      <c r="G196" s="16" t="str">
        <f>IF('Paste Here'!$B190&lt;&gt;"",'Paste Here'!$B190,"")</f>
        <v/>
      </c>
      <c r="H196" s="16" t="str">
        <f>IF('Paste Here'!$C190&lt;&gt;"",'Paste Here'!$C190,"")</f>
        <v/>
      </c>
      <c r="I196" s="25" t="str">
        <f>IF('Paste Here'!$D190&lt;&gt;"",'Paste Here'!$D190,"")</f>
        <v/>
      </c>
      <c r="J196" s="27" t="str">
        <f>IF('Paste Here'!$E190&lt;&gt;"",'Paste Here'!$E190,"")</f>
        <v/>
      </c>
      <c r="K196" s="16" t="str">
        <f>IF('Paste Here'!$F190&lt;&gt;"",'Paste Here'!$F190,"")</f>
        <v/>
      </c>
      <c r="L196" s="16" t="str">
        <f>IF('Paste Here'!$G190&lt;&gt;"",'Paste Here'!$G190,"")</f>
        <v/>
      </c>
      <c r="M196" s="18" t="str">
        <f t="shared" si="5"/>
        <v/>
      </c>
    </row>
    <row r="197" spans="1:13" s="17" customFormat="1" x14ac:dyDescent="0.25">
      <c r="A197" s="16" t="str">
        <f>IF(URN&lt;&gt;"",_xll.mdValue("Resident",_xlnm.Database,$F197),"")</f>
        <v/>
      </c>
      <c r="B197" s="16" t="str">
        <f>IF(PersonId&lt;&gt;"",_xll.mdValue("Resident First Name",_xlnm.Database,$A$8),"")</f>
        <v/>
      </c>
      <c r="C197" s="16" t="str">
        <f>IF(PersonId&lt;&gt;"",_xll.mdValue("Resident Last Name",_xlnm.Database,$A$8),"")</f>
        <v/>
      </c>
      <c r="D197" s="16" t="str">
        <f>IF(PersonId&lt;&gt;"",_xll.mdValue("Person Accomodation Code",_xlnm.Database,$A197),"")</f>
        <v/>
      </c>
      <c r="E197" s="28" t="str">
        <f t="shared" si="4"/>
        <v/>
      </c>
      <c r="F197" s="16" t="str">
        <f>IF('Paste Here'!$A191&lt;&gt;"",'Paste Here'!$A191,"")</f>
        <v/>
      </c>
      <c r="G197" s="16" t="str">
        <f>IF('Paste Here'!$B191&lt;&gt;"",'Paste Here'!$B191,"")</f>
        <v/>
      </c>
      <c r="H197" s="16" t="str">
        <f>IF('Paste Here'!$C191&lt;&gt;"",'Paste Here'!$C191,"")</f>
        <v/>
      </c>
      <c r="I197" s="25" t="str">
        <f>IF('Paste Here'!$D191&lt;&gt;"",'Paste Here'!$D191,"")</f>
        <v/>
      </c>
      <c r="J197" s="27" t="str">
        <f>IF('Paste Here'!$E191&lt;&gt;"",'Paste Here'!$E191,"")</f>
        <v/>
      </c>
      <c r="K197" s="16" t="str">
        <f>IF('Paste Here'!$F191&lt;&gt;"",'Paste Here'!$F191,"")</f>
        <v/>
      </c>
      <c r="L197" s="16" t="str">
        <f>IF('Paste Here'!$G191&lt;&gt;"",'Paste Here'!$G191,"")</f>
        <v/>
      </c>
      <c r="M197" s="18" t="str">
        <f t="shared" si="5"/>
        <v/>
      </c>
    </row>
    <row r="198" spans="1:13" s="17" customFormat="1" x14ac:dyDescent="0.25">
      <c r="A198" s="16" t="str">
        <f>IF(URN&lt;&gt;"",_xll.mdValue("Resident",_xlnm.Database,$F198),"")</f>
        <v/>
      </c>
      <c r="B198" s="16" t="str">
        <f>IF(PersonId&lt;&gt;"",_xll.mdValue("Resident First Name",_xlnm.Database,$A$8),"")</f>
        <v/>
      </c>
      <c r="C198" s="16" t="str">
        <f>IF(PersonId&lt;&gt;"",_xll.mdValue("Resident Last Name",_xlnm.Database,$A$8),"")</f>
        <v/>
      </c>
      <c r="D198" s="16" t="str">
        <f>IF(PersonId&lt;&gt;"",_xll.mdValue("Person Accomodation Code",_xlnm.Database,$A198),"")</f>
        <v/>
      </c>
      <c r="E198" s="28" t="str">
        <f t="shared" si="4"/>
        <v/>
      </c>
      <c r="F198" s="16" t="str">
        <f>IF('Paste Here'!$A192&lt;&gt;"",'Paste Here'!$A192,"")</f>
        <v/>
      </c>
      <c r="G198" s="16" t="str">
        <f>IF('Paste Here'!$B192&lt;&gt;"",'Paste Here'!$B192,"")</f>
        <v/>
      </c>
      <c r="H198" s="16" t="str">
        <f>IF('Paste Here'!$C192&lt;&gt;"",'Paste Here'!$C192,"")</f>
        <v/>
      </c>
      <c r="I198" s="25" t="str">
        <f>IF('Paste Here'!$D192&lt;&gt;"",'Paste Here'!$D192,"")</f>
        <v/>
      </c>
      <c r="J198" s="27" t="str">
        <f>IF('Paste Here'!$E192&lt;&gt;"",'Paste Here'!$E192,"")</f>
        <v/>
      </c>
      <c r="K198" s="16" t="str">
        <f>IF('Paste Here'!$F192&lt;&gt;"",'Paste Here'!$F192,"")</f>
        <v/>
      </c>
      <c r="L198" s="16" t="str">
        <f>IF('Paste Here'!$G192&lt;&gt;"",'Paste Here'!$G192,"")</f>
        <v/>
      </c>
      <c r="M198" s="18" t="str">
        <f t="shared" si="5"/>
        <v/>
      </c>
    </row>
    <row r="199" spans="1:13" s="17" customFormat="1" x14ac:dyDescent="0.25">
      <c r="A199" s="16" t="str">
        <f>IF(URN&lt;&gt;"",_xll.mdValue("Resident",_xlnm.Database,$F199),"")</f>
        <v/>
      </c>
      <c r="B199" s="16" t="str">
        <f>IF(PersonId&lt;&gt;"",_xll.mdValue("Resident First Name",_xlnm.Database,$A$8),"")</f>
        <v/>
      </c>
      <c r="C199" s="16" t="str">
        <f>IF(PersonId&lt;&gt;"",_xll.mdValue("Resident Last Name",_xlnm.Database,$A$8),"")</f>
        <v/>
      </c>
      <c r="D199" s="16" t="str">
        <f>IF(PersonId&lt;&gt;"",_xll.mdValue("Person Accomodation Code",_xlnm.Database,$A199),"")</f>
        <v/>
      </c>
      <c r="E199" s="28" t="str">
        <f t="shared" si="4"/>
        <v/>
      </c>
      <c r="F199" s="16" t="str">
        <f>IF('Paste Here'!$A193&lt;&gt;"",'Paste Here'!$A193,"")</f>
        <v/>
      </c>
      <c r="G199" s="16" t="str">
        <f>IF('Paste Here'!$B193&lt;&gt;"",'Paste Here'!$B193,"")</f>
        <v/>
      </c>
      <c r="H199" s="16" t="str">
        <f>IF('Paste Here'!$C193&lt;&gt;"",'Paste Here'!$C193,"")</f>
        <v/>
      </c>
      <c r="I199" s="25" t="str">
        <f>IF('Paste Here'!$D193&lt;&gt;"",'Paste Here'!$D193,"")</f>
        <v/>
      </c>
      <c r="J199" s="27" t="str">
        <f>IF('Paste Here'!$E193&lt;&gt;"",'Paste Here'!$E193,"")</f>
        <v/>
      </c>
      <c r="K199" s="16" t="str">
        <f>IF('Paste Here'!$F193&lt;&gt;"",'Paste Here'!$F193,"")</f>
        <v/>
      </c>
      <c r="L199" s="16" t="str">
        <f>IF('Paste Here'!$G193&lt;&gt;"",'Paste Here'!$G193,"")</f>
        <v/>
      </c>
      <c r="M199" s="18" t="str">
        <f t="shared" si="5"/>
        <v/>
      </c>
    </row>
    <row r="200" spans="1:13" s="17" customFormat="1" x14ac:dyDescent="0.25">
      <c r="A200" s="16" t="str">
        <f>IF(URN&lt;&gt;"",_xll.mdValue("Resident",_xlnm.Database,$F200),"")</f>
        <v/>
      </c>
      <c r="B200" s="16" t="str">
        <f>IF(PersonId&lt;&gt;"",_xll.mdValue("Resident First Name",_xlnm.Database,$A$8),"")</f>
        <v/>
      </c>
      <c r="C200" s="16" t="str">
        <f>IF(PersonId&lt;&gt;"",_xll.mdValue("Resident Last Name",_xlnm.Database,$A$8),"")</f>
        <v/>
      </c>
      <c r="D200" s="16" t="str">
        <f>IF(PersonId&lt;&gt;"",_xll.mdValue("Person Accomodation Code",_xlnm.Database,$A200),"")</f>
        <v/>
      </c>
      <c r="E200" s="28" t="str">
        <f t="shared" ref="E200:E263" si="6">IF(ClientCare_Accommodation&lt;&gt;"",IF(ClientCare_Accommodation&lt;&gt;AccommodationCode,"Missing Accommodation",""),"")</f>
        <v/>
      </c>
      <c r="F200" s="16" t="str">
        <f>IF('Paste Here'!$A194&lt;&gt;"",'Paste Here'!$A194,"")</f>
        <v/>
      </c>
      <c r="G200" s="16" t="str">
        <f>IF('Paste Here'!$B194&lt;&gt;"",'Paste Here'!$B194,"")</f>
        <v/>
      </c>
      <c r="H200" s="16" t="str">
        <f>IF('Paste Here'!$C194&lt;&gt;"",'Paste Here'!$C194,"")</f>
        <v/>
      </c>
      <c r="I200" s="25" t="str">
        <f>IF('Paste Here'!$D194&lt;&gt;"",'Paste Here'!$D194,"")</f>
        <v/>
      </c>
      <c r="J200" s="27" t="str">
        <f>IF('Paste Here'!$E194&lt;&gt;"",'Paste Here'!$E194,"")</f>
        <v/>
      </c>
      <c r="K200" s="16" t="str">
        <f>IF('Paste Here'!$F194&lt;&gt;"",'Paste Here'!$F194,"")</f>
        <v/>
      </c>
      <c r="L200" s="16" t="str">
        <f>IF('Paste Here'!$G194&lt;&gt;"",'Paste Here'!$G194,"")</f>
        <v/>
      </c>
      <c r="M200" s="18" t="str">
        <f t="shared" ref="M200:M263" si="7">IF(PersonId&lt;&gt;"","Normal","")</f>
        <v/>
      </c>
    </row>
    <row r="201" spans="1:13" s="17" customFormat="1" x14ac:dyDescent="0.25">
      <c r="A201" s="16" t="str">
        <f>IF(URN&lt;&gt;"",_xll.mdValue("Resident",_xlnm.Database,$F201),"")</f>
        <v/>
      </c>
      <c r="B201" s="16" t="str">
        <f>IF(PersonId&lt;&gt;"",_xll.mdValue("Resident First Name",_xlnm.Database,$A$8),"")</f>
        <v/>
      </c>
      <c r="C201" s="16" t="str">
        <f>IF(PersonId&lt;&gt;"",_xll.mdValue("Resident Last Name",_xlnm.Database,$A$8),"")</f>
        <v/>
      </c>
      <c r="D201" s="16" t="str">
        <f>IF(PersonId&lt;&gt;"",_xll.mdValue("Person Accomodation Code",_xlnm.Database,$A201),"")</f>
        <v/>
      </c>
      <c r="E201" s="28" t="str">
        <f t="shared" si="6"/>
        <v/>
      </c>
      <c r="F201" s="16" t="str">
        <f>IF('Paste Here'!$A195&lt;&gt;"",'Paste Here'!$A195,"")</f>
        <v/>
      </c>
      <c r="G201" s="16" t="str">
        <f>IF('Paste Here'!$B195&lt;&gt;"",'Paste Here'!$B195,"")</f>
        <v/>
      </c>
      <c r="H201" s="16" t="str">
        <f>IF('Paste Here'!$C195&lt;&gt;"",'Paste Here'!$C195,"")</f>
        <v/>
      </c>
      <c r="I201" s="25" t="str">
        <f>IF('Paste Here'!$D195&lt;&gt;"",'Paste Here'!$D195,"")</f>
        <v/>
      </c>
      <c r="J201" s="27" t="str">
        <f>IF('Paste Here'!$E195&lt;&gt;"",'Paste Here'!$E195,"")</f>
        <v/>
      </c>
      <c r="K201" s="16" t="str">
        <f>IF('Paste Here'!$F195&lt;&gt;"",'Paste Here'!$F195,"")</f>
        <v/>
      </c>
      <c r="L201" s="16" t="str">
        <f>IF('Paste Here'!$G195&lt;&gt;"",'Paste Here'!$G195,"")</f>
        <v/>
      </c>
      <c r="M201" s="18" t="str">
        <f t="shared" si="7"/>
        <v/>
      </c>
    </row>
    <row r="202" spans="1:13" s="17" customFormat="1" x14ac:dyDescent="0.25">
      <c r="A202" s="16" t="str">
        <f>IF(URN&lt;&gt;"",_xll.mdValue("Resident",_xlnm.Database,$F202),"")</f>
        <v/>
      </c>
      <c r="B202" s="16" t="str">
        <f>IF(PersonId&lt;&gt;"",_xll.mdValue("Resident First Name",_xlnm.Database,$A$8),"")</f>
        <v/>
      </c>
      <c r="C202" s="16" t="str">
        <f>IF(PersonId&lt;&gt;"",_xll.mdValue("Resident Last Name",_xlnm.Database,$A$8),"")</f>
        <v/>
      </c>
      <c r="D202" s="16" t="str">
        <f>IF(PersonId&lt;&gt;"",_xll.mdValue("Person Accomodation Code",_xlnm.Database,$A202),"")</f>
        <v/>
      </c>
      <c r="E202" s="28" t="str">
        <f t="shared" si="6"/>
        <v/>
      </c>
      <c r="F202" s="16" t="str">
        <f>IF('Paste Here'!$A196&lt;&gt;"",'Paste Here'!$A196,"")</f>
        <v/>
      </c>
      <c r="G202" s="16" t="str">
        <f>IF('Paste Here'!$B196&lt;&gt;"",'Paste Here'!$B196,"")</f>
        <v/>
      </c>
      <c r="H202" s="16" t="str">
        <f>IF('Paste Here'!$C196&lt;&gt;"",'Paste Here'!$C196,"")</f>
        <v/>
      </c>
      <c r="I202" s="25" t="str">
        <f>IF('Paste Here'!$D196&lt;&gt;"",'Paste Here'!$D196,"")</f>
        <v/>
      </c>
      <c r="J202" s="27" t="str">
        <f>IF('Paste Here'!$E196&lt;&gt;"",'Paste Here'!$E196,"")</f>
        <v/>
      </c>
      <c r="K202" s="16" t="str">
        <f>IF('Paste Here'!$F196&lt;&gt;"",'Paste Here'!$F196,"")</f>
        <v/>
      </c>
      <c r="L202" s="16" t="str">
        <f>IF('Paste Here'!$G196&lt;&gt;"",'Paste Here'!$G196,"")</f>
        <v/>
      </c>
      <c r="M202" s="18" t="str">
        <f t="shared" si="7"/>
        <v/>
      </c>
    </row>
    <row r="203" spans="1:13" s="17" customFormat="1" x14ac:dyDescent="0.25">
      <c r="A203" s="16" t="str">
        <f>IF(URN&lt;&gt;"",_xll.mdValue("Resident",_xlnm.Database,$F203),"")</f>
        <v/>
      </c>
      <c r="B203" s="16" t="str">
        <f>IF(PersonId&lt;&gt;"",_xll.mdValue("Resident First Name",_xlnm.Database,$A$8),"")</f>
        <v/>
      </c>
      <c r="C203" s="16" t="str">
        <f>IF(PersonId&lt;&gt;"",_xll.mdValue("Resident Last Name",_xlnm.Database,$A$8),"")</f>
        <v/>
      </c>
      <c r="D203" s="16" t="str">
        <f>IF(PersonId&lt;&gt;"",_xll.mdValue("Person Accomodation Code",_xlnm.Database,$A203),"")</f>
        <v/>
      </c>
      <c r="E203" s="28" t="str">
        <f t="shared" si="6"/>
        <v/>
      </c>
      <c r="F203" s="16" t="str">
        <f>IF('Paste Here'!$A197&lt;&gt;"",'Paste Here'!$A197,"")</f>
        <v/>
      </c>
      <c r="G203" s="16" t="str">
        <f>IF('Paste Here'!$B197&lt;&gt;"",'Paste Here'!$B197,"")</f>
        <v/>
      </c>
      <c r="H203" s="16" t="str">
        <f>IF('Paste Here'!$C197&lt;&gt;"",'Paste Here'!$C197,"")</f>
        <v/>
      </c>
      <c r="I203" s="25" t="str">
        <f>IF('Paste Here'!$D197&lt;&gt;"",'Paste Here'!$D197,"")</f>
        <v/>
      </c>
      <c r="J203" s="27" t="str">
        <f>IF('Paste Here'!$E197&lt;&gt;"",'Paste Here'!$E197,"")</f>
        <v/>
      </c>
      <c r="K203" s="16" t="str">
        <f>IF('Paste Here'!$F197&lt;&gt;"",'Paste Here'!$F197,"")</f>
        <v/>
      </c>
      <c r="L203" s="16" t="str">
        <f>IF('Paste Here'!$G197&lt;&gt;"",'Paste Here'!$G197,"")</f>
        <v/>
      </c>
      <c r="M203" s="18" t="str">
        <f t="shared" si="7"/>
        <v/>
      </c>
    </row>
    <row r="204" spans="1:13" s="17" customFormat="1" x14ac:dyDescent="0.25">
      <c r="A204" s="16" t="str">
        <f>IF(URN&lt;&gt;"",_xll.mdValue("Resident",_xlnm.Database,$F204),"")</f>
        <v/>
      </c>
      <c r="B204" s="16" t="str">
        <f>IF(PersonId&lt;&gt;"",_xll.mdValue("Resident First Name",_xlnm.Database,$A$8),"")</f>
        <v/>
      </c>
      <c r="C204" s="16" t="str">
        <f>IF(PersonId&lt;&gt;"",_xll.mdValue("Resident Last Name",_xlnm.Database,$A$8),"")</f>
        <v/>
      </c>
      <c r="D204" s="16" t="str">
        <f>IF(PersonId&lt;&gt;"",_xll.mdValue("Person Accomodation Code",_xlnm.Database,$A204),"")</f>
        <v/>
      </c>
      <c r="E204" s="28" t="str">
        <f t="shared" si="6"/>
        <v/>
      </c>
      <c r="F204" s="16" t="str">
        <f>IF('Paste Here'!$A198&lt;&gt;"",'Paste Here'!$A198,"")</f>
        <v/>
      </c>
      <c r="G204" s="16" t="str">
        <f>IF('Paste Here'!$B198&lt;&gt;"",'Paste Here'!$B198,"")</f>
        <v/>
      </c>
      <c r="H204" s="16" t="str">
        <f>IF('Paste Here'!$C198&lt;&gt;"",'Paste Here'!$C198,"")</f>
        <v/>
      </c>
      <c r="I204" s="25" t="str">
        <f>IF('Paste Here'!$D198&lt;&gt;"",'Paste Here'!$D198,"")</f>
        <v/>
      </c>
      <c r="J204" s="27" t="str">
        <f>IF('Paste Here'!$E198&lt;&gt;"",'Paste Here'!$E198,"")</f>
        <v/>
      </c>
      <c r="K204" s="16" t="str">
        <f>IF('Paste Here'!$F198&lt;&gt;"",'Paste Here'!$F198,"")</f>
        <v/>
      </c>
      <c r="L204" s="16" t="str">
        <f>IF('Paste Here'!$G198&lt;&gt;"",'Paste Here'!$G198,"")</f>
        <v/>
      </c>
      <c r="M204" s="18" t="str">
        <f t="shared" si="7"/>
        <v/>
      </c>
    </row>
    <row r="205" spans="1:13" s="17" customFormat="1" x14ac:dyDescent="0.25">
      <c r="A205" s="16" t="str">
        <f>IF(URN&lt;&gt;"",_xll.mdValue("Resident",_xlnm.Database,$F205),"")</f>
        <v/>
      </c>
      <c r="B205" s="16" t="str">
        <f>IF(PersonId&lt;&gt;"",_xll.mdValue("Resident First Name",_xlnm.Database,$A$8),"")</f>
        <v/>
      </c>
      <c r="C205" s="16" t="str">
        <f>IF(PersonId&lt;&gt;"",_xll.mdValue("Resident Last Name",_xlnm.Database,$A$8),"")</f>
        <v/>
      </c>
      <c r="D205" s="16" t="str">
        <f>IF(PersonId&lt;&gt;"",_xll.mdValue("Person Accomodation Code",_xlnm.Database,$A205),"")</f>
        <v/>
      </c>
      <c r="E205" s="28" t="str">
        <f t="shared" si="6"/>
        <v/>
      </c>
      <c r="F205" s="16" t="str">
        <f>IF('Paste Here'!$A199&lt;&gt;"",'Paste Here'!$A199,"")</f>
        <v/>
      </c>
      <c r="G205" s="16" t="str">
        <f>IF('Paste Here'!$B199&lt;&gt;"",'Paste Here'!$B199,"")</f>
        <v/>
      </c>
      <c r="H205" s="16" t="str">
        <f>IF('Paste Here'!$C199&lt;&gt;"",'Paste Here'!$C199,"")</f>
        <v/>
      </c>
      <c r="I205" s="25" t="str">
        <f>IF('Paste Here'!$D199&lt;&gt;"",'Paste Here'!$D199,"")</f>
        <v/>
      </c>
      <c r="J205" s="27" t="str">
        <f>IF('Paste Here'!$E199&lt;&gt;"",'Paste Here'!$E199,"")</f>
        <v/>
      </c>
      <c r="K205" s="16" t="str">
        <f>IF('Paste Here'!$F199&lt;&gt;"",'Paste Here'!$F199,"")</f>
        <v/>
      </c>
      <c r="L205" s="16" t="str">
        <f>IF('Paste Here'!$G199&lt;&gt;"",'Paste Here'!$G199,"")</f>
        <v/>
      </c>
      <c r="M205" s="18" t="str">
        <f t="shared" si="7"/>
        <v/>
      </c>
    </row>
    <row r="206" spans="1:13" s="17" customFormat="1" x14ac:dyDescent="0.25">
      <c r="A206" s="16" t="str">
        <f>IF(URN&lt;&gt;"",_xll.mdValue("Resident",_xlnm.Database,$F206),"")</f>
        <v/>
      </c>
      <c r="B206" s="16" t="str">
        <f>IF(PersonId&lt;&gt;"",_xll.mdValue("Resident First Name",_xlnm.Database,$A$8),"")</f>
        <v/>
      </c>
      <c r="C206" s="16" t="str">
        <f>IF(PersonId&lt;&gt;"",_xll.mdValue("Resident Last Name",_xlnm.Database,$A$8),"")</f>
        <v/>
      </c>
      <c r="D206" s="16" t="str">
        <f>IF(PersonId&lt;&gt;"",_xll.mdValue("Person Accomodation Code",_xlnm.Database,$A206),"")</f>
        <v/>
      </c>
      <c r="E206" s="28" t="str">
        <f t="shared" si="6"/>
        <v/>
      </c>
      <c r="F206" s="16" t="str">
        <f>IF('Paste Here'!$A200&lt;&gt;"",'Paste Here'!$A200,"")</f>
        <v/>
      </c>
      <c r="G206" s="16" t="str">
        <f>IF('Paste Here'!$B200&lt;&gt;"",'Paste Here'!$B200,"")</f>
        <v/>
      </c>
      <c r="H206" s="16" t="str">
        <f>IF('Paste Here'!$C200&lt;&gt;"",'Paste Here'!$C200,"")</f>
        <v/>
      </c>
      <c r="I206" s="25" t="str">
        <f>IF('Paste Here'!$D200&lt;&gt;"",'Paste Here'!$D200,"")</f>
        <v/>
      </c>
      <c r="J206" s="27" t="str">
        <f>IF('Paste Here'!$E200&lt;&gt;"",'Paste Here'!$E200,"")</f>
        <v/>
      </c>
      <c r="K206" s="16" t="str">
        <f>IF('Paste Here'!$F200&lt;&gt;"",'Paste Here'!$F200,"")</f>
        <v/>
      </c>
      <c r="L206" s="16" t="str">
        <f>IF('Paste Here'!$G200&lt;&gt;"",'Paste Here'!$G200,"")</f>
        <v/>
      </c>
      <c r="M206" s="18" t="str">
        <f t="shared" si="7"/>
        <v/>
      </c>
    </row>
    <row r="207" spans="1:13" s="17" customFormat="1" x14ac:dyDescent="0.25">
      <c r="A207" s="16" t="str">
        <f>IF(URN&lt;&gt;"",_xll.mdValue("Resident",_xlnm.Database,$F207),"")</f>
        <v/>
      </c>
      <c r="B207" s="16" t="str">
        <f>IF(PersonId&lt;&gt;"",_xll.mdValue("Resident First Name",_xlnm.Database,$A$8),"")</f>
        <v/>
      </c>
      <c r="C207" s="16" t="str">
        <f>IF(PersonId&lt;&gt;"",_xll.mdValue("Resident Last Name",_xlnm.Database,$A$8),"")</f>
        <v/>
      </c>
      <c r="D207" s="16" t="str">
        <f>IF(PersonId&lt;&gt;"",_xll.mdValue("Person Accomodation Code",_xlnm.Database,$A207),"")</f>
        <v/>
      </c>
      <c r="E207" s="28" t="str">
        <f t="shared" si="6"/>
        <v/>
      </c>
      <c r="F207" s="16" t="str">
        <f>IF('Paste Here'!$A201&lt;&gt;"",'Paste Here'!$A201,"")</f>
        <v/>
      </c>
      <c r="G207" s="16" t="str">
        <f>IF('Paste Here'!$B201&lt;&gt;"",'Paste Here'!$B201,"")</f>
        <v/>
      </c>
      <c r="H207" s="16" t="str">
        <f>IF('Paste Here'!$C201&lt;&gt;"",'Paste Here'!$C201,"")</f>
        <v/>
      </c>
      <c r="I207" s="25" t="str">
        <f>IF('Paste Here'!$D201&lt;&gt;"",'Paste Here'!$D201,"")</f>
        <v/>
      </c>
      <c r="J207" s="27" t="str">
        <f>IF('Paste Here'!$E201&lt;&gt;"",'Paste Here'!$E201,"")</f>
        <v/>
      </c>
      <c r="K207" s="16" t="str">
        <f>IF('Paste Here'!$F201&lt;&gt;"",'Paste Here'!$F201,"")</f>
        <v/>
      </c>
      <c r="L207" s="16" t="str">
        <f>IF('Paste Here'!$G201&lt;&gt;"",'Paste Here'!$G201,"")</f>
        <v/>
      </c>
      <c r="M207" s="18" t="str">
        <f t="shared" si="7"/>
        <v/>
      </c>
    </row>
    <row r="208" spans="1:13" s="17" customFormat="1" x14ac:dyDescent="0.25">
      <c r="A208" s="16" t="str">
        <f>IF(URN&lt;&gt;"",_xll.mdValue("Resident",_xlnm.Database,$F208),"")</f>
        <v/>
      </c>
      <c r="B208" s="16" t="str">
        <f>IF(PersonId&lt;&gt;"",_xll.mdValue("Resident First Name",_xlnm.Database,$A$8),"")</f>
        <v/>
      </c>
      <c r="C208" s="16" t="str">
        <f>IF(PersonId&lt;&gt;"",_xll.mdValue("Resident Last Name",_xlnm.Database,$A$8),"")</f>
        <v/>
      </c>
      <c r="D208" s="16" t="str">
        <f>IF(PersonId&lt;&gt;"",_xll.mdValue("Person Accomodation Code",_xlnm.Database,$A208),"")</f>
        <v/>
      </c>
      <c r="E208" s="28" t="str">
        <f t="shared" si="6"/>
        <v/>
      </c>
      <c r="F208" s="16" t="str">
        <f>IF('Paste Here'!$A202&lt;&gt;"",'Paste Here'!$A202,"")</f>
        <v/>
      </c>
      <c r="G208" s="16" t="str">
        <f>IF('Paste Here'!$B202&lt;&gt;"",'Paste Here'!$B202,"")</f>
        <v/>
      </c>
      <c r="H208" s="16" t="str">
        <f>IF('Paste Here'!$C202&lt;&gt;"",'Paste Here'!$C202,"")</f>
        <v/>
      </c>
      <c r="I208" s="25" t="str">
        <f>IF('Paste Here'!$D202&lt;&gt;"",'Paste Here'!$D202,"")</f>
        <v/>
      </c>
      <c r="J208" s="27" t="str">
        <f>IF('Paste Here'!$E202&lt;&gt;"",'Paste Here'!$E202,"")</f>
        <v/>
      </c>
      <c r="K208" s="16" t="str">
        <f>IF('Paste Here'!$F202&lt;&gt;"",'Paste Here'!$F202,"")</f>
        <v/>
      </c>
      <c r="L208" s="16" t="str">
        <f>IF('Paste Here'!$G202&lt;&gt;"",'Paste Here'!$G202,"")</f>
        <v/>
      </c>
      <c r="M208" s="18" t="str">
        <f t="shared" si="7"/>
        <v/>
      </c>
    </row>
    <row r="209" spans="1:13" s="17" customFormat="1" x14ac:dyDescent="0.25">
      <c r="A209" s="16" t="str">
        <f>IF(URN&lt;&gt;"",_xll.mdValue("Resident",_xlnm.Database,$F209),"")</f>
        <v/>
      </c>
      <c r="B209" s="16" t="str">
        <f>IF(PersonId&lt;&gt;"",_xll.mdValue("Resident First Name",_xlnm.Database,$A$8),"")</f>
        <v/>
      </c>
      <c r="C209" s="16" t="str">
        <f>IF(PersonId&lt;&gt;"",_xll.mdValue("Resident Last Name",_xlnm.Database,$A$8),"")</f>
        <v/>
      </c>
      <c r="D209" s="16" t="str">
        <f>IF(PersonId&lt;&gt;"",_xll.mdValue("Person Accomodation Code",_xlnm.Database,$A209),"")</f>
        <v/>
      </c>
      <c r="E209" s="28" t="str">
        <f t="shared" si="6"/>
        <v/>
      </c>
      <c r="F209" s="16" t="str">
        <f>IF('Paste Here'!$A203&lt;&gt;"",'Paste Here'!$A203,"")</f>
        <v/>
      </c>
      <c r="G209" s="16" t="str">
        <f>IF('Paste Here'!$B203&lt;&gt;"",'Paste Here'!$B203,"")</f>
        <v/>
      </c>
      <c r="H209" s="16" t="str">
        <f>IF('Paste Here'!$C203&lt;&gt;"",'Paste Here'!$C203,"")</f>
        <v/>
      </c>
      <c r="I209" s="25" t="str">
        <f>IF('Paste Here'!$D203&lt;&gt;"",'Paste Here'!$D203,"")</f>
        <v/>
      </c>
      <c r="J209" s="27" t="str">
        <f>IF('Paste Here'!$E203&lt;&gt;"",'Paste Here'!$E203,"")</f>
        <v/>
      </c>
      <c r="K209" s="16" t="str">
        <f>IF('Paste Here'!$F203&lt;&gt;"",'Paste Here'!$F203,"")</f>
        <v/>
      </c>
      <c r="L209" s="16" t="str">
        <f>IF('Paste Here'!$G203&lt;&gt;"",'Paste Here'!$G203,"")</f>
        <v/>
      </c>
      <c r="M209" s="18" t="str">
        <f t="shared" si="7"/>
        <v/>
      </c>
    </row>
    <row r="210" spans="1:13" s="17" customFormat="1" x14ac:dyDescent="0.25">
      <c r="A210" s="16" t="str">
        <f>IF(URN&lt;&gt;"",_xll.mdValue("Resident",_xlnm.Database,$F210),"")</f>
        <v/>
      </c>
      <c r="B210" s="16" t="str">
        <f>IF(PersonId&lt;&gt;"",_xll.mdValue("Resident First Name",_xlnm.Database,$A$8),"")</f>
        <v/>
      </c>
      <c r="C210" s="16" t="str">
        <f>IF(PersonId&lt;&gt;"",_xll.mdValue("Resident Last Name",_xlnm.Database,$A$8),"")</f>
        <v/>
      </c>
      <c r="D210" s="16" t="str">
        <f>IF(PersonId&lt;&gt;"",_xll.mdValue("Person Accomodation Code",_xlnm.Database,$A210),"")</f>
        <v/>
      </c>
      <c r="E210" s="28" t="str">
        <f t="shared" si="6"/>
        <v/>
      </c>
      <c r="F210" s="16" t="str">
        <f>IF('Paste Here'!$A204&lt;&gt;"",'Paste Here'!$A204,"")</f>
        <v/>
      </c>
      <c r="G210" s="16" t="str">
        <f>IF('Paste Here'!$B204&lt;&gt;"",'Paste Here'!$B204,"")</f>
        <v/>
      </c>
      <c r="H210" s="16" t="str">
        <f>IF('Paste Here'!$C204&lt;&gt;"",'Paste Here'!$C204,"")</f>
        <v/>
      </c>
      <c r="I210" s="25" t="str">
        <f>IF('Paste Here'!$D204&lt;&gt;"",'Paste Here'!$D204,"")</f>
        <v/>
      </c>
      <c r="J210" s="27" t="str">
        <f>IF('Paste Here'!$E204&lt;&gt;"",'Paste Here'!$E204,"")</f>
        <v/>
      </c>
      <c r="K210" s="16" t="str">
        <f>IF('Paste Here'!$F204&lt;&gt;"",'Paste Here'!$F204,"")</f>
        <v/>
      </c>
      <c r="L210" s="16" t="str">
        <f>IF('Paste Here'!$G204&lt;&gt;"",'Paste Here'!$G204,"")</f>
        <v/>
      </c>
      <c r="M210" s="18" t="str">
        <f t="shared" si="7"/>
        <v/>
      </c>
    </row>
    <row r="211" spans="1:13" s="17" customFormat="1" x14ac:dyDescent="0.25">
      <c r="A211" s="16" t="str">
        <f>IF(URN&lt;&gt;"",_xll.mdValue("Resident",_xlnm.Database,$F211),"")</f>
        <v/>
      </c>
      <c r="B211" s="16" t="str">
        <f>IF(PersonId&lt;&gt;"",_xll.mdValue("Resident First Name",_xlnm.Database,$A$8),"")</f>
        <v/>
      </c>
      <c r="C211" s="16" t="str">
        <f>IF(PersonId&lt;&gt;"",_xll.mdValue("Resident Last Name",_xlnm.Database,$A$8),"")</f>
        <v/>
      </c>
      <c r="D211" s="16" t="str">
        <f>IF(PersonId&lt;&gt;"",_xll.mdValue("Person Accomodation Code",_xlnm.Database,$A211),"")</f>
        <v/>
      </c>
      <c r="E211" s="28" t="str">
        <f t="shared" si="6"/>
        <v/>
      </c>
      <c r="F211" s="16" t="str">
        <f>IF('Paste Here'!$A205&lt;&gt;"",'Paste Here'!$A205,"")</f>
        <v/>
      </c>
      <c r="G211" s="16" t="str">
        <f>IF('Paste Here'!$B205&lt;&gt;"",'Paste Here'!$B205,"")</f>
        <v/>
      </c>
      <c r="H211" s="16" t="str">
        <f>IF('Paste Here'!$C205&lt;&gt;"",'Paste Here'!$C205,"")</f>
        <v/>
      </c>
      <c r="I211" s="25" t="str">
        <f>IF('Paste Here'!$D205&lt;&gt;"",'Paste Here'!$D205,"")</f>
        <v/>
      </c>
      <c r="J211" s="27" t="str">
        <f>IF('Paste Here'!$E205&lt;&gt;"",'Paste Here'!$E205,"")</f>
        <v/>
      </c>
      <c r="K211" s="16" t="str">
        <f>IF('Paste Here'!$F205&lt;&gt;"",'Paste Here'!$F205,"")</f>
        <v/>
      </c>
      <c r="L211" s="16" t="str">
        <f>IF('Paste Here'!$G205&lt;&gt;"",'Paste Here'!$G205,"")</f>
        <v/>
      </c>
      <c r="M211" s="18" t="str">
        <f t="shared" si="7"/>
        <v/>
      </c>
    </row>
    <row r="212" spans="1:13" s="17" customFormat="1" x14ac:dyDescent="0.25">
      <c r="A212" s="16" t="str">
        <f>IF(URN&lt;&gt;"",_xll.mdValue("Resident",_xlnm.Database,$F212),"")</f>
        <v/>
      </c>
      <c r="B212" s="16" t="str">
        <f>IF(PersonId&lt;&gt;"",_xll.mdValue("Resident First Name",_xlnm.Database,$A$8),"")</f>
        <v/>
      </c>
      <c r="C212" s="16" t="str">
        <f>IF(PersonId&lt;&gt;"",_xll.mdValue("Resident Last Name",_xlnm.Database,$A$8),"")</f>
        <v/>
      </c>
      <c r="D212" s="16" t="str">
        <f>IF(PersonId&lt;&gt;"",_xll.mdValue("Person Accomodation Code",_xlnm.Database,$A212),"")</f>
        <v/>
      </c>
      <c r="E212" s="28" t="str">
        <f t="shared" si="6"/>
        <v/>
      </c>
      <c r="F212" s="16" t="str">
        <f>IF('Paste Here'!$A206&lt;&gt;"",'Paste Here'!$A206,"")</f>
        <v/>
      </c>
      <c r="G212" s="16" t="str">
        <f>IF('Paste Here'!$B206&lt;&gt;"",'Paste Here'!$B206,"")</f>
        <v/>
      </c>
      <c r="H212" s="16" t="str">
        <f>IF('Paste Here'!$C206&lt;&gt;"",'Paste Here'!$C206,"")</f>
        <v/>
      </c>
      <c r="I212" s="25" t="str">
        <f>IF('Paste Here'!$D206&lt;&gt;"",'Paste Here'!$D206,"")</f>
        <v/>
      </c>
      <c r="J212" s="27" t="str">
        <f>IF('Paste Here'!$E206&lt;&gt;"",'Paste Here'!$E206,"")</f>
        <v/>
      </c>
      <c r="K212" s="16" t="str">
        <f>IF('Paste Here'!$F206&lt;&gt;"",'Paste Here'!$F206,"")</f>
        <v/>
      </c>
      <c r="L212" s="16" t="str">
        <f>IF('Paste Here'!$G206&lt;&gt;"",'Paste Here'!$G206,"")</f>
        <v/>
      </c>
      <c r="M212" s="18" t="str">
        <f t="shared" si="7"/>
        <v/>
      </c>
    </row>
    <row r="213" spans="1:13" s="17" customFormat="1" x14ac:dyDescent="0.25">
      <c r="A213" s="16" t="str">
        <f>IF(URN&lt;&gt;"",_xll.mdValue("Resident",_xlnm.Database,$F213),"")</f>
        <v/>
      </c>
      <c r="B213" s="16" t="str">
        <f>IF(PersonId&lt;&gt;"",_xll.mdValue("Resident First Name",_xlnm.Database,$A$8),"")</f>
        <v/>
      </c>
      <c r="C213" s="16" t="str">
        <f>IF(PersonId&lt;&gt;"",_xll.mdValue("Resident Last Name",_xlnm.Database,$A$8),"")</f>
        <v/>
      </c>
      <c r="D213" s="16" t="str">
        <f>IF(PersonId&lt;&gt;"",_xll.mdValue("Person Accomodation Code",_xlnm.Database,$A213),"")</f>
        <v/>
      </c>
      <c r="E213" s="28" t="str">
        <f t="shared" si="6"/>
        <v/>
      </c>
      <c r="F213" s="16" t="str">
        <f>IF('Paste Here'!$A207&lt;&gt;"",'Paste Here'!$A207,"")</f>
        <v/>
      </c>
      <c r="G213" s="16" t="str">
        <f>IF('Paste Here'!$B207&lt;&gt;"",'Paste Here'!$B207,"")</f>
        <v/>
      </c>
      <c r="H213" s="16" t="str">
        <f>IF('Paste Here'!$C207&lt;&gt;"",'Paste Here'!$C207,"")</f>
        <v/>
      </c>
      <c r="I213" s="25" t="str">
        <f>IF('Paste Here'!$D207&lt;&gt;"",'Paste Here'!$D207,"")</f>
        <v/>
      </c>
      <c r="J213" s="27" t="str">
        <f>IF('Paste Here'!$E207&lt;&gt;"",'Paste Here'!$E207,"")</f>
        <v/>
      </c>
      <c r="K213" s="16" t="str">
        <f>IF('Paste Here'!$F207&lt;&gt;"",'Paste Here'!$F207,"")</f>
        <v/>
      </c>
      <c r="L213" s="16" t="str">
        <f>IF('Paste Here'!$G207&lt;&gt;"",'Paste Here'!$G207,"")</f>
        <v/>
      </c>
      <c r="M213" s="18" t="str">
        <f t="shared" si="7"/>
        <v/>
      </c>
    </row>
    <row r="214" spans="1:13" s="17" customFormat="1" x14ac:dyDescent="0.25">
      <c r="A214" s="16" t="str">
        <f>IF(URN&lt;&gt;"",_xll.mdValue("Resident",_xlnm.Database,$F214),"")</f>
        <v/>
      </c>
      <c r="B214" s="16" t="str">
        <f>IF(PersonId&lt;&gt;"",_xll.mdValue("Resident First Name",_xlnm.Database,$A$8),"")</f>
        <v/>
      </c>
      <c r="C214" s="16" t="str">
        <f>IF(PersonId&lt;&gt;"",_xll.mdValue("Resident Last Name",_xlnm.Database,$A$8),"")</f>
        <v/>
      </c>
      <c r="D214" s="16" t="str">
        <f>IF(PersonId&lt;&gt;"",_xll.mdValue("Person Accomodation Code",_xlnm.Database,$A214),"")</f>
        <v/>
      </c>
      <c r="E214" s="28" t="str">
        <f t="shared" si="6"/>
        <v/>
      </c>
      <c r="F214" s="16" t="str">
        <f>IF('Paste Here'!$A208&lt;&gt;"",'Paste Here'!$A208,"")</f>
        <v/>
      </c>
      <c r="G214" s="16" t="str">
        <f>IF('Paste Here'!$B208&lt;&gt;"",'Paste Here'!$B208,"")</f>
        <v/>
      </c>
      <c r="H214" s="16" t="str">
        <f>IF('Paste Here'!$C208&lt;&gt;"",'Paste Here'!$C208,"")</f>
        <v/>
      </c>
      <c r="I214" s="25" t="str">
        <f>IF('Paste Here'!$D208&lt;&gt;"",'Paste Here'!$D208,"")</f>
        <v/>
      </c>
      <c r="J214" s="27" t="str">
        <f>IF('Paste Here'!$E208&lt;&gt;"",'Paste Here'!$E208,"")</f>
        <v/>
      </c>
      <c r="K214" s="16" t="str">
        <f>IF('Paste Here'!$F208&lt;&gt;"",'Paste Here'!$F208,"")</f>
        <v/>
      </c>
      <c r="L214" s="16" t="str">
        <f>IF('Paste Here'!$G208&lt;&gt;"",'Paste Here'!$G208,"")</f>
        <v/>
      </c>
      <c r="M214" s="18" t="str">
        <f t="shared" si="7"/>
        <v/>
      </c>
    </row>
    <row r="215" spans="1:13" s="17" customFormat="1" x14ac:dyDescent="0.25">
      <c r="A215" s="16" t="str">
        <f>IF(URN&lt;&gt;"",_xll.mdValue("Resident",_xlnm.Database,$F215),"")</f>
        <v/>
      </c>
      <c r="B215" s="16" t="str">
        <f>IF(PersonId&lt;&gt;"",_xll.mdValue("Resident First Name",_xlnm.Database,$A$8),"")</f>
        <v/>
      </c>
      <c r="C215" s="16" t="str">
        <f>IF(PersonId&lt;&gt;"",_xll.mdValue("Resident Last Name",_xlnm.Database,$A$8),"")</f>
        <v/>
      </c>
      <c r="D215" s="16" t="str">
        <f>IF(PersonId&lt;&gt;"",_xll.mdValue("Person Accomodation Code",_xlnm.Database,$A215),"")</f>
        <v/>
      </c>
      <c r="E215" s="28" t="str">
        <f t="shared" si="6"/>
        <v/>
      </c>
      <c r="F215" s="16" t="str">
        <f>IF('Paste Here'!$A209&lt;&gt;"",'Paste Here'!$A209,"")</f>
        <v/>
      </c>
      <c r="G215" s="16" t="str">
        <f>IF('Paste Here'!$B209&lt;&gt;"",'Paste Here'!$B209,"")</f>
        <v/>
      </c>
      <c r="H215" s="16" t="str">
        <f>IF('Paste Here'!$C209&lt;&gt;"",'Paste Here'!$C209,"")</f>
        <v/>
      </c>
      <c r="I215" s="25" t="str">
        <f>IF('Paste Here'!$D209&lt;&gt;"",'Paste Here'!$D209,"")</f>
        <v/>
      </c>
      <c r="J215" s="27" t="str">
        <f>IF('Paste Here'!$E209&lt;&gt;"",'Paste Here'!$E209,"")</f>
        <v/>
      </c>
      <c r="K215" s="16" t="str">
        <f>IF('Paste Here'!$F209&lt;&gt;"",'Paste Here'!$F209,"")</f>
        <v/>
      </c>
      <c r="L215" s="16" t="str">
        <f>IF('Paste Here'!$G209&lt;&gt;"",'Paste Here'!$G209,"")</f>
        <v/>
      </c>
      <c r="M215" s="18" t="str">
        <f t="shared" si="7"/>
        <v/>
      </c>
    </row>
    <row r="216" spans="1:13" s="17" customFormat="1" x14ac:dyDescent="0.25">
      <c r="A216" s="16" t="str">
        <f>IF(URN&lt;&gt;"",_xll.mdValue("Resident",_xlnm.Database,$F216),"")</f>
        <v/>
      </c>
      <c r="B216" s="16" t="str">
        <f>IF(PersonId&lt;&gt;"",_xll.mdValue("Resident First Name",_xlnm.Database,$A$8),"")</f>
        <v/>
      </c>
      <c r="C216" s="16" t="str">
        <f>IF(PersonId&lt;&gt;"",_xll.mdValue("Resident Last Name",_xlnm.Database,$A$8),"")</f>
        <v/>
      </c>
      <c r="D216" s="16" t="str">
        <f>IF(PersonId&lt;&gt;"",_xll.mdValue("Person Accomodation Code",_xlnm.Database,$A216),"")</f>
        <v/>
      </c>
      <c r="E216" s="28" t="str">
        <f t="shared" si="6"/>
        <v/>
      </c>
      <c r="F216" s="16" t="str">
        <f>IF('Paste Here'!$A210&lt;&gt;"",'Paste Here'!$A210,"")</f>
        <v/>
      </c>
      <c r="G216" s="16" t="str">
        <f>IF('Paste Here'!$B210&lt;&gt;"",'Paste Here'!$B210,"")</f>
        <v/>
      </c>
      <c r="H216" s="16" t="str">
        <f>IF('Paste Here'!$C210&lt;&gt;"",'Paste Here'!$C210,"")</f>
        <v/>
      </c>
      <c r="I216" s="25" t="str">
        <f>IF('Paste Here'!$D210&lt;&gt;"",'Paste Here'!$D210,"")</f>
        <v/>
      </c>
      <c r="J216" s="27" t="str">
        <f>IF('Paste Here'!$E210&lt;&gt;"",'Paste Here'!$E210,"")</f>
        <v/>
      </c>
      <c r="K216" s="16" t="str">
        <f>IF('Paste Here'!$F210&lt;&gt;"",'Paste Here'!$F210,"")</f>
        <v/>
      </c>
      <c r="L216" s="16" t="str">
        <f>IF('Paste Here'!$G210&lt;&gt;"",'Paste Here'!$G210,"")</f>
        <v/>
      </c>
      <c r="M216" s="18" t="str">
        <f t="shared" si="7"/>
        <v/>
      </c>
    </row>
    <row r="217" spans="1:13" s="17" customFormat="1" x14ac:dyDescent="0.25">
      <c r="A217" s="16" t="str">
        <f>IF(URN&lt;&gt;"",_xll.mdValue("Resident",_xlnm.Database,$F217),"")</f>
        <v/>
      </c>
      <c r="B217" s="16" t="str">
        <f>IF(PersonId&lt;&gt;"",_xll.mdValue("Resident First Name",_xlnm.Database,$A$8),"")</f>
        <v/>
      </c>
      <c r="C217" s="16" t="str">
        <f>IF(PersonId&lt;&gt;"",_xll.mdValue("Resident Last Name",_xlnm.Database,$A$8),"")</f>
        <v/>
      </c>
      <c r="D217" s="16" t="str">
        <f>IF(PersonId&lt;&gt;"",_xll.mdValue("Person Accomodation Code",_xlnm.Database,$A217),"")</f>
        <v/>
      </c>
      <c r="E217" s="28" t="str">
        <f t="shared" si="6"/>
        <v/>
      </c>
      <c r="F217" s="16" t="str">
        <f>IF('Paste Here'!$A211&lt;&gt;"",'Paste Here'!$A211,"")</f>
        <v/>
      </c>
      <c r="G217" s="16" t="str">
        <f>IF('Paste Here'!$B211&lt;&gt;"",'Paste Here'!$B211,"")</f>
        <v/>
      </c>
      <c r="H217" s="16" t="str">
        <f>IF('Paste Here'!$C211&lt;&gt;"",'Paste Here'!$C211,"")</f>
        <v/>
      </c>
      <c r="I217" s="25" t="str">
        <f>IF('Paste Here'!$D211&lt;&gt;"",'Paste Here'!$D211,"")</f>
        <v/>
      </c>
      <c r="J217" s="27" t="str">
        <f>IF('Paste Here'!$E211&lt;&gt;"",'Paste Here'!$E211,"")</f>
        <v/>
      </c>
      <c r="K217" s="16" t="str">
        <f>IF('Paste Here'!$F211&lt;&gt;"",'Paste Here'!$F211,"")</f>
        <v/>
      </c>
      <c r="L217" s="16" t="str">
        <f>IF('Paste Here'!$G211&lt;&gt;"",'Paste Here'!$G211,"")</f>
        <v/>
      </c>
      <c r="M217" s="18" t="str">
        <f t="shared" si="7"/>
        <v/>
      </c>
    </row>
    <row r="218" spans="1:13" s="17" customFormat="1" x14ac:dyDescent="0.25">
      <c r="A218" s="16" t="str">
        <f>IF(URN&lt;&gt;"",_xll.mdValue("Resident",_xlnm.Database,$F218),"")</f>
        <v/>
      </c>
      <c r="B218" s="16" t="str">
        <f>IF(PersonId&lt;&gt;"",_xll.mdValue("Resident First Name",_xlnm.Database,$A$8),"")</f>
        <v/>
      </c>
      <c r="C218" s="16" t="str">
        <f>IF(PersonId&lt;&gt;"",_xll.mdValue("Resident Last Name",_xlnm.Database,$A$8),"")</f>
        <v/>
      </c>
      <c r="D218" s="16" t="str">
        <f>IF(PersonId&lt;&gt;"",_xll.mdValue("Person Accomodation Code",_xlnm.Database,$A218),"")</f>
        <v/>
      </c>
      <c r="E218" s="28" t="str">
        <f t="shared" si="6"/>
        <v/>
      </c>
      <c r="F218" s="16" t="str">
        <f>IF('Paste Here'!$A212&lt;&gt;"",'Paste Here'!$A212,"")</f>
        <v/>
      </c>
      <c r="G218" s="16" t="str">
        <f>IF('Paste Here'!$B212&lt;&gt;"",'Paste Here'!$B212,"")</f>
        <v/>
      </c>
      <c r="H218" s="16" t="str">
        <f>IF('Paste Here'!$C212&lt;&gt;"",'Paste Here'!$C212,"")</f>
        <v/>
      </c>
      <c r="I218" s="25" t="str">
        <f>IF('Paste Here'!$D212&lt;&gt;"",'Paste Here'!$D212,"")</f>
        <v/>
      </c>
      <c r="J218" s="27" t="str">
        <f>IF('Paste Here'!$E212&lt;&gt;"",'Paste Here'!$E212,"")</f>
        <v/>
      </c>
      <c r="K218" s="16" t="str">
        <f>IF('Paste Here'!$F212&lt;&gt;"",'Paste Here'!$F212,"")</f>
        <v/>
      </c>
      <c r="L218" s="16" t="str">
        <f>IF('Paste Here'!$G212&lt;&gt;"",'Paste Here'!$G212,"")</f>
        <v/>
      </c>
      <c r="M218" s="18" t="str">
        <f t="shared" si="7"/>
        <v/>
      </c>
    </row>
    <row r="219" spans="1:13" s="17" customFormat="1" x14ac:dyDescent="0.25">
      <c r="A219" s="16" t="str">
        <f>IF(URN&lt;&gt;"",_xll.mdValue("Resident",_xlnm.Database,$F219),"")</f>
        <v/>
      </c>
      <c r="B219" s="16" t="str">
        <f>IF(PersonId&lt;&gt;"",_xll.mdValue("Resident First Name",_xlnm.Database,$A$8),"")</f>
        <v/>
      </c>
      <c r="C219" s="16" t="str">
        <f>IF(PersonId&lt;&gt;"",_xll.mdValue("Resident Last Name",_xlnm.Database,$A$8),"")</f>
        <v/>
      </c>
      <c r="D219" s="16" t="str">
        <f>IF(PersonId&lt;&gt;"",_xll.mdValue("Person Accomodation Code",_xlnm.Database,$A219),"")</f>
        <v/>
      </c>
      <c r="E219" s="28" t="str">
        <f t="shared" si="6"/>
        <v/>
      </c>
      <c r="F219" s="16" t="str">
        <f>IF('Paste Here'!$A213&lt;&gt;"",'Paste Here'!$A213,"")</f>
        <v/>
      </c>
      <c r="G219" s="16" t="str">
        <f>IF('Paste Here'!$B213&lt;&gt;"",'Paste Here'!$B213,"")</f>
        <v/>
      </c>
      <c r="H219" s="16" t="str">
        <f>IF('Paste Here'!$C213&lt;&gt;"",'Paste Here'!$C213,"")</f>
        <v/>
      </c>
      <c r="I219" s="25" t="str">
        <f>IF('Paste Here'!$D213&lt;&gt;"",'Paste Here'!$D213,"")</f>
        <v/>
      </c>
      <c r="J219" s="27" t="str">
        <f>IF('Paste Here'!$E213&lt;&gt;"",'Paste Here'!$E213,"")</f>
        <v/>
      </c>
      <c r="K219" s="16" t="str">
        <f>IF('Paste Here'!$F213&lt;&gt;"",'Paste Here'!$F213,"")</f>
        <v/>
      </c>
      <c r="L219" s="16" t="str">
        <f>IF('Paste Here'!$G213&lt;&gt;"",'Paste Here'!$G213,"")</f>
        <v/>
      </c>
      <c r="M219" s="18" t="str">
        <f t="shared" si="7"/>
        <v/>
      </c>
    </row>
    <row r="220" spans="1:13" s="17" customFormat="1" x14ac:dyDescent="0.25">
      <c r="A220" s="16" t="str">
        <f>IF(URN&lt;&gt;"",_xll.mdValue("Resident",_xlnm.Database,$F220),"")</f>
        <v/>
      </c>
      <c r="B220" s="16" t="str">
        <f>IF(PersonId&lt;&gt;"",_xll.mdValue("Resident First Name",_xlnm.Database,$A$8),"")</f>
        <v/>
      </c>
      <c r="C220" s="16" t="str">
        <f>IF(PersonId&lt;&gt;"",_xll.mdValue("Resident Last Name",_xlnm.Database,$A$8),"")</f>
        <v/>
      </c>
      <c r="D220" s="16" t="str">
        <f>IF(PersonId&lt;&gt;"",_xll.mdValue("Person Accomodation Code",_xlnm.Database,$A220),"")</f>
        <v/>
      </c>
      <c r="E220" s="28" t="str">
        <f t="shared" si="6"/>
        <v/>
      </c>
      <c r="F220" s="16" t="str">
        <f>IF('Paste Here'!$A214&lt;&gt;"",'Paste Here'!$A214,"")</f>
        <v/>
      </c>
      <c r="G220" s="16" t="str">
        <f>IF('Paste Here'!$B214&lt;&gt;"",'Paste Here'!$B214,"")</f>
        <v/>
      </c>
      <c r="H220" s="16" t="str">
        <f>IF('Paste Here'!$C214&lt;&gt;"",'Paste Here'!$C214,"")</f>
        <v/>
      </c>
      <c r="I220" s="25" t="str">
        <f>IF('Paste Here'!$D214&lt;&gt;"",'Paste Here'!$D214,"")</f>
        <v/>
      </c>
      <c r="J220" s="27" t="str">
        <f>IF('Paste Here'!$E214&lt;&gt;"",'Paste Here'!$E214,"")</f>
        <v/>
      </c>
      <c r="K220" s="16" t="str">
        <f>IF('Paste Here'!$F214&lt;&gt;"",'Paste Here'!$F214,"")</f>
        <v/>
      </c>
      <c r="L220" s="16" t="str">
        <f>IF('Paste Here'!$G214&lt;&gt;"",'Paste Here'!$G214,"")</f>
        <v/>
      </c>
      <c r="M220" s="18" t="str">
        <f t="shared" si="7"/>
        <v/>
      </c>
    </row>
    <row r="221" spans="1:13" s="17" customFormat="1" x14ac:dyDescent="0.25">
      <c r="A221" s="16" t="str">
        <f>IF(URN&lt;&gt;"",_xll.mdValue("Resident",_xlnm.Database,$F221),"")</f>
        <v/>
      </c>
      <c r="B221" s="16" t="str">
        <f>IF(PersonId&lt;&gt;"",_xll.mdValue("Resident First Name",_xlnm.Database,$A$8),"")</f>
        <v/>
      </c>
      <c r="C221" s="16" t="str">
        <f>IF(PersonId&lt;&gt;"",_xll.mdValue("Resident Last Name",_xlnm.Database,$A$8),"")</f>
        <v/>
      </c>
      <c r="D221" s="16" t="str">
        <f>IF(PersonId&lt;&gt;"",_xll.mdValue("Person Accomodation Code",_xlnm.Database,$A221),"")</f>
        <v/>
      </c>
      <c r="E221" s="28" t="str">
        <f t="shared" si="6"/>
        <v/>
      </c>
      <c r="F221" s="16" t="str">
        <f>IF('Paste Here'!$A215&lt;&gt;"",'Paste Here'!$A215,"")</f>
        <v/>
      </c>
      <c r="G221" s="16" t="str">
        <f>IF('Paste Here'!$B215&lt;&gt;"",'Paste Here'!$B215,"")</f>
        <v/>
      </c>
      <c r="H221" s="16" t="str">
        <f>IF('Paste Here'!$C215&lt;&gt;"",'Paste Here'!$C215,"")</f>
        <v/>
      </c>
      <c r="I221" s="25" t="str">
        <f>IF('Paste Here'!$D215&lt;&gt;"",'Paste Here'!$D215,"")</f>
        <v/>
      </c>
      <c r="J221" s="27" t="str">
        <f>IF('Paste Here'!$E215&lt;&gt;"",'Paste Here'!$E215,"")</f>
        <v/>
      </c>
      <c r="K221" s="16" t="str">
        <f>IF('Paste Here'!$F215&lt;&gt;"",'Paste Here'!$F215,"")</f>
        <v/>
      </c>
      <c r="L221" s="16" t="str">
        <f>IF('Paste Here'!$G215&lt;&gt;"",'Paste Here'!$G215,"")</f>
        <v/>
      </c>
      <c r="M221" s="18" t="str">
        <f t="shared" si="7"/>
        <v/>
      </c>
    </row>
    <row r="222" spans="1:13" s="17" customFormat="1" x14ac:dyDescent="0.25">
      <c r="A222" s="16" t="str">
        <f>IF(URN&lt;&gt;"",_xll.mdValue("Resident",_xlnm.Database,$F222),"")</f>
        <v/>
      </c>
      <c r="B222" s="16" t="str">
        <f>IF(PersonId&lt;&gt;"",_xll.mdValue("Resident First Name",_xlnm.Database,$A$8),"")</f>
        <v/>
      </c>
      <c r="C222" s="16" t="str">
        <f>IF(PersonId&lt;&gt;"",_xll.mdValue("Resident Last Name",_xlnm.Database,$A$8),"")</f>
        <v/>
      </c>
      <c r="D222" s="16" t="str">
        <f>IF(PersonId&lt;&gt;"",_xll.mdValue("Person Accomodation Code",_xlnm.Database,$A222),"")</f>
        <v/>
      </c>
      <c r="E222" s="28" t="str">
        <f t="shared" si="6"/>
        <v/>
      </c>
      <c r="F222" s="16" t="str">
        <f>IF('Paste Here'!$A216&lt;&gt;"",'Paste Here'!$A216,"")</f>
        <v/>
      </c>
      <c r="G222" s="16" t="str">
        <f>IF('Paste Here'!$B216&lt;&gt;"",'Paste Here'!$B216,"")</f>
        <v/>
      </c>
      <c r="H222" s="16" t="str">
        <f>IF('Paste Here'!$C216&lt;&gt;"",'Paste Here'!$C216,"")</f>
        <v/>
      </c>
      <c r="I222" s="25" t="str">
        <f>IF('Paste Here'!$D216&lt;&gt;"",'Paste Here'!$D216,"")</f>
        <v/>
      </c>
      <c r="J222" s="27" t="str">
        <f>IF('Paste Here'!$E216&lt;&gt;"",'Paste Here'!$E216,"")</f>
        <v/>
      </c>
      <c r="K222" s="16" t="str">
        <f>IF('Paste Here'!$F216&lt;&gt;"",'Paste Here'!$F216,"")</f>
        <v/>
      </c>
      <c r="L222" s="16" t="str">
        <f>IF('Paste Here'!$G216&lt;&gt;"",'Paste Here'!$G216,"")</f>
        <v/>
      </c>
      <c r="M222" s="18" t="str">
        <f t="shared" si="7"/>
        <v/>
      </c>
    </row>
    <row r="223" spans="1:13" s="17" customFormat="1" x14ac:dyDescent="0.25">
      <c r="A223" s="16" t="str">
        <f>IF(URN&lt;&gt;"",_xll.mdValue("Resident",_xlnm.Database,$F223),"")</f>
        <v/>
      </c>
      <c r="B223" s="16" t="str">
        <f>IF(PersonId&lt;&gt;"",_xll.mdValue("Resident First Name",_xlnm.Database,$A$8),"")</f>
        <v/>
      </c>
      <c r="C223" s="16" t="str">
        <f>IF(PersonId&lt;&gt;"",_xll.mdValue("Resident Last Name",_xlnm.Database,$A$8),"")</f>
        <v/>
      </c>
      <c r="D223" s="16" t="str">
        <f>IF(PersonId&lt;&gt;"",_xll.mdValue("Person Accomodation Code",_xlnm.Database,$A223),"")</f>
        <v/>
      </c>
      <c r="E223" s="28" t="str">
        <f t="shared" si="6"/>
        <v/>
      </c>
      <c r="F223" s="16" t="str">
        <f>IF('Paste Here'!$A217&lt;&gt;"",'Paste Here'!$A217,"")</f>
        <v/>
      </c>
      <c r="G223" s="16" t="str">
        <f>IF('Paste Here'!$B217&lt;&gt;"",'Paste Here'!$B217,"")</f>
        <v/>
      </c>
      <c r="H223" s="16" t="str">
        <f>IF('Paste Here'!$C217&lt;&gt;"",'Paste Here'!$C217,"")</f>
        <v/>
      </c>
      <c r="I223" s="25" t="str">
        <f>IF('Paste Here'!$D217&lt;&gt;"",'Paste Here'!$D217,"")</f>
        <v/>
      </c>
      <c r="J223" s="27" t="str">
        <f>IF('Paste Here'!$E217&lt;&gt;"",'Paste Here'!$E217,"")</f>
        <v/>
      </c>
      <c r="K223" s="16" t="str">
        <f>IF('Paste Here'!$F217&lt;&gt;"",'Paste Here'!$F217,"")</f>
        <v/>
      </c>
      <c r="L223" s="16" t="str">
        <f>IF('Paste Here'!$G217&lt;&gt;"",'Paste Here'!$G217,"")</f>
        <v/>
      </c>
      <c r="M223" s="18" t="str">
        <f t="shared" si="7"/>
        <v/>
      </c>
    </row>
    <row r="224" spans="1:13" s="17" customFormat="1" x14ac:dyDescent="0.25">
      <c r="A224" s="16" t="str">
        <f>IF(URN&lt;&gt;"",_xll.mdValue("Resident",_xlnm.Database,$F224),"")</f>
        <v/>
      </c>
      <c r="B224" s="16" t="str">
        <f>IF(PersonId&lt;&gt;"",_xll.mdValue("Resident First Name",_xlnm.Database,$A$8),"")</f>
        <v/>
      </c>
      <c r="C224" s="16" t="str">
        <f>IF(PersonId&lt;&gt;"",_xll.mdValue("Resident Last Name",_xlnm.Database,$A$8),"")</f>
        <v/>
      </c>
      <c r="D224" s="16" t="str">
        <f>IF(PersonId&lt;&gt;"",_xll.mdValue("Person Accomodation Code",_xlnm.Database,$A224),"")</f>
        <v/>
      </c>
      <c r="E224" s="28" t="str">
        <f t="shared" si="6"/>
        <v/>
      </c>
      <c r="F224" s="16" t="str">
        <f>IF('Paste Here'!$A218&lt;&gt;"",'Paste Here'!$A218,"")</f>
        <v/>
      </c>
      <c r="G224" s="16" t="str">
        <f>IF('Paste Here'!$B218&lt;&gt;"",'Paste Here'!$B218,"")</f>
        <v/>
      </c>
      <c r="H224" s="16" t="str">
        <f>IF('Paste Here'!$C218&lt;&gt;"",'Paste Here'!$C218,"")</f>
        <v/>
      </c>
      <c r="I224" s="25" t="str">
        <f>IF('Paste Here'!$D218&lt;&gt;"",'Paste Here'!$D218,"")</f>
        <v/>
      </c>
      <c r="J224" s="27" t="str">
        <f>IF('Paste Here'!$E218&lt;&gt;"",'Paste Here'!$E218,"")</f>
        <v/>
      </c>
      <c r="K224" s="16" t="str">
        <f>IF('Paste Here'!$F218&lt;&gt;"",'Paste Here'!$F218,"")</f>
        <v/>
      </c>
      <c r="L224" s="16" t="str">
        <f>IF('Paste Here'!$G218&lt;&gt;"",'Paste Here'!$G218,"")</f>
        <v/>
      </c>
      <c r="M224" s="18" t="str">
        <f t="shared" si="7"/>
        <v/>
      </c>
    </row>
    <row r="225" spans="1:13" s="17" customFormat="1" x14ac:dyDescent="0.25">
      <c r="A225" s="16" t="str">
        <f>IF(URN&lt;&gt;"",_xll.mdValue("Resident",_xlnm.Database,$F225),"")</f>
        <v/>
      </c>
      <c r="B225" s="16" t="str">
        <f>IF(PersonId&lt;&gt;"",_xll.mdValue("Resident First Name",_xlnm.Database,$A$8),"")</f>
        <v/>
      </c>
      <c r="C225" s="16" t="str">
        <f>IF(PersonId&lt;&gt;"",_xll.mdValue("Resident Last Name",_xlnm.Database,$A$8),"")</f>
        <v/>
      </c>
      <c r="D225" s="16" t="str">
        <f>IF(PersonId&lt;&gt;"",_xll.mdValue("Person Accomodation Code",_xlnm.Database,$A225),"")</f>
        <v/>
      </c>
      <c r="E225" s="28" t="str">
        <f t="shared" si="6"/>
        <v/>
      </c>
      <c r="F225" s="16" t="str">
        <f>IF('Paste Here'!$A219&lt;&gt;"",'Paste Here'!$A219,"")</f>
        <v/>
      </c>
      <c r="G225" s="16" t="str">
        <f>IF('Paste Here'!$B219&lt;&gt;"",'Paste Here'!$B219,"")</f>
        <v/>
      </c>
      <c r="H225" s="16" t="str">
        <f>IF('Paste Here'!$C219&lt;&gt;"",'Paste Here'!$C219,"")</f>
        <v/>
      </c>
      <c r="I225" s="25" t="str">
        <f>IF('Paste Here'!$D219&lt;&gt;"",'Paste Here'!$D219,"")</f>
        <v/>
      </c>
      <c r="J225" s="27" t="str">
        <f>IF('Paste Here'!$E219&lt;&gt;"",'Paste Here'!$E219,"")</f>
        <v/>
      </c>
      <c r="K225" s="16" t="str">
        <f>IF('Paste Here'!$F219&lt;&gt;"",'Paste Here'!$F219,"")</f>
        <v/>
      </c>
      <c r="L225" s="16" t="str">
        <f>IF('Paste Here'!$G219&lt;&gt;"",'Paste Here'!$G219,"")</f>
        <v/>
      </c>
      <c r="M225" s="18" t="str">
        <f t="shared" si="7"/>
        <v/>
      </c>
    </row>
    <row r="226" spans="1:13" s="17" customFormat="1" x14ac:dyDescent="0.25">
      <c r="A226" s="16" t="str">
        <f>IF(URN&lt;&gt;"",_xll.mdValue("Resident",_xlnm.Database,$F226),"")</f>
        <v/>
      </c>
      <c r="B226" s="16" t="str">
        <f>IF(PersonId&lt;&gt;"",_xll.mdValue("Resident First Name",_xlnm.Database,$A$8),"")</f>
        <v/>
      </c>
      <c r="C226" s="16" t="str">
        <f>IF(PersonId&lt;&gt;"",_xll.mdValue("Resident Last Name",_xlnm.Database,$A$8),"")</f>
        <v/>
      </c>
      <c r="D226" s="16" t="str">
        <f>IF(PersonId&lt;&gt;"",_xll.mdValue("Person Accomodation Code",_xlnm.Database,$A226),"")</f>
        <v/>
      </c>
      <c r="E226" s="28" t="str">
        <f t="shared" si="6"/>
        <v/>
      </c>
      <c r="F226" s="16" t="str">
        <f>IF('Paste Here'!$A220&lt;&gt;"",'Paste Here'!$A220,"")</f>
        <v/>
      </c>
      <c r="G226" s="16" t="str">
        <f>IF('Paste Here'!$B220&lt;&gt;"",'Paste Here'!$B220,"")</f>
        <v/>
      </c>
      <c r="H226" s="16" t="str">
        <f>IF('Paste Here'!$C220&lt;&gt;"",'Paste Here'!$C220,"")</f>
        <v/>
      </c>
      <c r="I226" s="25" t="str">
        <f>IF('Paste Here'!$D220&lt;&gt;"",'Paste Here'!$D220,"")</f>
        <v/>
      </c>
      <c r="J226" s="27" t="str">
        <f>IF('Paste Here'!$E220&lt;&gt;"",'Paste Here'!$E220,"")</f>
        <v/>
      </c>
      <c r="K226" s="16" t="str">
        <f>IF('Paste Here'!$F220&lt;&gt;"",'Paste Here'!$F220,"")</f>
        <v/>
      </c>
      <c r="L226" s="16" t="str">
        <f>IF('Paste Here'!$G220&lt;&gt;"",'Paste Here'!$G220,"")</f>
        <v/>
      </c>
      <c r="M226" s="18" t="str">
        <f t="shared" si="7"/>
        <v/>
      </c>
    </row>
    <row r="227" spans="1:13" s="17" customFormat="1" x14ac:dyDescent="0.25">
      <c r="A227" s="16" t="str">
        <f>IF(URN&lt;&gt;"",_xll.mdValue("Resident",_xlnm.Database,$F227),"")</f>
        <v/>
      </c>
      <c r="B227" s="16" t="str">
        <f>IF(PersonId&lt;&gt;"",_xll.mdValue("Resident First Name",_xlnm.Database,$A$8),"")</f>
        <v/>
      </c>
      <c r="C227" s="16" t="str">
        <f>IF(PersonId&lt;&gt;"",_xll.mdValue("Resident Last Name",_xlnm.Database,$A$8),"")</f>
        <v/>
      </c>
      <c r="D227" s="16" t="str">
        <f>IF(PersonId&lt;&gt;"",_xll.mdValue("Person Accomodation Code",_xlnm.Database,$A227),"")</f>
        <v/>
      </c>
      <c r="E227" s="28" t="str">
        <f t="shared" si="6"/>
        <v/>
      </c>
      <c r="F227" s="16" t="str">
        <f>IF('Paste Here'!$A221&lt;&gt;"",'Paste Here'!$A221,"")</f>
        <v/>
      </c>
      <c r="G227" s="16" t="str">
        <f>IF('Paste Here'!$B221&lt;&gt;"",'Paste Here'!$B221,"")</f>
        <v/>
      </c>
      <c r="H227" s="16" t="str">
        <f>IF('Paste Here'!$C221&lt;&gt;"",'Paste Here'!$C221,"")</f>
        <v/>
      </c>
      <c r="I227" s="25" t="str">
        <f>IF('Paste Here'!$D221&lt;&gt;"",'Paste Here'!$D221,"")</f>
        <v/>
      </c>
      <c r="J227" s="27" t="str">
        <f>IF('Paste Here'!$E221&lt;&gt;"",'Paste Here'!$E221,"")</f>
        <v/>
      </c>
      <c r="K227" s="16" t="str">
        <f>IF('Paste Here'!$F221&lt;&gt;"",'Paste Here'!$F221,"")</f>
        <v/>
      </c>
      <c r="L227" s="16" t="str">
        <f>IF('Paste Here'!$G221&lt;&gt;"",'Paste Here'!$G221,"")</f>
        <v/>
      </c>
      <c r="M227" s="18" t="str">
        <f t="shared" si="7"/>
        <v/>
      </c>
    </row>
    <row r="228" spans="1:13" s="17" customFormat="1" x14ac:dyDescent="0.25">
      <c r="A228" s="16" t="str">
        <f>IF(URN&lt;&gt;"",_xll.mdValue("Resident",_xlnm.Database,$F228),"")</f>
        <v/>
      </c>
      <c r="B228" s="16" t="str">
        <f>IF(PersonId&lt;&gt;"",_xll.mdValue("Resident First Name",_xlnm.Database,$A$8),"")</f>
        <v/>
      </c>
      <c r="C228" s="16" t="str">
        <f>IF(PersonId&lt;&gt;"",_xll.mdValue("Resident Last Name",_xlnm.Database,$A$8),"")</f>
        <v/>
      </c>
      <c r="D228" s="16" t="str">
        <f>IF(PersonId&lt;&gt;"",_xll.mdValue("Person Accomodation Code",_xlnm.Database,$A228),"")</f>
        <v/>
      </c>
      <c r="E228" s="28" t="str">
        <f t="shared" si="6"/>
        <v/>
      </c>
      <c r="F228" s="16" t="str">
        <f>IF('Paste Here'!$A222&lt;&gt;"",'Paste Here'!$A222,"")</f>
        <v/>
      </c>
      <c r="G228" s="16" t="str">
        <f>IF('Paste Here'!$B222&lt;&gt;"",'Paste Here'!$B222,"")</f>
        <v/>
      </c>
      <c r="H228" s="16" t="str">
        <f>IF('Paste Here'!$C222&lt;&gt;"",'Paste Here'!$C222,"")</f>
        <v/>
      </c>
      <c r="I228" s="25" t="str">
        <f>IF('Paste Here'!$D222&lt;&gt;"",'Paste Here'!$D222,"")</f>
        <v/>
      </c>
      <c r="J228" s="27" t="str">
        <f>IF('Paste Here'!$E222&lt;&gt;"",'Paste Here'!$E222,"")</f>
        <v/>
      </c>
      <c r="K228" s="16" t="str">
        <f>IF('Paste Here'!$F222&lt;&gt;"",'Paste Here'!$F222,"")</f>
        <v/>
      </c>
      <c r="L228" s="16" t="str">
        <f>IF('Paste Here'!$G222&lt;&gt;"",'Paste Here'!$G222,"")</f>
        <v/>
      </c>
      <c r="M228" s="18" t="str">
        <f t="shared" si="7"/>
        <v/>
      </c>
    </row>
    <row r="229" spans="1:13" s="17" customFormat="1" x14ac:dyDescent="0.25">
      <c r="A229" s="16" t="str">
        <f>IF(URN&lt;&gt;"",_xll.mdValue("Resident",_xlnm.Database,$F229),"")</f>
        <v/>
      </c>
      <c r="B229" s="16" t="str">
        <f>IF(PersonId&lt;&gt;"",_xll.mdValue("Resident First Name",_xlnm.Database,$A$8),"")</f>
        <v/>
      </c>
      <c r="C229" s="16" t="str">
        <f>IF(PersonId&lt;&gt;"",_xll.mdValue("Resident Last Name",_xlnm.Database,$A$8),"")</f>
        <v/>
      </c>
      <c r="D229" s="16" t="str">
        <f>IF(PersonId&lt;&gt;"",_xll.mdValue("Person Accomodation Code",_xlnm.Database,$A229),"")</f>
        <v/>
      </c>
      <c r="E229" s="28" t="str">
        <f t="shared" si="6"/>
        <v/>
      </c>
      <c r="F229" s="16" t="str">
        <f>IF('Paste Here'!$A223&lt;&gt;"",'Paste Here'!$A223,"")</f>
        <v/>
      </c>
      <c r="G229" s="16" t="str">
        <f>IF('Paste Here'!$B223&lt;&gt;"",'Paste Here'!$B223,"")</f>
        <v/>
      </c>
      <c r="H229" s="16" t="str">
        <f>IF('Paste Here'!$C223&lt;&gt;"",'Paste Here'!$C223,"")</f>
        <v/>
      </c>
      <c r="I229" s="25" t="str">
        <f>IF('Paste Here'!$D223&lt;&gt;"",'Paste Here'!$D223,"")</f>
        <v/>
      </c>
      <c r="J229" s="27" t="str">
        <f>IF('Paste Here'!$E223&lt;&gt;"",'Paste Here'!$E223,"")</f>
        <v/>
      </c>
      <c r="K229" s="16" t="str">
        <f>IF('Paste Here'!$F223&lt;&gt;"",'Paste Here'!$F223,"")</f>
        <v/>
      </c>
      <c r="L229" s="16" t="str">
        <f>IF('Paste Here'!$G223&lt;&gt;"",'Paste Here'!$G223,"")</f>
        <v/>
      </c>
      <c r="M229" s="18" t="str">
        <f t="shared" si="7"/>
        <v/>
      </c>
    </row>
    <row r="230" spans="1:13" s="17" customFormat="1" x14ac:dyDescent="0.25">
      <c r="A230" s="16" t="str">
        <f>IF(URN&lt;&gt;"",_xll.mdValue("Resident",_xlnm.Database,$F230),"")</f>
        <v/>
      </c>
      <c r="B230" s="16" t="str">
        <f>IF(PersonId&lt;&gt;"",_xll.mdValue("Resident First Name",_xlnm.Database,$A$8),"")</f>
        <v/>
      </c>
      <c r="C230" s="16" t="str">
        <f>IF(PersonId&lt;&gt;"",_xll.mdValue("Resident Last Name",_xlnm.Database,$A$8),"")</f>
        <v/>
      </c>
      <c r="D230" s="16" t="str">
        <f>IF(PersonId&lt;&gt;"",_xll.mdValue("Person Accomodation Code",_xlnm.Database,$A230),"")</f>
        <v/>
      </c>
      <c r="E230" s="28" t="str">
        <f t="shared" si="6"/>
        <v/>
      </c>
      <c r="F230" s="16" t="str">
        <f>IF('Paste Here'!$A224&lt;&gt;"",'Paste Here'!$A224,"")</f>
        <v/>
      </c>
      <c r="G230" s="16" t="str">
        <f>IF('Paste Here'!$B224&lt;&gt;"",'Paste Here'!$B224,"")</f>
        <v/>
      </c>
      <c r="H230" s="16" t="str">
        <f>IF('Paste Here'!$C224&lt;&gt;"",'Paste Here'!$C224,"")</f>
        <v/>
      </c>
      <c r="I230" s="25" t="str">
        <f>IF('Paste Here'!$D224&lt;&gt;"",'Paste Here'!$D224,"")</f>
        <v/>
      </c>
      <c r="J230" s="27" t="str">
        <f>IF('Paste Here'!$E224&lt;&gt;"",'Paste Here'!$E224,"")</f>
        <v/>
      </c>
      <c r="K230" s="16" t="str">
        <f>IF('Paste Here'!$F224&lt;&gt;"",'Paste Here'!$F224,"")</f>
        <v/>
      </c>
      <c r="L230" s="16" t="str">
        <f>IF('Paste Here'!$G224&lt;&gt;"",'Paste Here'!$G224,"")</f>
        <v/>
      </c>
      <c r="M230" s="18" t="str">
        <f t="shared" si="7"/>
        <v/>
      </c>
    </row>
    <row r="231" spans="1:13" s="17" customFormat="1" x14ac:dyDescent="0.25">
      <c r="A231" s="16" t="str">
        <f>IF(URN&lt;&gt;"",_xll.mdValue("Resident",_xlnm.Database,$F231),"")</f>
        <v/>
      </c>
      <c r="B231" s="16" t="str">
        <f>IF(PersonId&lt;&gt;"",_xll.mdValue("Resident First Name",_xlnm.Database,$A$8),"")</f>
        <v/>
      </c>
      <c r="C231" s="16" t="str">
        <f>IF(PersonId&lt;&gt;"",_xll.mdValue("Resident Last Name",_xlnm.Database,$A$8),"")</f>
        <v/>
      </c>
      <c r="D231" s="16" t="str">
        <f>IF(PersonId&lt;&gt;"",_xll.mdValue("Person Accomodation Code",_xlnm.Database,$A231),"")</f>
        <v/>
      </c>
      <c r="E231" s="28" t="str">
        <f t="shared" si="6"/>
        <v/>
      </c>
      <c r="F231" s="16" t="str">
        <f>IF('Paste Here'!$A225&lt;&gt;"",'Paste Here'!$A225,"")</f>
        <v/>
      </c>
      <c r="G231" s="16" t="str">
        <f>IF('Paste Here'!$B225&lt;&gt;"",'Paste Here'!$B225,"")</f>
        <v/>
      </c>
      <c r="H231" s="16" t="str">
        <f>IF('Paste Here'!$C225&lt;&gt;"",'Paste Here'!$C225,"")</f>
        <v/>
      </c>
      <c r="I231" s="25" t="str">
        <f>IF('Paste Here'!$D225&lt;&gt;"",'Paste Here'!$D225,"")</f>
        <v/>
      </c>
      <c r="J231" s="27" t="str">
        <f>IF('Paste Here'!$E225&lt;&gt;"",'Paste Here'!$E225,"")</f>
        <v/>
      </c>
      <c r="K231" s="16" t="str">
        <f>IF('Paste Here'!$F225&lt;&gt;"",'Paste Here'!$F225,"")</f>
        <v/>
      </c>
      <c r="L231" s="16" t="str">
        <f>IF('Paste Here'!$G225&lt;&gt;"",'Paste Here'!$G225,"")</f>
        <v/>
      </c>
      <c r="M231" s="18" t="str">
        <f t="shared" si="7"/>
        <v/>
      </c>
    </row>
    <row r="232" spans="1:13" s="17" customFormat="1" x14ac:dyDescent="0.25">
      <c r="A232" s="16" t="str">
        <f>IF(URN&lt;&gt;"",_xll.mdValue("Resident",_xlnm.Database,$F232),"")</f>
        <v/>
      </c>
      <c r="B232" s="16" t="str">
        <f>IF(PersonId&lt;&gt;"",_xll.mdValue("Resident First Name",_xlnm.Database,$A$8),"")</f>
        <v/>
      </c>
      <c r="C232" s="16" t="str">
        <f>IF(PersonId&lt;&gt;"",_xll.mdValue("Resident Last Name",_xlnm.Database,$A$8),"")</f>
        <v/>
      </c>
      <c r="D232" s="16" t="str">
        <f>IF(PersonId&lt;&gt;"",_xll.mdValue("Person Accomodation Code",_xlnm.Database,$A232),"")</f>
        <v/>
      </c>
      <c r="E232" s="28" t="str">
        <f t="shared" si="6"/>
        <v/>
      </c>
      <c r="F232" s="16" t="str">
        <f>IF('Paste Here'!$A226&lt;&gt;"",'Paste Here'!$A226,"")</f>
        <v/>
      </c>
      <c r="G232" s="16" t="str">
        <f>IF('Paste Here'!$B226&lt;&gt;"",'Paste Here'!$B226,"")</f>
        <v/>
      </c>
      <c r="H232" s="16" t="str">
        <f>IF('Paste Here'!$C226&lt;&gt;"",'Paste Here'!$C226,"")</f>
        <v/>
      </c>
      <c r="I232" s="25" t="str">
        <f>IF('Paste Here'!$D226&lt;&gt;"",'Paste Here'!$D226,"")</f>
        <v/>
      </c>
      <c r="J232" s="27" t="str">
        <f>IF('Paste Here'!$E226&lt;&gt;"",'Paste Here'!$E226,"")</f>
        <v/>
      </c>
      <c r="K232" s="16" t="str">
        <f>IF('Paste Here'!$F226&lt;&gt;"",'Paste Here'!$F226,"")</f>
        <v/>
      </c>
      <c r="L232" s="16" t="str">
        <f>IF('Paste Here'!$G226&lt;&gt;"",'Paste Here'!$G226,"")</f>
        <v/>
      </c>
      <c r="M232" s="18" t="str">
        <f t="shared" si="7"/>
        <v/>
      </c>
    </row>
    <row r="233" spans="1:13" s="17" customFormat="1" x14ac:dyDescent="0.25">
      <c r="A233" s="16" t="str">
        <f>IF(URN&lt;&gt;"",_xll.mdValue("Resident",_xlnm.Database,$F233),"")</f>
        <v/>
      </c>
      <c r="B233" s="16" t="str">
        <f>IF(PersonId&lt;&gt;"",_xll.mdValue("Resident First Name",_xlnm.Database,$A$8),"")</f>
        <v/>
      </c>
      <c r="C233" s="16" t="str">
        <f>IF(PersonId&lt;&gt;"",_xll.mdValue("Resident Last Name",_xlnm.Database,$A$8),"")</f>
        <v/>
      </c>
      <c r="D233" s="16" t="str">
        <f>IF(PersonId&lt;&gt;"",_xll.mdValue("Person Accomodation Code",_xlnm.Database,$A233),"")</f>
        <v/>
      </c>
      <c r="E233" s="28" t="str">
        <f t="shared" si="6"/>
        <v/>
      </c>
      <c r="F233" s="16" t="str">
        <f>IF('Paste Here'!$A227&lt;&gt;"",'Paste Here'!$A227,"")</f>
        <v/>
      </c>
      <c r="G233" s="16" t="str">
        <f>IF('Paste Here'!$B227&lt;&gt;"",'Paste Here'!$B227,"")</f>
        <v/>
      </c>
      <c r="H233" s="16" t="str">
        <f>IF('Paste Here'!$C227&lt;&gt;"",'Paste Here'!$C227,"")</f>
        <v/>
      </c>
      <c r="I233" s="25" t="str">
        <f>IF('Paste Here'!$D227&lt;&gt;"",'Paste Here'!$D227,"")</f>
        <v/>
      </c>
      <c r="J233" s="27" t="str">
        <f>IF('Paste Here'!$E227&lt;&gt;"",'Paste Here'!$E227,"")</f>
        <v/>
      </c>
      <c r="K233" s="16" t="str">
        <f>IF('Paste Here'!$F227&lt;&gt;"",'Paste Here'!$F227,"")</f>
        <v/>
      </c>
      <c r="L233" s="16" t="str">
        <f>IF('Paste Here'!$G227&lt;&gt;"",'Paste Here'!$G227,"")</f>
        <v/>
      </c>
      <c r="M233" s="18" t="str">
        <f t="shared" si="7"/>
        <v/>
      </c>
    </row>
    <row r="234" spans="1:13" s="17" customFormat="1" x14ac:dyDescent="0.25">
      <c r="A234" s="16" t="str">
        <f>IF(URN&lt;&gt;"",_xll.mdValue("Resident",_xlnm.Database,$F234),"")</f>
        <v/>
      </c>
      <c r="B234" s="16" t="str">
        <f>IF(PersonId&lt;&gt;"",_xll.mdValue("Resident First Name",_xlnm.Database,$A$8),"")</f>
        <v/>
      </c>
      <c r="C234" s="16" t="str">
        <f>IF(PersonId&lt;&gt;"",_xll.mdValue("Resident Last Name",_xlnm.Database,$A$8),"")</f>
        <v/>
      </c>
      <c r="D234" s="16" t="str">
        <f>IF(PersonId&lt;&gt;"",_xll.mdValue("Person Accomodation Code",_xlnm.Database,$A234),"")</f>
        <v/>
      </c>
      <c r="E234" s="28" t="str">
        <f t="shared" si="6"/>
        <v/>
      </c>
      <c r="F234" s="16" t="str">
        <f>IF('Paste Here'!$A228&lt;&gt;"",'Paste Here'!$A228,"")</f>
        <v/>
      </c>
      <c r="G234" s="16" t="str">
        <f>IF('Paste Here'!$B228&lt;&gt;"",'Paste Here'!$B228,"")</f>
        <v/>
      </c>
      <c r="H234" s="16" t="str">
        <f>IF('Paste Here'!$C228&lt;&gt;"",'Paste Here'!$C228,"")</f>
        <v/>
      </c>
      <c r="I234" s="25" t="str">
        <f>IF('Paste Here'!$D228&lt;&gt;"",'Paste Here'!$D228,"")</f>
        <v/>
      </c>
      <c r="J234" s="27" t="str">
        <f>IF('Paste Here'!$E228&lt;&gt;"",'Paste Here'!$E228,"")</f>
        <v/>
      </c>
      <c r="K234" s="16" t="str">
        <f>IF('Paste Here'!$F228&lt;&gt;"",'Paste Here'!$F228,"")</f>
        <v/>
      </c>
      <c r="L234" s="16" t="str">
        <f>IF('Paste Here'!$G228&lt;&gt;"",'Paste Here'!$G228,"")</f>
        <v/>
      </c>
      <c r="M234" s="18" t="str">
        <f t="shared" si="7"/>
        <v/>
      </c>
    </row>
    <row r="235" spans="1:13" s="17" customFormat="1" x14ac:dyDescent="0.25">
      <c r="A235" s="16" t="str">
        <f>IF(URN&lt;&gt;"",_xll.mdValue("Resident",_xlnm.Database,$F235),"")</f>
        <v/>
      </c>
      <c r="B235" s="16" t="str">
        <f>IF(PersonId&lt;&gt;"",_xll.mdValue("Resident First Name",_xlnm.Database,$A$8),"")</f>
        <v/>
      </c>
      <c r="C235" s="16" t="str">
        <f>IF(PersonId&lt;&gt;"",_xll.mdValue("Resident Last Name",_xlnm.Database,$A$8),"")</f>
        <v/>
      </c>
      <c r="D235" s="16" t="str">
        <f>IF(PersonId&lt;&gt;"",_xll.mdValue("Person Accomodation Code",_xlnm.Database,$A235),"")</f>
        <v/>
      </c>
      <c r="E235" s="28" t="str">
        <f t="shared" si="6"/>
        <v/>
      </c>
      <c r="F235" s="16" t="str">
        <f>IF('Paste Here'!$A229&lt;&gt;"",'Paste Here'!$A229,"")</f>
        <v/>
      </c>
      <c r="G235" s="16" t="str">
        <f>IF('Paste Here'!$B229&lt;&gt;"",'Paste Here'!$B229,"")</f>
        <v/>
      </c>
      <c r="H235" s="16" t="str">
        <f>IF('Paste Here'!$C229&lt;&gt;"",'Paste Here'!$C229,"")</f>
        <v/>
      </c>
      <c r="I235" s="25" t="str">
        <f>IF('Paste Here'!$D229&lt;&gt;"",'Paste Here'!$D229,"")</f>
        <v/>
      </c>
      <c r="J235" s="27" t="str">
        <f>IF('Paste Here'!$E229&lt;&gt;"",'Paste Here'!$E229,"")</f>
        <v/>
      </c>
      <c r="K235" s="16" t="str">
        <f>IF('Paste Here'!$F229&lt;&gt;"",'Paste Here'!$F229,"")</f>
        <v/>
      </c>
      <c r="L235" s="16" t="str">
        <f>IF('Paste Here'!$G229&lt;&gt;"",'Paste Here'!$G229,"")</f>
        <v/>
      </c>
      <c r="M235" s="18" t="str">
        <f t="shared" si="7"/>
        <v/>
      </c>
    </row>
    <row r="236" spans="1:13" s="17" customFormat="1" x14ac:dyDescent="0.25">
      <c r="A236" s="16" t="str">
        <f>IF(URN&lt;&gt;"",_xll.mdValue("Resident",_xlnm.Database,$F236),"")</f>
        <v/>
      </c>
      <c r="B236" s="16" t="str">
        <f>IF(PersonId&lt;&gt;"",_xll.mdValue("Resident First Name",_xlnm.Database,$A$8),"")</f>
        <v/>
      </c>
      <c r="C236" s="16" t="str">
        <f>IF(PersonId&lt;&gt;"",_xll.mdValue("Resident Last Name",_xlnm.Database,$A$8),"")</f>
        <v/>
      </c>
      <c r="D236" s="16" t="str">
        <f>IF(PersonId&lt;&gt;"",_xll.mdValue("Person Accomodation Code",_xlnm.Database,$A236),"")</f>
        <v/>
      </c>
      <c r="E236" s="28" t="str">
        <f t="shared" si="6"/>
        <v/>
      </c>
      <c r="F236" s="16" t="str">
        <f>IF('Paste Here'!$A230&lt;&gt;"",'Paste Here'!$A230,"")</f>
        <v/>
      </c>
      <c r="G236" s="16" t="str">
        <f>IF('Paste Here'!$B230&lt;&gt;"",'Paste Here'!$B230,"")</f>
        <v/>
      </c>
      <c r="H236" s="16" t="str">
        <f>IF('Paste Here'!$C230&lt;&gt;"",'Paste Here'!$C230,"")</f>
        <v/>
      </c>
      <c r="I236" s="25" t="str">
        <f>IF('Paste Here'!$D230&lt;&gt;"",'Paste Here'!$D230,"")</f>
        <v/>
      </c>
      <c r="J236" s="27" t="str">
        <f>IF('Paste Here'!$E230&lt;&gt;"",'Paste Here'!$E230,"")</f>
        <v/>
      </c>
      <c r="K236" s="16" t="str">
        <f>IF('Paste Here'!$F230&lt;&gt;"",'Paste Here'!$F230,"")</f>
        <v/>
      </c>
      <c r="L236" s="16" t="str">
        <f>IF('Paste Here'!$G230&lt;&gt;"",'Paste Here'!$G230,"")</f>
        <v/>
      </c>
      <c r="M236" s="18" t="str">
        <f t="shared" si="7"/>
        <v/>
      </c>
    </row>
    <row r="237" spans="1:13" s="17" customFormat="1" x14ac:dyDescent="0.25">
      <c r="A237" s="16" t="str">
        <f>IF(URN&lt;&gt;"",_xll.mdValue("Resident",_xlnm.Database,$F237),"")</f>
        <v/>
      </c>
      <c r="B237" s="16" t="str">
        <f>IF(PersonId&lt;&gt;"",_xll.mdValue("Resident First Name",_xlnm.Database,$A$8),"")</f>
        <v/>
      </c>
      <c r="C237" s="16" t="str">
        <f>IF(PersonId&lt;&gt;"",_xll.mdValue("Resident Last Name",_xlnm.Database,$A$8),"")</f>
        <v/>
      </c>
      <c r="D237" s="16" t="str">
        <f>IF(PersonId&lt;&gt;"",_xll.mdValue("Person Accomodation Code",_xlnm.Database,$A237),"")</f>
        <v/>
      </c>
      <c r="E237" s="28" t="str">
        <f t="shared" si="6"/>
        <v/>
      </c>
      <c r="F237" s="16" t="str">
        <f>IF('Paste Here'!$A231&lt;&gt;"",'Paste Here'!$A231,"")</f>
        <v/>
      </c>
      <c r="G237" s="16" t="str">
        <f>IF('Paste Here'!$B231&lt;&gt;"",'Paste Here'!$B231,"")</f>
        <v/>
      </c>
      <c r="H237" s="16" t="str">
        <f>IF('Paste Here'!$C231&lt;&gt;"",'Paste Here'!$C231,"")</f>
        <v/>
      </c>
      <c r="I237" s="25" t="str">
        <f>IF('Paste Here'!$D231&lt;&gt;"",'Paste Here'!$D231,"")</f>
        <v/>
      </c>
      <c r="J237" s="27" t="str">
        <f>IF('Paste Here'!$E231&lt;&gt;"",'Paste Here'!$E231,"")</f>
        <v/>
      </c>
      <c r="K237" s="16" t="str">
        <f>IF('Paste Here'!$F231&lt;&gt;"",'Paste Here'!$F231,"")</f>
        <v/>
      </c>
      <c r="L237" s="16" t="str">
        <f>IF('Paste Here'!$G231&lt;&gt;"",'Paste Here'!$G231,"")</f>
        <v/>
      </c>
      <c r="M237" s="18" t="str">
        <f t="shared" si="7"/>
        <v/>
      </c>
    </row>
    <row r="238" spans="1:13" s="17" customFormat="1" x14ac:dyDescent="0.25">
      <c r="A238" s="16" t="str">
        <f>IF(URN&lt;&gt;"",_xll.mdValue("Resident",_xlnm.Database,$F238),"")</f>
        <v/>
      </c>
      <c r="B238" s="16" t="str">
        <f>IF(PersonId&lt;&gt;"",_xll.mdValue("Resident First Name",_xlnm.Database,$A$8),"")</f>
        <v/>
      </c>
      <c r="C238" s="16" t="str">
        <f>IF(PersonId&lt;&gt;"",_xll.mdValue("Resident Last Name",_xlnm.Database,$A$8),"")</f>
        <v/>
      </c>
      <c r="D238" s="16" t="str">
        <f>IF(PersonId&lt;&gt;"",_xll.mdValue("Person Accomodation Code",_xlnm.Database,$A238),"")</f>
        <v/>
      </c>
      <c r="E238" s="28" t="str">
        <f t="shared" si="6"/>
        <v/>
      </c>
      <c r="F238" s="16" t="str">
        <f>IF('Paste Here'!$A232&lt;&gt;"",'Paste Here'!$A232,"")</f>
        <v/>
      </c>
      <c r="G238" s="16" t="str">
        <f>IF('Paste Here'!$B232&lt;&gt;"",'Paste Here'!$B232,"")</f>
        <v/>
      </c>
      <c r="H238" s="16" t="str">
        <f>IF('Paste Here'!$C232&lt;&gt;"",'Paste Here'!$C232,"")</f>
        <v/>
      </c>
      <c r="I238" s="25" t="str">
        <f>IF('Paste Here'!$D232&lt;&gt;"",'Paste Here'!$D232,"")</f>
        <v/>
      </c>
      <c r="J238" s="27" t="str">
        <f>IF('Paste Here'!$E232&lt;&gt;"",'Paste Here'!$E232,"")</f>
        <v/>
      </c>
      <c r="K238" s="16" t="str">
        <f>IF('Paste Here'!$F232&lt;&gt;"",'Paste Here'!$F232,"")</f>
        <v/>
      </c>
      <c r="L238" s="16" t="str">
        <f>IF('Paste Here'!$G232&lt;&gt;"",'Paste Here'!$G232,"")</f>
        <v/>
      </c>
      <c r="M238" s="18" t="str">
        <f t="shared" si="7"/>
        <v/>
      </c>
    </row>
    <row r="239" spans="1:13" s="17" customFormat="1" x14ac:dyDescent="0.25">
      <c r="A239" s="16" t="str">
        <f>IF(URN&lt;&gt;"",_xll.mdValue("Resident",_xlnm.Database,$F239),"")</f>
        <v/>
      </c>
      <c r="B239" s="16" t="str">
        <f>IF(PersonId&lt;&gt;"",_xll.mdValue("Resident First Name",_xlnm.Database,$A$8),"")</f>
        <v/>
      </c>
      <c r="C239" s="16" t="str">
        <f>IF(PersonId&lt;&gt;"",_xll.mdValue("Resident Last Name",_xlnm.Database,$A$8),"")</f>
        <v/>
      </c>
      <c r="D239" s="16" t="str">
        <f>IF(PersonId&lt;&gt;"",_xll.mdValue("Person Accomodation Code",_xlnm.Database,$A239),"")</f>
        <v/>
      </c>
      <c r="E239" s="28" t="str">
        <f t="shared" si="6"/>
        <v/>
      </c>
      <c r="F239" s="16" t="str">
        <f>IF('Paste Here'!$A233&lt;&gt;"",'Paste Here'!$A233,"")</f>
        <v/>
      </c>
      <c r="G239" s="16" t="str">
        <f>IF('Paste Here'!$B233&lt;&gt;"",'Paste Here'!$B233,"")</f>
        <v/>
      </c>
      <c r="H239" s="16" t="str">
        <f>IF('Paste Here'!$C233&lt;&gt;"",'Paste Here'!$C233,"")</f>
        <v/>
      </c>
      <c r="I239" s="25" t="str">
        <f>IF('Paste Here'!$D233&lt;&gt;"",'Paste Here'!$D233,"")</f>
        <v/>
      </c>
      <c r="J239" s="27" t="str">
        <f>IF('Paste Here'!$E233&lt;&gt;"",'Paste Here'!$E233,"")</f>
        <v/>
      </c>
      <c r="K239" s="16" t="str">
        <f>IF('Paste Here'!$F233&lt;&gt;"",'Paste Here'!$F233,"")</f>
        <v/>
      </c>
      <c r="L239" s="16" t="str">
        <f>IF('Paste Here'!$G233&lt;&gt;"",'Paste Here'!$G233,"")</f>
        <v/>
      </c>
      <c r="M239" s="18" t="str">
        <f t="shared" si="7"/>
        <v/>
      </c>
    </row>
    <row r="240" spans="1:13" s="17" customFormat="1" x14ac:dyDescent="0.25">
      <c r="A240" s="16" t="str">
        <f>IF(URN&lt;&gt;"",_xll.mdValue("Resident",_xlnm.Database,$F240),"")</f>
        <v/>
      </c>
      <c r="B240" s="16" t="str">
        <f>IF(PersonId&lt;&gt;"",_xll.mdValue("Resident First Name",_xlnm.Database,$A$8),"")</f>
        <v/>
      </c>
      <c r="C240" s="16" t="str">
        <f>IF(PersonId&lt;&gt;"",_xll.mdValue("Resident Last Name",_xlnm.Database,$A$8),"")</f>
        <v/>
      </c>
      <c r="D240" s="16" t="str">
        <f>IF(PersonId&lt;&gt;"",_xll.mdValue("Person Accomodation Code",_xlnm.Database,$A240),"")</f>
        <v/>
      </c>
      <c r="E240" s="28" t="str">
        <f t="shared" si="6"/>
        <v/>
      </c>
      <c r="F240" s="16" t="str">
        <f>IF('Paste Here'!$A234&lt;&gt;"",'Paste Here'!$A234,"")</f>
        <v/>
      </c>
      <c r="G240" s="16" t="str">
        <f>IF('Paste Here'!$B234&lt;&gt;"",'Paste Here'!$B234,"")</f>
        <v/>
      </c>
      <c r="H240" s="16" t="str">
        <f>IF('Paste Here'!$C234&lt;&gt;"",'Paste Here'!$C234,"")</f>
        <v/>
      </c>
      <c r="I240" s="25" t="str">
        <f>IF('Paste Here'!$D234&lt;&gt;"",'Paste Here'!$D234,"")</f>
        <v/>
      </c>
      <c r="J240" s="27" t="str">
        <f>IF('Paste Here'!$E234&lt;&gt;"",'Paste Here'!$E234,"")</f>
        <v/>
      </c>
      <c r="K240" s="16" t="str">
        <f>IF('Paste Here'!$F234&lt;&gt;"",'Paste Here'!$F234,"")</f>
        <v/>
      </c>
      <c r="L240" s="16" t="str">
        <f>IF('Paste Here'!$G234&lt;&gt;"",'Paste Here'!$G234,"")</f>
        <v/>
      </c>
      <c r="M240" s="18" t="str">
        <f t="shared" si="7"/>
        <v/>
      </c>
    </row>
    <row r="241" spans="1:13" s="17" customFormat="1" x14ac:dyDescent="0.25">
      <c r="A241" s="16" t="str">
        <f>IF(URN&lt;&gt;"",_xll.mdValue("Resident",_xlnm.Database,$F241),"")</f>
        <v/>
      </c>
      <c r="B241" s="16" t="str">
        <f>IF(PersonId&lt;&gt;"",_xll.mdValue("Resident First Name",_xlnm.Database,$A$8),"")</f>
        <v/>
      </c>
      <c r="C241" s="16" t="str">
        <f>IF(PersonId&lt;&gt;"",_xll.mdValue("Resident Last Name",_xlnm.Database,$A$8),"")</f>
        <v/>
      </c>
      <c r="D241" s="16" t="str">
        <f>IF(PersonId&lt;&gt;"",_xll.mdValue("Person Accomodation Code",_xlnm.Database,$A241),"")</f>
        <v/>
      </c>
      <c r="E241" s="28" t="str">
        <f t="shared" si="6"/>
        <v/>
      </c>
      <c r="F241" s="16" t="str">
        <f>IF('Paste Here'!$A235&lt;&gt;"",'Paste Here'!$A235,"")</f>
        <v/>
      </c>
      <c r="G241" s="16" t="str">
        <f>IF('Paste Here'!$B235&lt;&gt;"",'Paste Here'!$B235,"")</f>
        <v/>
      </c>
      <c r="H241" s="16" t="str">
        <f>IF('Paste Here'!$C235&lt;&gt;"",'Paste Here'!$C235,"")</f>
        <v/>
      </c>
      <c r="I241" s="25" t="str">
        <f>IF('Paste Here'!$D235&lt;&gt;"",'Paste Here'!$D235,"")</f>
        <v/>
      </c>
      <c r="J241" s="27" t="str">
        <f>IF('Paste Here'!$E235&lt;&gt;"",'Paste Here'!$E235,"")</f>
        <v/>
      </c>
      <c r="K241" s="16" t="str">
        <f>IF('Paste Here'!$F235&lt;&gt;"",'Paste Here'!$F235,"")</f>
        <v/>
      </c>
      <c r="L241" s="16" t="str">
        <f>IF('Paste Here'!$G235&lt;&gt;"",'Paste Here'!$G235,"")</f>
        <v/>
      </c>
      <c r="M241" s="18" t="str">
        <f t="shared" si="7"/>
        <v/>
      </c>
    </row>
    <row r="242" spans="1:13" s="17" customFormat="1" x14ac:dyDescent="0.25">
      <c r="A242" s="16" t="str">
        <f>IF(URN&lt;&gt;"",_xll.mdValue("Resident",_xlnm.Database,$F242),"")</f>
        <v/>
      </c>
      <c r="B242" s="16" t="str">
        <f>IF(PersonId&lt;&gt;"",_xll.mdValue("Resident First Name",_xlnm.Database,$A$8),"")</f>
        <v/>
      </c>
      <c r="C242" s="16" t="str">
        <f>IF(PersonId&lt;&gt;"",_xll.mdValue("Resident Last Name",_xlnm.Database,$A$8),"")</f>
        <v/>
      </c>
      <c r="D242" s="16" t="str">
        <f>IF(PersonId&lt;&gt;"",_xll.mdValue("Person Accomodation Code",_xlnm.Database,$A242),"")</f>
        <v/>
      </c>
      <c r="E242" s="28" t="str">
        <f t="shared" si="6"/>
        <v/>
      </c>
      <c r="F242" s="16" t="str">
        <f>IF('Paste Here'!$A236&lt;&gt;"",'Paste Here'!$A236,"")</f>
        <v/>
      </c>
      <c r="G242" s="16" t="str">
        <f>IF('Paste Here'!$B236&lt;&gt;"",'Paste Here'!$B236,"")</f>
        <v/>
      </c>
      <c r="H242" s="16" t="str">
        <f>IF('Paste Here'!$C236&lt;&gt;"",'Paste Here'!$C236,"")</f>
        <v/>
      </c>
      <c r="I242" s="25" t="str">
        <f>IF('Paste Here'!$D236&lt;&gt;"",'Paste Here'!$D236,"")</f>
        <v/>
      </c>
      <c r="J242" s="27" t="str">
        <f>IF('Paste Here'!$E236&lt;&gt;"",'Paste Here'!$E236,"")</f>
        <v/>
      </c>
      <c r="K242" s="16" t="str">
        <f>IF('Paste Here'!$F236&lt;&gt;"",'Paste Here'!$F236,"")</f>
        <v/>
      </c>
      <c r="L242" s="16" t="str">
        <f>IF('Paste Here'!$G236&lt;&gt;"",'Paste Here'!$G236,"")</f>
        <v/>
      </c>
      <c r="M242" s="18" t="str">
        <f t="shared" si="7"/>
        <v/>
      </c>
    </row>
    <row r="243" spans="1:13" s="17" customFormat="1" x14ac:dyDescent="0.25">
      <c r="A243" s="16" t="str">
        <f>IF(URN&lt;&gt;"",_xll.mdValue("Resident",_xlnm.Database,$F243),"")</f>
        <v/>
      </c>
      <c r="B243" s="16" t="str">
        <f>IF(PersonId&lt;&gt;"",_xll.mdValue("Resident First Name",_xlnm.Database,$A$8),"")</f>
        <v/>
      </c>
      <c r="C243" s="16" t="str">
        <f>IF(PersonId&lt;&gt;"",_xll.mdValue("Resident Last Name",_xlnm.Database,$A$8),"")</f>
        <v/>
      </c>
      <c r="D243" s="16" t="str">
        <f>IF(PersonId&lt;&gt;"",_xll.mdValue("Person Accomodation Code",_xlnm.Database,$A243),"")</f>
        <v/>
      </c>
      <c r="E243" s="28" t="str">
        <f t="shared" si="6"/>
        <v/>
      </c>
      <c r="F243" s="16" t="str">
        <f>IF('Paste Here'!$A237&lt;&gt;"",'Paste Here'!$A237,"")</f>
        <v/>
      </c>
      <c r="G243" s="16" t="str">
        <f>IF('Paste Here'!$B237&lt;&gt;"",'Paste Here'!$B237,"")</f>
        <v/>
      </c>
      <c r="H243" s="16" t="str">
        <f>IF('Paste Here'!$C237&lt;&gt;"",'Paste Here'!$C237,"")</f>
        <v/>
      </c>
      <c r="I243" s="25" t="str">
        <f>IF('Paste Here'!$D237&lt;&gt;"",'Paste Here'!$D237,"")</f>
        <v/>
      </c>
      <c r="J243" s="27" t="str">
        <f>IF('Paste Here'!$E237&lt;&gt;"",'Paste Here'!$E237,"")</f>
        <v/>
      </c>
      <c r="K243" s="16" t="str">
        <f>IF('Paste Here'!$F237&lt;&gt;"",'Paste Here'!$F237,"")</f>
        <v/>
      </c>
      <c r="L243" s="16" t="str">
        <f>IF('Paste Here'!$G237&lt;&gt;"",'Paste Here'!$G237,"")</f>
        <v/>
      </c>
      <c r="M243" s="18" t="str">
        <f t="shared" si="7"/>
        <v/>
      </c>
    </row>
    <row r="244" spans="1:13" s="17" customFormat="1" x14ac:dyDescent="0.25">
      <c r="A244" s="16" t="str">
        <f>IF(URN&lt;&gt;"",_xll.mdValue("Resident",_xlnm.Database,$F244),"")</f>
        <v/>
      </c>
      <c r="B244" s="16" t="str">
        <f>IF(PersonId&lt;&gt;"",_xll.mdValue("Resident First Name",_xlnm.Database,$A$8),"")</f>
        <v/>
      </c>
      <c r="C244" s="16" t="str">
        <f>IF(PersonId&lt;&gt;"",_xll.mdValue("Resident Last Name",_xlnm.Database,$A$8),"")</f>
        <v/>
      </c>
      <c r="D244" s="16" t="str">
        <f>IF(PersonId&lt;&gt;"",_xll.mdValue("Person Accomodation Code",_xlnm.Database,$A244),"")</f>
        <v/>
      </c>
      <c r="E244" s="28" t="str">
        <f t="shared" si="6"/>
        <v/>
      </c>
      <c r="F244" s="16" t="str">
        <f>IF('Paste Here'!$A238&lt;&gt;"",'Paste Here'!$A238,"")</f>
        <v/>
      </c>
      <c r="G244" s="16" t="str">
        <f>IF('Paste Here'!$B238&lt;&gt;"",'Paste Here'!$B238,"")</f>
        <v/>
      </c>
      <c r="H244" s="16" t="str">
        <f>IF('Paste Here'!$C238&lt;&gt;"",'Paste Here'!$C238,"")</f>
        <v/>
      </c>
      <c r="I244" s="25" t="str">
        <f>IF('Paste Here'!$D238&lt;&gt;"",'Paste Here'!$D238,"")</f>
        <v/>
      </c>
      <c r="J244" s="27" t="str">
        <f>IF('Paste Here'!$E238&lt;&gt;"",'Paste Here'!$E238,"")</f>
        <v/>
      </c>
      <c r="K244" s="16" t="str">
        <f>IF('Paste Here'!$F238&lt;&gt;"",'Paste Here'!$F238,"")</f>
        <v/>
      </c>
      <c r="L244" s="16" t="str">
        <f>IF('Paste Here'!$G238&lt;&gt;"",'Paste Here'!$G238,"")</f>
        <v/>
      </c>
      <c r="M244" s="18" t="str">
        <f t="shared" si="7"/>
        <v/>
      </c>
    </row>
    <row r="245" spans="1:13" s="17" customFormat="1" x14ac:dyDescent="0.25">
      <c r="A245" s="16" t="str">
        <f>IF(URN&lt;&gt;"",_xll.mdValue("Resident",_xlnm.Database,$F245),"")</f>
        <v/>
      </c>
      <c r="B245" s="16" t="str">
        <f>IF(PersonId&lt;&gt;"",_xll.mdValue("Resident First Name",_xlnm.Database,$A$8),"")</f>
        <v/>
      </c>
      <c r="C245" s="16" t="str">
        <f>IF(PersonId&lt;&gt;"",_xll.mdValue("Resident Last Name",_xlnm.Database,$A$8),"")</f>
        <v/>
      </c>
      <c r="D245" s="16" t="str">
        <f>IF(PersonId&lt;&gt;"",_xll.mdValue("Person Accomodation Code",_xlnm.Database,$A245),"")</f>
        <v/>
      </c>
      <c r="E245" s="28" t="str">
        <f t="shared" si="6"/>
        <v/>
      </c>
      <c r="F245" s="16" t="str">
        <f>IF('Paste Here'!$A239&lt;&gt;"",'Paste Here'!$A239,"")</f>
        <v/>
      </c>
      <c r="G245" s="16" t="str">
        <f>IF('Paste Here'!$B239&lt;&gt;"",'Paste Here'!$B239,"")</f>
        <v/>
      </c>
      <c r="H245" s="16" t="str">
        <f>IF('Paste Here'!$C239&lt;&gt;"",'Paste Here'!$C239,"")</f>
        <v/>
      </c>
      <c r="I245" s="25" t="str">
        <f>IF('Paste Here'!$D239&lt;&gt;"",'Paste Here'!$D239,"")</f>
        <v/>
      </c>
      <c r="J245" s="27" t="str">
        <f>IF('Paste Here'!$E239&lt;&gt;"",'Paste Here'!$E239,"")</f>
        <v/>
      </c>
      <c r="K245" s="16" t="str">
        <f>IF('Paste Here'!$F239&lt;&gt;"",'Paste Here'!$F239,"")</f>
        <v/>
      </c>
      <c r="L245" s="16" t="str">
        <f>IF('Paste Here'!$G239&lt;&gt;"",'Paste Here'!$G239,"")</f>
        <v/>
      </c>
      <c r="M245" s="18" t="str">
        <f t="shared" si="7"/>
        <v/>
      </c>
    </row>
    <row r="246" spans="1:13" s="17" customFormat="1" x14ac:dyDescent="0.25">
      <c r="A246" s="16" t="str">
        <f>IF(URN&lt;&gt;"",_xll.mdValue("Resident",_xlnm.Database,$F246),"")</f>
        <v/>
      </c>
      <c r="B246" s="16" t="str">
        <f>IF(PersonId&lt;&gt;"",_xll.mdValue("Resident First Name",_xlnm.Database,$A$8),"")</f>
        <v/>
      </c>
      <c r="C246" s="16" t="str">
        <f>IF(PersonId&lt;&gt;"",_xll.mdValue("Resident Last Name",_xlnm.Database,$A$8),"")</f>
        <v/>
      </c>
      <c r="D246" s="16" t="str">
        <f>IF(PersonId&lt;&gt;"",_xll.mdValue("Person Accomodation Code",_xlnm.Database,$A246),"")</f>
        <v/>
      </c>
      <c r="E246" s="28" t="str">
        <f t="shared" si="6"/>
        <v/>
      </c>
      <c r="F246" s="16" t="str">
        <f>IF('Paste Here'!$A240&lt;&gt;"",'Paste Here'!$A240,"")</f>
        <v/>
      </c>
      <c r="G246" s="16" t="str">
        <f>IF('Paste Here'!$B240&lt;&gt;"",'Paste Here'!$B240,"")</f>
        <v/>
      </c>
      <c r="H246" s="16" t="str">
        <f>IF('Paste Here'!$C240&lt;&gt;"",'Paste Here'!$C240,"")</f>
        <v/>
      </c>
      <c r="I246" s="25" t="str">
        <f>IF('Paste Here'!$D240&lt;&gt;"",'Paste Here'!$D240,"")</f>
        <v/>
      </c>
      <c r="J246" s="27" t="str">
        <f>IF('Paste Here'!$E240&lt;&gt;"",'Paste Here'!$E240,"")</f>
        <v/>
      </c>
      <c r="K246" s="16" t="str">
        <f>IF('Paste Here'!$F240&lt;&gt;"",'Paste Here'!$F240,"")</f>
        <v/>
      </c>
      <c r="L246" s="16" t="str">
        <f>IF('Paste Here'!$G240&lt;&gt;"",'Paste Here'!$G240,"")</f>
        <v/>
      </c>
      <c r="M246" s="18" t="str">
        <f t="shared" si="7"/>
        <v/>
      </c>
    </row>
    <row r="247" spans="1:13" s="17" customFormat="1" x14ac:dyDescent="0.25">
      <c r="A247" s="16" t="str">
        <f>IF(URN&lt;&gt;"",_xll.mdValue("Resident",_xlnm.Database,$F247),"")</f>
        <v/>
      </c>
      <c r="B247" s="16" t="str">
        <f>IF(PersonId&lt;&gt;"",_xll.mdValue("Resident First Name",_xlnm.Database,$A$8),"")</f>
        <v/>
      </c>
      <c r="C247" s="16" t="str">
        <f>IF(PersonId&lt;&gt;"",_xll.mdValue("Resident Last Name",_xlnm.Database,$A$8),"")</f>
        <v/>
      </c>
      <c r="D247" s="16" t="str">
        <f>IF(PersonId&lt;&gt;"",_xll.mdValue("Person Accomodation Code",_xlnm.Database,$A247),"")</f>
        <v/>
      </c>
      <c r="E247" s="28" t="str">
        <f t="shared" si="6"/>
        <v/>
      </c>
      <c r="F247" s="16" t="str">
        <f>IF('Paste Here'!$A241&lt;&gt;"",'Paste Here'!$A241,"")</f>
        <v/>
      </c>
      <c r="G247" s="16" t="str">
        <f>IF('Paste Here'!$B241&lt;&gt;"",'Paste Here'!$B241,"")</f>
        <v/>
      </c>
      <c r="H247" s="16" t="str">
        <f>IF('Paste Here'!$C241&lt;&gt;"",'Paste Here'!$C241,"")</f>
        <v/>
      </c>
      <c r="I247" s="25" t="str">
        <f>IF('Paste Here'!$D241&lt;&gt;"",'Paste Here'!$D241,"")</f>
        <v/>
      </c>
      <c r="J247" s="27" t="str">
        <f>IF('Paste Here'!$E241&lt;&gt;"",'Paste Here'!$E241,"")</f>
        <v/>
      </c>
      <c r="K247" s="16" t="str">
        <f>IF('Paste Here'!$F241&lt;&gt;"",'Paste Here'!$F241,"")</f>
        <v/>
      </c>
      <c r="L247" s="16" t="str">
        <f>IF('Paste Here'!$G241&lt;&gt;"",'Paste Here'!$G241,"")</f>
        <v/>
      </c>
      <c r="M247" s="18" t="str">
        <f t="shared" si="7"/>
        <v/>
      </c>
    </row>
    <row r="248" spans="1:13" s="17" customFormat="1" x14ac:dyDescent="0.25">
      <c r="A248" s="16" t="str">
        <f>IF(URN&lt;&gt;"",_xll.mdValue("Resident",_xlnm.Database,$F248),"")</f>
        <v/>
      </c>
      <c r="B248" s="16" t="str">
        <f>IF(PersonId&lt;&gt;"",_xll.mdValue("Resident First Name",_xlnm.Database,$A$8),"")</f>
        <v/>
      </c>
      <c r="C248" s="16" t="str">
        <f>IF(PersonId&lt;&gt;"",_xll.mdValue("Resident Last Name",_xlnm.Database,$A$8),"")</f>
        <v/>
      </c>
      <c r="D248" s="16" t="str">
        <f>IF(PersonId&lt;&gt;"",_xll.mdValue("Person Accomodation Code",_xlnm.Database,$A248),"")</f>
        <v/>
      </c>
      <c r="E248" s="28" t="str">
        <f t="shared" si="6"/>
        <v/>
      </c>
      <c r="F248" s="16" t="str">
        <f>IF('Paste Here'!$A242&lt;&gt;"",'Paste Here'!$A242,"")</f>
        <v/>
      </c>
      <c r="G248" s="16" t="str">
        <f>IF('Paste Here'!$B242&lt;&gt;"",'Paste Here'!$B242,"")</f>
        <v/>
      </c>
      <c r="H248" s="16" t="str">
        <f>IF('Paste Here'!$C242&lt;&gt;"",'Paste Here'!$C242,"")</f>
        <v/>
      </c>
      <c r="I248" s="25" t="str">
        <f>IF('Paste Here'!$D242&lt;&gt;"",'Paste Here'!$D242,"")</f>
        <v/>
      </c>
      <c r="J248" s="27" t="str">
        <f>IF('Paste Here'!$E242&lt;&gt;"",'Paste Here'!$E242,"")</f>
        <v/>
      </c>
      <c r="K248" s="16" t="str">
        <f>IF('Paste Here'!$F242&lt;&gt;"",'Paste Here'!$F242,"")</f>
        <v/>
      </c>
      <c r="L248" s="16" t="str">
        <f>IF('Paste Here'!$G242&lt;&gt;"",'Paste Here'!$G242,"")</f>
        <v/>
      </c>
      <c r="M248" s="18" t="str">
        <f t="shared" si="7"/>
        <v/>
      </c>
    </row>
    <row r="249" spans="1:13" s="17" customFormat="1" x14ac:dyDescent="0.25">
      <c r="A249" s="16" t="str">
        <f>IF(URN&lt;&gt;"",_xll.mdValue("Resident",_xlnm.Database,$F249),"")</f>
        <v/>
      </c>
      <c r="B249" s="16" t="str">
        <f>IF(PersonId&lt;&gt;"",_xll.mdValue("Resident First Name",_xlnm.Database,$A$8),"")</f>
        <v/>
      </c>
      <c r="C249" s="16" t="str">
        <f>IF(PersonId&lt;&gt;"",_xll.mdValue("Resident Last Name",_xlnm.Database,$A$8),"")</f>
        <v/>
      </c>
      <c r="D249" s="16" t="str">
        <f>IF(PersonId&lt;&gt;"",_xll.mdValue("Person Accomodation Code",_xlnm.Database,$A249),"")</f>
        <v/>
      </c>
      <c r="E249" s="28" t="str">
        <f t="shared" si="6"/>
        <v/>
      </c>
      <c r="F249" s="16" t="str">
        <f>IF('Paste Here'!$A243&lt;&gt;"",'Paste Here'!$A243,"")</f>
        <v/>
      </c>
      <c r="G249" s="16" t="str">
        <f>IF('Paste Here'!$B243&lt;&gt;"",'Paste Here'!$B243,"")</f>
        <v/>
      </c>
      <c r="H249" s="16" t="str">
        <f>IF('Paste Here'!$C243&lt;&gt;"",'Paste Here'!$C243,"")</f>
        <v/>
      </c>
      <c r="I249" s="25" t="str">
        <f>IF('Paste Here'!$D243&lt;&gt;"",'Paste Here'!$D243,"")</f>
        <v/>
      </c>
      <c r="J249" s="27" t="str">
        <f>IF('Paste Here'!$E243&lt;&gt;"",'Paste Here'!$E243,"")</f>
        <v/>
      </c>
      <c r="K249" s="16" t="str">
        <f>IF('Paste Here'!$F243&lt;&gt;"",'Paste Here'!$F243,"")</f>
        <v/>
      </c>
      <c r="L249" s="16" t="str">
        <f>IF('Paste Here'!$G243&lt;&gt;"",'Paste Here'!$G243,"")</f>
        <v/>
      </c>
      <c r="M249" s="18" t="str">
        <f t="shared" si="7"/>
        <v/>
      </c>
    </row>
    <row r="250" spans="1:13" s="17" customFormat="1" x14ac:dyDescent="0.25">
      <c r="A250" s="16" t="str">
        <f>IF(URN&lt;&gt;"",_xll.mdValue("Resident",_xlnm.Database,$F250),"")</f>
        <v/>
      </c>
      <c r="B250" s="16" t="str">
        <f>IF(PersonId&lt;&gt;"",_xll.mdValue("Resident First Name",_xlnm.Database,$A$8),"")</f>
        <v/>
      </c>
      <c r="C250" s="16" t="str">
        <f>IF(PersonId&lt;&gt;"",_xll.mdValue("Resident Last Name",_xlnm.Database,$A$8),"")</f>
        <v/>
      </c>
      <c r="D250" s="16" t="str">
        <f>IF(PersonId&lt;&gt;"",_xll.mdValue("Person Accomodation Code",_xlnm.Database,$A250),"")</f>
        <v/>
      </c>
      <c r="E250" s="28" t="str">
        <f t="shared" si="6"/>
        <v/>
      </c>
      <c r="F250" s="16" t="str">
        <f>IF('Paste Here'!$A244&lt;&gt;"",'Paste Here'!$A244,"")</f>
        <v/>
      </c>
      <c r="G250" s="16" t="str">
        <f>IF('Paste Here'!$B244&lt;&gt;"",'Paste Here'!$B244,"")</f>
        <v/>
      </c>
      <c r="H250" s="16" t="str">
        <f>IF('Paste Here'!$C244&lt;&gt;"",'Paste Here'!$C244,"")</f>
        <v/>
      </c>
      <c r="I250" s="25" t="str">
        <f>IF('Paste Here'!$D244&lt;&gt;"",'Paste Here'!$D244,"")</f>
        <v/>
      </c>
      <c r="J250" s="27" t="str">
        <f>IF('Paste Here'!$E244&lt;&gt;"",'Paste Here'!$E244,"")</f>
        <v/>
      </c>
      <c r="K250" s="16" t="str">
        <f>IF('Paste Here'!$F244&lt;&gt;"",'Paste Here'!$F244,"")</f>
        <v/>
      </c>
      <c r="L250" s="16" t="str">
        <f>IF('Paste Here'!$G244&lt;&gt;"",'Paste Here'!$G244,"")</f>
        <v/>
      </c>
      <c r="M250" s="18" t="str">
        <f t="shared" si="7"/>
        <v/>
      </c>
    </row>
    <row r="251" spans="1:13" s="17" customFormat="1" x14ac:dyDescent="0.25">
      <c r="A251" s="16" t="str">
        <f>IF(URN&lt;&gt;"",_xll.mdValue("Resident",_xlnm.Database,$F251),"")</f>
        <v/>
      </c>
      <c r="B251" s="16" t="str">
        <f>IF(PersonId&lt;&gt;"",_xll.mdValue("Resident First Name",_xlnm.Database,$A$8),"")</f>
        <v/>
      </c>
      <c r="C251" s="16" t="str">
        <f>IF(PersonId&lt;&gt;"",_xll.mdValue("Resident Last Name",_xlnm.Database,$A$8),"")</f>
        <v/>
      </c>
      <c r="D251" s="16" t="str">
        <f>IF(PersonId&lt;&gt;"",_xll.mdValue("Person Accomodation Code",_xlnm.Database,$A251),"")</f>
        <v/>
      </c>
      <c r="E251" s="28" t="str">
        <f t="shared" si="6"/>
        <v/>
      </c>
      <c r="F251" s="16" t="str">
        <f>IF('Paste Here'!$A245&lt;&gt;"",'Paste Here'!$A245,"")</f>
        <v/>
      </c>
      <c r="G251" s="16" t="str">
        <f>IF('Paste Here'!$B245&lt;&gt;"",'Paste Here'!$B245,"")</f>
        <v/>
      </c>
      <c r="H251" s="16" t="str">
        <f>IF('Paste Here'!$C245&lt;&gt;"",'Paste Here'!$C245,"")</f>
        <v/>
      </c>
      <c r="I251" s="25" t="str">
        <f>IF('Paste Here'!$D245&lt;&gt;"",'Paste Here'!$D245,"")</f>
        <v/>
      </c>
      <c r="J251" s="27" t="str">
        <f>IF('Paste Here'!$E245&lt;&gt;"",'Paste Here'!$E245,"")</f>
        <v/>
      </c>
      <c r="K251" s="16" t="str">
        <f>IF('Paste Here'!$F245&lt;&gt;"",'Paste Here'!$F245,"")</f>
        <v/>
      </c>
      <c r="L251" s="16" t="str">
        <f>IF('Paste Here'!$G245&lt;&gt;"",'Paste Here'!$G245,"")</f>
        <v/>
      </c>
      <c r="M251" s="18" t="str">
        <f t="shared" si="7"/>
        <v/>
      </c>
    </row>
    <row r="252" spans="1:13" s="17" customFormat="1" x14ac:dyDescent="0.25">
      <c r="A252" s="16" t="str">
        <f>IF(URN&lt;&gt;"",_xll.mdValue("Resident",_xlnm.Database,$F252),"")</f>
        <v/>
      </c>
      <c r="B252" s="16" t="str">
        <f>IF(PersonId&lt;&gt;"",_xll.mdValue("Resident First Name",_xlnm.Database,$A$8),"")</f>
        <v/>
      </c>
      <c r="C252" s="16" t="str">
        <f>IF(PersonId&lt;&gt;"",_xll.mdValue("Resident Last Name",_xlnm.Database,$A$8),"")</f>
        <v/>
      </c>
      <c r="D252" s="16" t="str">
        <f>IF(PersonId&lt;&gt;"",_xll.mdValue("Person Accomodation Code",_xlnm.Database,$A252),"")</f>
        <v/>
      </c>
      <c r="E252" s="28" t="str">
        <f t="shared" si="6"/>
        <v/>
      </c>
      <c r="F252" s="16" t="str">
        <f>IF('Paste Here'!$A246&lt;&gt;"",'Paste Here'!$A246,"")</f>
        <v/>
      </c>
      <c r="G252" s="16" t="str">
        <f>IF('Paste Here'!$B246&lt;&gt;"",'Paste Here'!$B246,"")</f>
        <v/>
      </c>
      <c r="H252" s="16" t="str">
        <f>IF('Paste Here'!$C246&lt;&gt;"",'Paste Here'!$C246,"")</f>
        <v/>
      </c>
      <c r="I252" s="25" t="str">
        <f>IF('Paste Here'!$D246&lt;&gt;"",'Paste Here'!$D246,"")</f>
        <v/>
      </c>
      <c r="J252" s="27" t="str">
        <f>IF('Paste Here'!$E246&lt;&gt;"",'Paste Here'!$E246,"")</f>
        <v/>
      </c>
      <c r="K252" s="16" t="str">
        <f>IF('Paste Here'!$F246&lt;&gt;"",'Paste Here'!$F246,"")</f>
        <v/>
      </c>
      <c r="L252" s="16" t="str">
        <f>IF('Paste Here'!$G246&lt;&gt;"",'Paste Here'!$G246,"")</f>
        <v/>
      </c>
      <c r="M252" s="18" t="str">
        <f t="shared" si="7"/>
        <v/>
      </c>
    </row>
    <row r="253" spans="1:13" s="17" customFormat="1" x14ac:dyDescent="0.25">
      <c r="A253" s="16" t="str">
        <f>IF(URN&lt;&gt;"",_xll.mdValue("Resident",_xlnm.Database,$F253),"")</f>
        <v/>
      </c>
      <c r="B253" s="16" t="str">
        <f>IF(PersonId&lt;&gt;"",_xll.mdValue("Resident First Name",_xlnm.Database,$A$8),"")</f>
        <v/>
      </c>
      <c r="C253" s="16" t="str">
        <f>IF(PersonId&lt;&gt;"",_xll.mdValue("Resident Last Name",_xlnm.Database,$A$8),"")</f>
        <v/>
      </c>
      <c r="D253" s="16" t="str">
        <f>IF(PersonId&lt;&gt;"",_xll.mdValue("Person Accomodation Code",_xlnm.Database,$A253),"")</f>
        <v/>
      </c>
      <c r="E253" s="28" t="str">
        <f t="shared" si="6"/>
        <v/>
      </c>
      <c r="F253" s="16" t="str">
        <f>IF('Paste Here'!$A247&lt;&gt;"",'Paste Here'!$A247,"")</f>
        <v/>
      </c>
      <c r="G253" s="16" t="str">
        <f>IF('Paste Here'!$B247&lt;&gt;"",'Paste Here'!$B247,"")</f>
        <v/>
      </c>
      <c r="H253" s="16" t="str">
        <f>IF('Paste Here'!$C247&lt;&gt;"",'Paste Here'!$C247,"")</f>
        <v/>
      </c>
      <c r="I253" s="25" t="str">
        <f>IF('Paste Here'!$D247&lt;&gt;"",'Paste Here'!$D247,"")</f>
        <v/>
      </c>
      <c r="J253" s="27" t="str">
        <f>IF('Paste Here'!$E247&lt;&gt;"",'Paste Here'!$E247,"")</f>
        <v/>
      </c>
      <c r="K253" s="16" t="str">
        <f>IF('Paste Here'!$F247&lt;&gt;"",'Paste Here'!$F247,"")</f>
        <v/>
      </c>
      <c r="L253" s="16" t="str">
        <f>IF('Paste Here'!$G247&lt;&gt;"",'Paste Here'!$G247,"")</f>
        <v/>
      </c>
      <c r="M253" s="18" t="str">
        <f t="shared" si="7"/>
        <v/>
      </c>
    </row>
    <row r="254" spans="1:13" s="17" customFormat="1" x14ac:dyDescent="0.25">
      <c r="A254" s="16" t="str">
        <f>IF(URN&lt;&gt;"",_xll.mdValue("Resident",_xlnm.Database,$F254),"")</f>
        <v/>
      </c>
      <c r="B254" s="16" t="str">
        <f>IF(PersonId&lt;&gt;"",_xll.mdValue("Resident First Name",_xlnm.Database,$A$8),"")</f>
        <v/>
      </c>
      <c r="C254" s="16" t="str">
        <f>IF(PersonId&lt;&gt;"",_xll.mdValue("Resident Last Name",_xlnm.Database,$A$8),"")</f>
        <v/>
      </c>
      <c r="D254" s="16" t="str">
        <f>IF(PersonId&lt;&gt;"",_xll.mdValue("Person Accomodation Code",_xlnm.Database,$A254),"")</f>
        <v/>
      </c>
      <c r="E254" s="28" t="str">
        <f t="shared" si="6"/>
        <v/>
      </c>
      <c r="F254" s="16" t="str">
        <f>IF('Paste Here'!$A248&lt;&gt;"",'Paste Here'!$A248,"")</f>
        <v/>
      </c>
      <c r="G254" s="16" t="str">
        <f>IF('Paste Here'!$B248&lt;&gt;"",'Paste Here'!$B248,"")</f>
        <v/>
      </c>
      <c r="H254" s="16" t="str">
        <f>IF('Paste Here'!$C248&lt;&gt;"",'Paste Here'!$C248,"")</f>
        <v/>
      </c>
      <c r="I254" s="25" t="str">
        <f>IF('Paste Here'!$D248&lt;&gt;"",'Paste Here'!$D248,"")</f>
        <v/>
      </c>
      <c r="J254" s="27" t="str">
        <f>IF('Paste Here'!$E248&lt;&gt;"",'Paste Here'!$E248,"")</f>
        <v/>
      </c>
      <c r="K254" s="16" t="str">
        <f>IF('Paste Here'!$F248&lt;&gt;"",'Paste Here'!$F248,"")</f>
        <v/>
      </c>
      <c r="L254" s="16" t="str">
        <f>IF('Paste Here'!$G248&lt;&gt;"",'Paste Here'!$G248,"")</f>
        <v/>
      </c>
      <c r="M254" s="18" t="str">
        <f t="shared" si="7"/>
        <v/>
      </c>
    </row>
    <row r="255" spans="1:13" s="17" customFormat="1" x14ac:dyDescent="0.25">
      <c r="A255" s="16" t="str">
        <f>IF(URN&lt;&gt;"",_xll.mdValue("Resident",_xlnm.Database,$F255),"")</f>
        <v/>
      </c>
      <c r="B255" s="16" t="str">
        <f>IF(PersonId&lt;&gt;"",_xll.mdValue("Resident First Name",_xlnm.Database,$A$8),"")</f>
        <v/>
      </c>
      <c r="C255" s="16" t="str">
        <f>IF(PersonId&lt;&gt;"",_xll.mdValue("Resident Last Name",_xlnm.Database,$A$8),"")</f>
        <v/>
      </c>
      <c r="D255" s="16" t="str">
        <f>IF(PersonId&lt;&gt;"",_xll.mdValue("Person Accomodation Code",_xlnm.Database,$A255),"")</f>
        <v/>
      </c>
      <c r="E255" s="28" t="str">
        <f t="shared" si="6"/>
        <v/>
      </c>
      <c r="F255" s="16" t="str">
        <f>IF('Paste Here'!$A249&lt;&gt;"",'Paste Here'!$A249,"")</f>
        <v/>
      </c>
      <c r="G255" s="16" t="str">
        <f>IF('Paste Here'!$B249&lt;&gt;"",'Paste Here'!$B249,"")</f>
        <v/>
      </c>
      <c r="H255" s="16" t="str">
        <f>IF('Paste Here'!$C249&lt;&gt;"",'Paste Here'!$C249,"")</f>
        <v/>
      </c>
      <c r="I255" s="25" t="str">
        <f>IF('Paste Here'!$D249&lt;&gt;"",'Paste Here'!$D249,"")</f>
        <v/>
      </c>
      <c r="J255" s="27" t="str">
        <f>IF('Paste Here'!$E249&lt;&gt;"",'Paste Here'!$E249,"")</f>
        <v/>
      </c>
      <c r="K255" s="16" t="str">
        <f>IF('Paste Here'!$F249&lt;&gt;"",'Paste Here'!$F249,"")</f>
        <v/>
      </c>
      <c r="L255" s="16" t="str">
        <f>IF('Paste Here'!$G249&lt;&gt;"",'Paste Here'!$G249,"")</f>
        <v/>
      </c>
      <c r="M255" s="18" t="str">
        <f t="shared" si="7"/>
        <v/>
      </c>
    </row>
    <row r="256" spans="1:13" s="17" customFormat="1" x14ac:dyDescent="0.25">
      <c r="A256" s="16" t="str">
        <f>IF(URN&lt;&gt;"",_xll.mdValue("Resident",_xlnm.Database,$F256),"")</f>
        <v/>
      </c>
      <c r="B256" s="16" t="str">
        <f>IF(PersonId&lt;&gt;"",_xll.mdValue("Resident First Name",_xlnm.Database,$A$8),"")</f>
        <v/>
      </c>
      <c r="C256" s="16" t="str">
        <f>IF(PersonId&lt;&gt;"",_xll.mdValue("Resident Last Name",_xlnm.Database,$A$8),"")</f>
        <v/>
      </c>
      <c r="D256" s="16" t="str">
        <f>IF(PersonId&lt;&gt;"",_xll.mdValue("Person Accomodation Code",_xlnm.Database,$A256),"")</f>
        <v/>
      </c>
      <c r="E256" s="28" t="str">
        <f t="shared" si="6"/>
        <v/>
      </c>
      <c r="F256" s="16" t="str">
        <f>IF('Paste Here'!$A250&lt;&gt;"",'Paste Here'!$A250,"")</f>
        <v/>
      </c>
      <c r="G256" s="16" t="str">
        <f>IF('Paste Here'!$B250&lt;&gt;"",'Paste Here'!$B250,"")</f>
        <v/>
      </c>
      <c r="H256" s="16" t="str">
        <f>IF('Paste Here'!$C250&lt;&gt;"",'Paste Here'!$C250,"")</f>
        <v/>
      </c>
      <c r="I256" s="25" t="str">
        <f>IF('Paste Here'!$D250&lt;&gt;"",'Paste Here'!$D250,"")</f>
        <v/>
      </c>
      <c r="J256" s="27" t="str">
        <f>IF('Paste Here'!$E250&lt;&gt;"",'Paste Here'!$E250,"")</f>
        <v/>
      </c>
      <c r="K256" s="16" t="str">
        <f>IF('Paste Here'!$F250&lt;&gt;"",'Paste Here'!$F250,"")</f>
        <v/>
      </c>
      <c r="L256" s="16" t="str">
        <f>IF('Paste Here'!$G250&lt;&gt;"",'Paste Here'!$G250,"")</f>
        <v/>
      </c>
      <c r="M256" s="18" t="str">
        <f t="shared" si="7"/>
        <v/>
      </c>
    </row>
    <row r="257" spans="1:13" s="17" customFormat="1" x14ac:dyDescent="0.25">
      <c r="A257" s="16" t="str">
        <f>IF(URN&lt;&gt;"",_xll.mdValue("Resident",_xlnm.Database,$F257),"")</f>
        <v/>
      </c>
      <c r="B257" s="16" t="str">
        <f>IF(PersonId&lt;&gt;"",_xll.mdValue("Resident First Name",_xlnm.Database,$A$8),"")</f>
        <v/>
      </c>
      <c r="C257" s="16" t="str">
        <f>IF(PersonId&lt;&gt;"",_xll.mdValue("Resident Last Name",_xlnm.Database,$A$8),"")</f>
        <v/>
      </c>
      <c r="D257" s="16" t="str">
        <f>IF(PersonId&lt;&gt;"",_xll.mdValue("Person Accomodation Code",_xlnm.Database,$A257),"")</f>
        <v/>
      </c>
      <c r="E257" s="28" t="str">
        <f t="shared" si="6"/>
        <v/>
      </c>
      <c r="F257" s="16" t="str">
        <f>IF('Paste Here'!$A251&lt;&gt;"",'Paste Here'!$A251,"")</f>
        <v/>
      </c>
      <c r="G257" s="16" t="str">
        <f>IF('Paste Here'!$B251&lt;&gt;"",'Paste Here'!$B251,"")</f>
        <v/>
      </c>
      <c r="H257" s="16" t="str">
        <f>IF('Paste Here'!$C251&lt;&gt;"",'Paste Here'!$C251,"")</f>
        <v/>
      </c>
      <c r="I257" s="25" t="str">
        <f>IF('Paste Here'!$D251&lt;&gt;"",'Paste Here'!$D251,"")</f>
        <v/>
      </c>
      <c r="J257" s="27" t="str">
        <f>IF('Paste Here'!$E251&lt;&gt;"",'Paste Here'!$E251,"")</f>
        <v/>
      </c>
      <c r="K257" s="16" t="str">
        <f>IF('Paste Here'!$F251&lt;&gt;"",'Paste Here'!$F251,"")</f>
        <v/>
      </c>
      <c r="L257" s="16" t="str">
        <f>IF('Paste Here'!$G251&lt;&gt;"",'Paste Here'!$G251,"")</f>
        <v/>
      </c>
      <c r="M257" s="18" t="str">
        <f t="shared" si="7"/>
        <v/>
      </c>
    </row>
    <row r="258" spans="1:13" s="17" customFormat="1" x14ac:dyDescent="0.25">
      <c r="A258" s="16" t="str">
        <f>IF(URN&lt;&gt;"",_xll.mdValue("Resident",_xlnm.Database,$F258),"")</f>
        <v/>
      </c>
      <c r="B258" s="16" t="str">
        <f>IF(PersonId&lt;&gt;"",_xll.mdValue("Resident First Name",_xlnm.Database,$A$8),"")</f>
        <v/>
      </c>
      <c r="C258" s="16" t="str">
        <f>IF(PersonId&lt;&gt;"",_xll.mdValue("Resident Last Name",_xlnm.Database,$A$8),"")</f>
        <v/>
      </c>
      <c r="D258" s="16" t="str">
        <f>IF(PersonId&lt;&gt;"",_xll.mdValue("Person Accomodation Code",_xlnm.Database,$A258),"")</f>
        <v/>
      </c>
      <c r="E258" s="28" t="str">
        <f t="shared" si="6"/>
        <v/>
      </c>
      <c r="F258" s="16" t="str">
        <f>IF('Paste Here'!$A252&lt;&gt;"",'Paste Here'!$A252,"")</f>
        <v/>
      </c>
      <c r="G258" s="16" t="str">
        <f>IF('Paste Here'!$B252&lt;&gt;"",'Paste Here'!$B252,"")</f>
        <v/>
      </c>
      <c r="H258" s="16" t="str">
        <f>IF('Paste Here'!$C252&lt;&gt;"",'Paste Here'!$C252,"")</f>
        <v/>
      </c>
      <c r="I258" s="25" t="str">
        <f>IF('Paste Here'!$D252&lt;&gt;"",'Paste Here'!$D252,"")</f>
        <v/>
      </c>
      <c r="J258" s="27" t="str">
        <f>IF('Paste Here'!$E252&lt;&gt;"",'Paste Here'!$E252,"")</f>
        <v/>
      </c>
      <c r="K258" s="16" t="str">
        <f>IF('Paste Here'!$F252&lt;&gt;"",'Paste Here'!$F252,"")</f>
        <v/>
      </c>
      <c r="L258" s="16" t="str">
        <f>IF('Paste Here'!$G252&lt;&gt;"",'Paste Here'!$G252,"")</f>
        <v/>
      </c>
      <c r="M258" s="18" t="str">
        <f t="shared" si="7"/>
        <v/>
      </c>
    </row>
    <row r="259" spans="1:13" s="17" customFormat="1" x14ac:dyDescent="0.25">
      <c r="A259" s="16" t="str">
        <f>IF(URN&lt;&gt;"",_xll.mdValue("Resident",_xlnm.Database,$F259),"")</f>
        <v/>
      </c>
      <c r="B259" s="16" t="str">
        <f>IF(PersonId&lt;&gt;"",_xll.mdValue("Resident First Name",_xlnm.Database,$A$8),"")</f>
        <v/>
      </c>
      <c r="C259" s="16" t="str">
        <f>IF(PersonId&lt;&gt;"",_xll.mdValue("Resident Last Name",_xlnm.Database,$A$8),"")</f>
        <v/>
      </c>
      <c r="D259" s="16" t="str">
        <f>IF(PersonId&lt;&gt;"",_xll.mdValue("Person Accomodation Code",_xlnm.Database,$A259),"")</f>
        <v/>
      </c>
      <c r="E259" s="28" t="str">
        <f t="shared" si="6"/>
        <v/>
      </c>
      <c r="F259" s="16" t="str">
        <f>IF('Paste Here'!$A253&lt;&gt;"",'Paste Here'!$A253,"")</f>
        <v/>
      </c>
      <c r="G259" s="16" t="str">
        <f>IF('Paste Here'!$B253&lt;&gt;"",'Paste Here'!$B253,"")</f>
        <v/>
      </c>
      <c r="H259" s="16" t="str">
        <f>IF('Paste Here'!$C253&lt;&gt;"",'Paste Here'!$C253,"")</f>
        <v/>
      </c>
      <c r="I259" s="25" t="str">
        <f>IF('Paste Here'!$D253&lt;&gt;"",'Paste Here'!$D253,"")</f>
        <v/>
      </c>
      <c r="J259" s="27" t="str">
        <f>IF('Paste Here'!$E253&lt;&gt;"",'Paste Here'!$E253,"")</f>
        <v/>
      </c>
      <c r="K259" s="16" t="str">
        <f>IF('Paste Here'!$F253&lt;&gt;"",'Paste Here'!$F253,"")</f>
        <v/>
      </c>
      <c r="L259" s="16" t="str">
        <f>IF('Paste Here'!$G253&lt;&gt;"",'Paste Here'!$G253,"")</f>
        <v/>
      </c>
      <c r="M259" s="18" t="str">
        <f t="shared" si="7"/>
        <v/>
      </c>
    </row>
    <row r="260" spans="1:13" s="17" customFormat="1" x14ac:dyDescent="0.25">
      <c r="A260" s="16" t="str">
        <f>IF(URN&lt;&gt;"",_xll.mdValue("Resident",_xlnm.Database,$F260),"")</f>
        <v/>
      </c>
      <c r="B260" s="16" t="str">
        <f>IF(PersonId&lt;&gt;"",_xll.mdValue("Resident First Name",_xlnm.Database,$A$8),"")</f>
        <v/>
      </c>
      <c r="C260" s="16" t="str">
        <f>IF(PersonId&lt;&gt;"",_xll.mdValue("Resident Last Name",_xlnm.Database,$A$8),"")</f>
        <v/>
      </c>
      <c r="D260" s="16" t="str">
        <f>IF(PersonId&lt;&gt;"",_xll.mdValue("Person Accomodation Code",_xlnm.Database,$A260),"")</f>
        <v/>
      </c>
      <c r="E260" s="28" t="str">
        <f t="shared" si="6"/>
        <v/>
      </c>
      <c r="F260" s="16" t="str">
        <f>IF('Paste Here'!$A254&lt;&gt;"",'Paste Here'!$A254,"")</f>
        <v/>
      </c>
      <c r="G260" s="16" t="str">
        <f>IF('Paste Here'!$B254&lt;&gt;"",'Paste Here'!$B254,"")</f>
        <v/>
      </c>
      <c r="H260" s="16" t="str">
        <f>IF('Paste Here'!$C254&lt;&gt;"",'Paste Here'!$C254,"")</f>
        <v/>
      </c>
      <c r="I260" s="25" t="str">
        <f>IF('Paste Here'!$D254&lt;&gt;"",'Paste Here'!$D254,"")</f>
        <v/>
      </c>
      <c r="J260" s="27" t="str">
        <f>IF('Paste Here'!$E254&lt;&gt;"",'Paste Here'!$E254,"")</f>
        <v/>
      </c>
      <c r="K260" s="16" t="str">
        <f>IF('Paste Here'!$F254&lt;&gt;"",'Paste Here'!$F254,"")</f>
        <v/>
      </c>
      <c r="L260" s="16" t="str">
        <f>IF('Paste Here'!$G254&lt;&gt;"",'Paste Here'!$G254,"")</f>
        <v/>
      </c>
      <c r="M260" s="18" t="str">
        <f t="shared" si="7"/>
        <v/>
      </c>
    </row>
    <row r="261" spans="1:13" s="17" customFormat="1" x14ac:dyDescent="0.25">
      <c r="A261" s="16" t="str">
        <f>IF(URN&lt;&gt;"",_xll.mdValue("Resident",_xlnm.Database,$F261),"")</f>
        <v/>
      </c>
      <c r="B261" s="16" t="str">
        <f>IF(PersonId&lt;&gt;"",_xll.mdValue("Resident First Name",_xlnm.Database,$A$8),"")</f>
        <v/>
      </c>
      <c r="C261" s="16" t="str">
        <f>IF(PersonId&lt;&gt;"",_xll.mdValue("Resident Last Name",_xlnm.Database,$A$8),"")</f>
        <v/>
      </c>
      <c r="D261" s="16" t="str">
        <f>IF(PersonId&lt;&gt;"",_xll.mdValue("Person Accomodation Code",_xlnm.Database,$A261),"")</f>
        <v/>
      </c>
      <c r="E261" s="28" t="str">
        <f t="shared" si="6"/>
        <v/>
      </c>
      <c r="F261" s="16" t="str">
        <f>IF('Paste Here'!$A255&lt;&gt;"",'Paste Here'!$A255,"")</f>
        <v/>
      </c>
      <c r="G261" s="16" t="str">
        <f>IF('Paste Here'!$B255&lt;&gt;"",'Paste Here'!$B255,"")</f>
        <v/>
      </c>
      <c r="H261" s="16" t="str">
        <f>IF('Paste Here'!$C255&lt;&gt;"",'Paste Here'!$C255,"")</f>
        <v/>
      </c>
      <c r="I261" s="25" t="str">
        <f>IF('Paste Here'!$D255&lt;&gt;"",'Paste Here'!$D255,"")</f>
        <v/>
      </c>
      <c r="J261" s="27" t="str">
        <f>IF('Paste Here'!$E255&lt;&gt;"",'Paste Here'!$E255,"")</f>
        <v/>
      </c>
      <c r="K261" s="16" t="str">
        <f>IF('Paste Here'!$F255&lt;&gt;"",'Paste Here'!$F255,"")</f>
        <v/>
      </c>
      <c r="L261" s="16" t="str">
        <f>IF('Paste Here'!$G255&lt;&gt;"",'Paste Here'!$G255,"")</f>
        <v/>
      </c>
      <c r="M261" s="18" t="str">
        <f t="shared" si="7"/>
        <v/>
      </c>
    </row>
    <row r="262" spans="1:13" s="17" customFormat="1" x14ac:dyDescent="0.25">
      <c r="A262" s="16" t="str">
        <f>IF(URN&lt;&gt;"",_xll.mdValue("Resident",_xlnm.Database,$F262),"")</f>
        <v/>
      </c>
      <c r="B262" s="16" t="str">
        <f>IF(PersonId&lt;&gt;"",_xll.mdValue("Resident First Name",_xlnm.Database,$A$8),"")</f>
        <v/>
      </c>
      <c r="C262" s="16" t="str">
        <f>IF(PersonId&lt;&gt;"",_xll.mdValue("Resident Last Name",_xlnm.Database,$A$8),"")</f>
        <v/>
      </c>
      <c r="D262" s="16" t="str">
        <f>IF(PersonId&lt;&gt;"",_xll.mdValue("Person Accomodation Code",_xlnm.Database,$A262),"")</f>
        <v/>
      </c>
      <c r="E262" s="28" t="str">
        <f t="shared" si="6"/>
        <v/>
      </c>
      <c r="F262" s="16" t="str">
        <f>IF('Paste Here'!$A256&lt;&gt;"",'Paste Here'!$A256,"")</f>
        <v/>
      </c>
      <c r="G262" s="16" t="str">
        <f>IF('Paste Here'!$B256&lt;&gt;"",'Paste Here'!$B256,"")</f>
        <v/>
      </c>
      <c r="H262" s="16" t="str">
        <f>IF('Paste Here'!$C256&lt;&gt;"",'Paste Here'!$C256,"")</f>
        <v/>
      </c>
      <c r="I262" s="25" t="str">
        <f>IF('Paste Here'!$D256&lt;&gt;"",'Paste Here'!$D256,"")</f>
        <v/>
      </c>
      <c r="J262" s="27" t="str">
        <f>IF('Paste Here'!$E256&lt;&gt;"",'Paste Here'!$E256,"")</f>
        <v/>
      </c>
      <c r="K262" s="16" t="str">
        <f>IF('Paste Here'!$F256&lt;&gt;"",'Paste Here'!$F256,"")</f>
        <v/>
      </c>
      <c r="L262" s="16" t="str">
        <f>IF('Paste Here'!$G256&lt;&gt;"",'Paste Here'!$G256,"")</f>
        <v/>
      </c>
      <c r="M262" s="18" t="str">
        <f t="shared" si="7"/>
        <v/>
      </c>
    </row>
    <row r="263" spans="1:13" s="17" customFormat="1" x14ac:dyDescent="0.25">
      <c r="A263" s="16" t="str">
        <f>IF(URN&lt;&gt;"",_xll.mdValue("Resident",_xlnm.Database,$F263),"")</f>
        <v/>
      </c>
      <c r="B263" s="16" t="str">
        <f>IF(PersonId&lt;&gt;"",_xll.mdValue("Resident First Name",_xlnm.Database,$A$8),"")</f>
        <v/>
      </c>
      <c r="C263" s="16" t="str">
        <f>IF(PersonId&lt;&gt;"",_xll.mdValue("Resident Last Name",_xlnm.Database,$A$8),"")</f>
        <v/>
      </c>
      <c r="D263" s="16" t="str">
        <f>IF(PersonId&lt;&gt;"",_xll.mdValue("Person Accomodation Code",_xlnm.Database,$A263),"")</f>
        <v/>
      </c>
      <c r="E263" s="28" t="str">
        <f t="shared" si="6"/>
        <v/>
      </c>
      <c r="F263" s="16" t="str">
        <f>IF('Paste Here'!$A257&lt;&gt;"",'Paste Here'!$A257,"")</f>
        <v/>
      </c>
      <c r="G263" s="16" t="str">
        <f>IF('Paste Here'!$B257&lt;&gt;"",'Paste Here'!$B257,"")</f>
        <v/>
      </c>
      <c r="H263" s="16" t="str">
        <f>IF('Paste Here'!$C257&lt;&gt;"",'Paste Here'!$C257,"")</f>
        <v/>
      </c>
      <c r="I263" s="25" t="str">
        <f>IF('Paste Here'!$D257&lt;&gt;"",'Paste Here'!$D257,"")</f>
        <v/>
      </c>
      <c r="J263" s="27" t="str">
        <f>IF('Paste Here'!$E257&lt;&gt;"",'Paste Here'!$E257,"")</f>
        <v/>
      </c>
      <c r="K263" s="16" t="str">
        <f>IF('Paste Here'!$F257&lt;&gt;"",'Paste Here'!$F257,"")</f>
        <v/>
      </c>
      <c r="L263" s="16" t="str">
        <f>IF('Paste Here'!$G257&lt;&gt;"",'Paste Here'!$G257,"")</f>
        <v/>
      </c>
      <c r="M263" s="18" t="str">
        <f t="shared" si="7"/>
        <v/>
      </c>
    </row>
    <row r="264" spans="1:13" s="17" customFormat="1" x14ac:dyDescent="0.25">
      <c r="A264" s="16" t="str">
        <f>IF(URN&lt;&gt;"",_xll.mdValue("Resident",_xlnm.Database,$F264),"")</f>
        <v/>
      </c>
      <c r="B264" s="16" t="str">
        <f>IF(PersonId&lt;&gt;"",_xll.mdValue("Resident First Name",_xlnm.Database,$A$8),"")</f>
        <v/>
      </c>
      <c r="C264" s="16" t="str">
        <f>IF(PersonId&lt;&gt;"",_xll.mdValue("Resident Last Name",_xlnm.Database,$A$8),"")</f>
        <v/>
      </c>
      <c r="D264" s="16" t="str">
        <f>IF(PersonId&lt;&gt;"",_xll.mdValue("Person Accomodation Code",_xlnm.Database,$A264),"")</f>
        <v/>
      </c>
      <c r="E264" s="28" t="str">
        <f t="shared" ref="E264:E327" si="8">IF(ClientCare_Accommodation&lt;&gt;"",IF(ClientCare_Accommodation&lt;&gt;AccommodationCode,"Missing Accommodation",""),"")</f>
        <v/>
      </c>
      <c r="F264" s="16" t="str">
        <f>IF('Paste Here'!$A258&lt;&gt;"",'Paste Here'!$A258,"")</f>
        <v/>
      </c>
      <c r="G264" s="16" t="str">
        <f>IF('Paste Here'!$B258&lt;&gt;"",'Paste Here'!$B258,"")</f>
        <v/>
      </c>
      <c r="H264" s="16" t="str">
        <f>IF('Paste Here'!$C258&lt;&gt;"",'Paste Here'!$C258,"")</f>
        <v/>
      </c>
      <c r="I264" s="25" t="str">
        <f>IF('Paste Here'!$D258&lt;&gt;"",'Paste Here'!$D258,"")</f>
        <v/>
      </c>
      <c r="J264" s="27" t="str">
        <f>IF('Paste Here'!$E258&lt;&gt;"",'Paste Here'!$E258,"")</f>
        <v/>
      </c>
      <c r="K264" s="16" t="str">
        <f>IF('Paste Here'!$F258&lt;&gt;"",'Paste Here'!$F258,"")</f>
        <v/>
      </c>
      <c r="L264" s="16" t="str">
        <f>IF('Paste Here'!$G258&lt;&gt;"",'Paste Here'!$G258,"")</f>
        <v/>
      </c>
      <c r="M264" s="18" t="str">
        <f t="shared" ref="M264:M327" si="9">IF(PersonId&lt;&gt;"","Normal","")</f>
        <v/>
      </c>
    </row>
    <row r="265" spans="1:13" s="17" customFormat="1" x14ac:dyDescent="0.25">
      <c r="A265" s="16" t="str">
        <f>IF(URN&lt;&gt;"",_xll.mdValue("Resident",_xlnm.Database,$F265),"")</f>
        <v/>
      </c>
      <c r="B265" s="16" t="str">
        <f>IF(PersonId&lt;&gt;"",_xll.mdValue("Resident First Name",_xlnm.Database,$A$8),"")</f>
        <v/>
      </c>
      <c r="C265" s="16" t="str">
        <f>IF(PersonId&lt;&gt;"",_xll.mdValue("Resident Last Name",_xlnm.Database,$A$8),"")</f>
        <v/>
      </c>
      <c r="D265" s="16" t="str">
        <f>IF(PersonId&lt;&gt;"",_xll.mdValue("Person Accomodation Code",_xlnm.Database,$A265),"")</f>
        <v/>
      </c>
      <c r="E265" s="28" t="str">
        <f t="shared" si="8"/>
        <v/>
      </c>
      <c r="F265" s="16" t="str">
        <f>IF('Paste Here'!$A259&lt;&gt;"",'Paste Here'!$A259,"")</f>
        <v/>
      </c>
      <c r="G265" s="16" t="str">
        <f>IF('Paste Here'!$B259&lt;&gt;"",'Paste Here'!$B259,"")</f>
        <v/>
      </c>
      <c r="H265" s="16" t="str">
        <f>IF('Paste Here'!$C259&lt;&gt;"",'Paste Here'!$C259,"")</f>
        <v/>
      </c>
      <c r="I265" s="25" t="str">
        <f>IF('Paste Here'!$D259&lt;&gt;"",'Paste Here'!$D259,"")</f>
        <v/>
      </c>
      <c r="J265" s="27" t="str">
        <f>IF('Paste Here'!$E259&lt;&gt;"",'Paste Here'!$E259,"")</f>
        <v/>
      </c>
      <c r="K265" s="16" t="str">
        <f>IF('Paste Here'!$F259&lt;&gt;"",'Paste Here'!$F259,"")</f>
        <v/>
      </c>
      <c r="L265" s="16" t="str">
        <f>IF('Paste Here'!$G259&lt;&gt;"",'Paste Here'!$G259,"")</f>
        <v/>
      </c>
      <c r="M265" s="18" t="str">
        <f t="shared" si="9"/>
        <v/>
      </c>
    </row>
    <row r="266" spans="1:13" s="17" customFormat="1" x14ac:dyDescent="0.25">
      <c r="A266" s="16" t="str">
        <f>IF(URN&lt;&gt;"",_xll.mdValue("Resident",_xlnm.Database,$F266),"")</f>
        <v/>
      </c>
      <c r="B266" s="16" t="str">
        <f>IF(PersonId&lt;&gt;"",_xll.mdValue("Resident First Name",_xlnm.Database,$A$8),"")</f>
        <v/>
      </c>
      <c r="C266" s="16" t="str">
        <f>IF(PersonId&lt;&gt;"",_xll.mdValue("Resident Last Name",_xlnm.Database,$A$8),"")</f>
        <v/>
      </c>
      <c r="D266" s="16" t="str">
        <f>IF(PersonId&lt;&gt;"",_xll.mdValue("Person Accomodation Code",_xlnm.Database,$A266),"")</f>
        <v/>
      </c>
      <c r="E266" s="28" t="str">
        <f t="shared" si="8"/>
        <v/>
      </c>
      <c r="F266" s="16" t="str">
        <f>IF('Paste Here'!$A260&lt;&gt;"",'Paste Here'!$A260,"")</f>
        <v/>
      </c>
      <c r="G266" s="16" t="str">
        <f>IF('Paste Here'!$B260&lt;&gt;"",'Paste Here'!$B260,"")</f>
        <v/>
      </c>
      <c r="H266" s="16" t="str">
        <f>IF('Paste Here'!$C260&lt;&gt;"",'Paste Here'!$C260,"")</f>
        <v/>
      </c>
      <c r="I266" s="25" t="str">
        <f>IF('Paste Here'!$D260&lt;&gt;"",'Paste Here'!$D260,"")</f>
        <v/>
      </c>
      <c r="J266" s="27" t="str">
        <f>IF('Paste Here'!$E260&lt;&gt;"",'Paste Here'!$E260,"")</f>
        <v/>
      </c>
      <c r="K266" s="16" t="str">
        <f>IF('Paste Here'!$F260&lt;&gt;"",'Paste Here'!$F260,"")</f>
        <v/>
      </c>
      <c r="L266" s="16" t="str">
        <f>IF('Paste Here'!$G260&lt;&gt;"",'Paste Here'!$G260,"")</f>
        <v/>
      </c>
      <c r="M266" s="18" t="str">
        <f t="shared" si="9"/>
        <v/>
      </c>
    </row>
    <row r="267" spans="1:13" s="17" customFormat="1" x14ac:dyDescent="0.25">
      <c r="A267" s="16" t="str">
        <f>IF(URN&lt;&gt;"",_xll.mdValue("Resident",_xlnm.Database,$F267),"")</f>
        <v/>
      </c>
      <c r="B267" s="16" t="str">
        <f>IF(PersonId&lt;&gt;"",_xll.mdValue("Resident First Name",_xlnm.Database,$A$8),"")</f>
        <v/>
      </c>
      <c r="C267" s="16" t="str">
        <f>IF(PersonId&lt;&gt;"",_xll.mdValue("Resident Last Name",_xlnm.Database,$A$8),"")</f>
        <v/>
      </c>
      <c r="D267" s="16" t="str">
        <f>IF(PersonId&lt;&gt;"",_xll.mdValue("Person Accomodation Code",_xlnm.Database,$A267),"")</f>
        <v/>
      </c>
      <c r="E267" s="28" t="str">
        <f t="shared" si="8"/>
        <v/>
      </c>
      <c r="F267" s="16" t="str">
        <f>IF('Paste Here'!$A261&lt;&gt;"",'Paste Here'!$A261,"")</f>
        <v/>
      </c>
      <c r="G267" s="16" t="str">
        <f>IF('Paste Here'!$B261&lt;&gt;"",'Paste Here'!$B261,"")</f>
        <v/>
      </c>
      <c r="H267" s="16" t="str">
        <f>IF('Paste Here'!$C261&lt;&gt;"",'Paste Here'!$C261,"")</f>
        <v/>
      </c>
      <c r="I267" s="25" t="str">
        <f>IF('Paste Here'!$D261&lt;&gt;"",'Paste Here'!$D261,"")</f>
        <v/>
      </c>
      <c r="J267" s="27" t="str">
        <f>IF('Paste Here'!$E261&lt;&gt;"",'Paste Here'!$E261,"")</f>
        <v/>
      </c>
      <c r="K267" s="16" t="str">
        <f>IF('Paste Here'!$F261&lt;&gt;"",'Paste Here'!$F261,"")</f>
        <v/>
      </c>
      <c r="L267" s="16" t="str">
        <f>IF('Paste Here'!$G261&lt;&gt;"",'Paste Here'!$G261,"")</f>
        <v/>
      </c>
      <c r="M267" s="18" t="str">
        <f t="shared" si="9"/>
        <v/>
      </c>
    </row>
    <row r="268" spans="1:13" s="17" customFormat="1" x14ac:dyDescent="0.25">
      <c r="A268" s="16" t="str">
        <f>IF(URN&lt;&gt;"",_xll.mdValue("Resident",_xlnm.Database,$F268),"")</f>
        <v/>
      </c>
      <c r="B268" s="16" t="str">
        <f>IF(PersonId&lt;&gt;"",_xll.mdValue("Resident First Name",_xlnm.Database,$A$8),"")</f>
        <v/>
      </c>
      <c r="C268" s="16" t="str">
        <f>IF(PersonId&lt;&gt;"",_xll.mdValue("Resident Last Name",_xlnm.Database,$A$8),"")</f>
        <v/>
      </c>
      <c r="D268" s="16" t="str">
        <f>IF(PersonId&lt;&gt;"",_xll.mdValue("Person Accomodation Code",_xlnm.Database,$A268),"")</f>
        <v/>
      </c>
      <c r="E268" s="28" t="str">
        <f t="shared" si="8"/>
        <v/>
      </c>
      <c r="F268" s="16" t="str">
        <f>IF('Paste Here'!$A262&lt;&gt;"",'Paste Here'!$A262,"")</f>
        <v/>
      </c>
      <c r="G268" s="16" t="str">
        <f>IF('Paste Here'!$B262&lt;&gt;"",'Paste Here'!$B262,"")</f>
        <v/>
      </c>
      <c r="H268" s="16" t="str">
        <f>IF('Paste Here'!$C262&lt;&gt;"",'Paste Here'!$C262,"")</f>
        <v/>
      </c>
      <c r="I268" s="25" t="str">
        <f>IF('Paste Here'!$D262&lt;&gt;"",'Paste Here'!$D262,"")</f>
        <v/>
      </c>
      <c r="J268" s="27" t="str">
        <f>IF('Paste Here'!$E262&lt;&gt;"",'Paste Here'!$E262,"")</f>
        <v/>
      </c>
      <c r="K268" s="16" t="str">
        <f>IF('Paste Here'!$F262&lt;&gt;"",'Paste Here'!$F262,"")</f>
        <v/>
      </c>
      <c r="L268" s="16" t="str">
        <f>IF('Paste Here'!$G262&lt;&gt;"",'Paste Here'!$G262,"")</f>
        <v/>
      </c>
      <c r="M268" s="18" t="str">
        <f t="shared" si="9"/>
        <v/>
      </c>
    </row>
    <row r="269" spans="1:13" s="17" customFormat="1" x14ac:dyDescent="0.25">
      <c r="A269" s="16" t="str">
        <f>IF(URN&lt;&gt;"",_xll.mdValue("Resident",_xlnm.Database,$F269),"")</f>
        <v/>
      </c>
      <c r="B269" s="16" t="str">
        <f>IF(PersonId&lt;&gt;"",_xll.mdValue("Resident First Name",_xlnm.Database,$A$8),"")</f>
        <v/>
      </c>
      <c r="C269" s="16" t="str">
        <f>IF(PersonId&lt;&gt;"",_xll.mdValue("Resident Last Name",_xlnm.Database,$A$8),"")</f>
        <v/>
      </c>
      <c r="D269" s="16" t="str">
        <f>IF(PersonId&lt;&gt;"",_xll.mdValue("Person Accomodation Code",_xlnm.Database,$A269),"")</f>
        <v/>
      </c>
      <c r="E269" s="28" t="str">
        <f t="shared" si="8"/>
        <v/>
      </c>
      <c r="F269" s="16" t="str">
        <f>IF('Paste Here'!$A263&lt;&gt;"",'Paste Here'!$A263,"")</f>
        <v/>
      </c>
      <c r="G269" s="16" t="str">
        <f>IF('Paste Here'!$B263&lt;&gt;"",'Paste Here'!$B263,"")</f>
        <v/>
      </c>
      <c r="H269" s="16" t="str">
        <f>IF('Paste Here'!$C263&lt;&gt;"",'Paste Here'!$C263,"")</f>
        <v/>
      </c>
      <c r="I269" s="25" t="str">
        <f>IF('Paste Here'!$D263&lt;&gt;"",'Paste Here'!$D263,"")</f>
        <v/>
      </c>
      <c r="J269" s="27" t="str">
        <f>IF('Paste Here'!$E263&lt;&gt;"",'Paste Here'!$E263,"")</f>
        <v/>
      </c>
      <c r="K269" s="16" t="str">
        <f>IF('Paste Here'!$F263&lt;&gt;"",'Paste Here'!$F263,"")</f>
        <v/>
      </c>
      <c r="L269" s="16" t="str">
        <f>IF('Paste Here'!$G263&lt;&gt;"",'Paste Here'!$G263,"")</f>
        <v/>
      </c>
      <c r="M269" s="18" t="str">
        <f t="shared" si="9"/>
        <v/>
      </c>
    </row>
    <row r="270" spans="1:13" s="17" customFormat="1" x14ac:dyDescent="0.25">
      <c r="A270" s="16" t="str">
        <f>IF(URN&lt;&gt;"",_xll.mdValue("Resident",_xlnm.Database,$F270),"")</f>
        <v/>
      </c>
      <c r="B270" s="16" t="str">
        <f>IF(PersonId&lt;&gt;"",_xll.mdValue("Resident First Name",_xlnm.Database,$A$8),"")</f>
        <v/>
      </c>
      <c r="C270" s="16" t="str">
        <f>IF(PersonId&lt;&gt;"",_xll.mdValue("Resident Last Name",_xlnm.Database,$A$8),"")</f>
        <v/>
      </c>
      <c r="D270" s="16" t="str">
        <f>IF(PersonId&lt;&gt;"",_xll.mdValue("Person Accomodation Code",_xlnm.Database,$A270),"")</f>
        <v/>
      </c>
      <c r="E270" s="28" t="str">
        <f t="shared" si="8"/>
        <v/>
      </c>
      <c r="F270" s="16" t="str">
        <f>IF('Paste Here'!$A264&lt;&gt;"",'Paste Here'!$A264,"")</f>
        <v/>
      </c>
      <c r="G270" s="16" t="str">
        <f>IF('Paste Here'!$B264&lt;&gt;"",'Paste Here'!$B264,"")</f>
        <v/>
      </c>
      <c r="H270" s="16" t="str">
        <f>IF('Paste Here'!$C264&lt;&gt;"",'Paste Here'!$C264,"")</f>
        <v/>
      </c>
      <c r="I270" s="25" t="str">
        <f>IF('Paste Here'!$D264&lt;&gt;"",'Paste Here'!$D264,"")</f>
        <v/>
      </c>
      <c r="J270" s="27" t="str">
        <f>IF('Paste Here'!$E264&lt;&gt;"",'Paste Here'!$E264,"")</f>
        <v/>
      </c>
      <c r="K270" s="16" t="str">
        <f>IF('Paste Here'!$F264&lt;&gt;"",'Paste Here'!$F264,"")</f>
        <v/>
      </c>
      <c r="L270" s="16" t="str">
        <f>IF('Paste Here'!$G264&lt;&gt;"",'Paste Here'!$G264,"")</f>
        <v/>
      </c>
      <c r="M270" s="18" t="str">
        <f t="shared" si="9"/>
        <v/>
      </c>
    </row>
    <row r="271" spans="1:13" s="17" customFormat="1" x14ac:dyDescent="0.25">
      <c r="A271" s="16" t="str">
        <f>IF(URN&lt;&gt;"",_xll.mdValue("Resident",_xlnm.Database,$F271),"")</f>
        <v/>
      </c>
      <c r="B271" s="16" t="str">
        <f>IF(PersonId&lt;&gt;"",_xll.mdValue("Resident First Name",_xlnm.Database,$A$8),"")</f>
        <v/>
      </c>
      <c r="C271" s="16" t="str">
        <f>IF(PersonId&lt;&gt;"",_xll.mdValue("Resident Last Name",_xlnm.Database,$A$8),"")</f>
        <v/>
      </c>
      <c r="D271" s="16" t="str">
        <f>IF(PersonId&lt;&gt;"",_xll.mdValue("Person Accomodation Code",_xlnm.Database,$A271),"")</f>
        <v/>
      </c>
      <c r="E271" s="28" t="str">
        <f t="shared" si="8"/>
        <v/>
      </c>
      <c r="F271" s="16" t="str">
        <f>IF('Paste Here'!$A265&lt;&gt;"",'Paste Here'!$A265,"")</f>
        <v/>
      </c>
      <c r="G271" s="16" t="str">
        <f>IF('Paste Here'!$B265&lt;&gt;"",'Paste Here'!$B265,"")</f>
        <v/>
      </c>
      <c r="H271" s="16" t="str">
        <f>IF('Paste Here'!$C265&lt;&gt;"",'Paste Here'!$C265,"")</f>
        <v/>
      </c>
      <c r="I271" s="25" t="str">
        <f>IF('Paste Here'!$D265&lt;&gt;"",'Paste Here'!$D265,"")</f>
        <v/>
      </c>
      <c r="J271" s="27" t="str">
        <f>IF('Paste Here'!$E265&lt;&gt;"",'Paste Here'!$E265,"")</f>
        <v/>
      </c>
      <c r="K271" s="16" t="str">
        <f>IF('Paste Here'!$F265&lt;&gt;"",'Paste Here'!$F265,"")</f>
        <v/>
      </c>
      <c r="L271" s="16" t="str">
        <f>IF('Paste Here'!$G265&lt;&gt;"",'Paste Here'!$G265,"")</f>
        <v/>
      </c>
      <c r="M271" s="18" t="str">
        <f t="shared" si="9"/>
        <v/>
      </c>
    </row>
    <row r="272" spans="1:13" s="17" customFormat="1" x14ac:dyDescent="0.25">
      <c r="A272" s="16" t="str">
        <f>IF(URN&lt;&gt;"",_xll.mdValue("Resident",_xlnm.Database,$F272),"")</f>
        <v/>
      </c>
      <c r="B272" s="16" t="str">
        <f>IF(PersonId&lt;&gt;"",_xll.mdValue("Resident First Name",_xlnm.Database,$A$8),"")</f>
        <v/>
      </c>
      <c r="C272" s="16" t="str">
        <f>IF(PersonId&lt;&gt;"",_xll.mdValue("Resident Last Name",_xlnm.Database,$A$8),"")</f>
        <v/>
      </c>
      <c r="D272" s="16" t="str">
        <f>IF(PersonId&lt;&gt;"",_xll.mdValue("Person Accomodation Code",_xlnm.Database,$A272),"")</f>
        <v/>
      </c>
      <c r="E272" s="28" t="str">
        <f t="shared" si="8"/>
        <v/>
      </c>
      <c r="F272" s="16" t="str">
        <f>IF('Paste Here'!$A266&lt;&gt;"",'Paste Here'!$A266,"")</f>
        <v/>
      </c>
      <c r="G272" s="16" t="str">
        <f>IF('Paste Here'!$B266&lt;&gt;"",'Paste Here'!$B266,"")</f>
        <v/>
      </c>
      <c r="H272" s="16" t="str">
        <f>IF('Paste Here'!$C266&lt;&gt;"",'Paste Here'!$C266,"")</f>
        <v/>
      </c>
      <c r="I272" s="25" t="str">
        <f>IF('Paste Here'!$D266&lt;&gt;"",'Paste Here'!$D266,"")</f>
        <v/>
      </c>
      <c r="J272" s="27" t="str">
        <f>IF('Paste Here'!$E266&lt;&gt;"",'Paste Here'!$E266,"")</f>
        <v/>
      </c>
      <c r="K272" s="16" t="str">
        <f>IF('Paste Here'!$F266&lt;&gt;"",'Paste Here'!$F266,"")</f>
        <v/>
      </c>
      <c r="L272" s="16" t="str">
        <f>IF('Paste Here'!$G266&lt;&gt;"",'Paste Here'!$G266,"")</f>
        <v/>
      </c>
      <c r="M272" s="18" t="str">
        <f t="shared" si="9"/>
        <v/>
      </c>
    </row>
    <row r="273" spans="1:13" s="17" customFormat="1" x14ac:dyDescent="0.25">
      <c r="A273" s="16" t="str">
        <f>IF(URN&lt;&gt;"",_xll.mdValue("Resident",_xlnm.Database,$F273),"")</f>
        <v/>
      </c>
      <c r="B273" s="16" t="str">
        <f>IF(PersonId&lt;&gt;"",_xll.mdValue("Resident First Name",_xlnm.Database,$A$8),"")</f>
        <v/>
      </c>
      <c r="C273" s="16" t="str">
        <f>IF(PersonId&lt;&gt;"",_xll.mdValue("Resident Last Name",_xlnm.Database,$A$8),"")</f>
        <v/>
      </c>
      <c r="D273" s="16" t="str">
        <f>IF(PersonId&lt;&gt;"",_xll.mdValue("Person Accomodation Code",_xlnm.Database,$A273),"")</f>
        <v/>
      </c>
      <c r="E273" s="28" t="str">
        <f t="shared" si="8"/>
        <v/>
      </c>
      <c r="F273" s="16" t="str">
        <f>IF('Paste Here'!$A267&lt;&gt;"",'Paste Here'!$A267,"")</f>
        <v/>
      </c>
      <c r="G273" s="16" t="str">
        <f>IF('Paste Here'!$B267&lt;&gt;"",'Paste Here'!$B267,"")</f>
        <v/>
      </c>
      <c r="H273" s="16" t="str">
        <f>IF('Paste Here'!$C267&lt;&gt;"",'Paste Here'!$C267,"")</f>
        <v/>
      </c>
      <c r="I273" s="25" t="str">
        <f>IF('Paste Here'!$D267&lt;&gt;"",'Paste Here'!$D267,"")</f>
        <v/>
      </c>
      <c r="J273" s="27" t="str">
        <f>IF('Paste Here'!$E267&lt;&gt;"",'Paste Here'!$E267,"")</f>
        <v/>
      </c>
      <c r="K273" s="16" t="str">
        <f>IF('Paste Here'!$F267&lt;&gt;"",'Paste Here'!$F267,"")</f>
        <v/>
      </c>
      <c r="L273" s="16" t="str">
        <f>IF('Paste Here'!$G267&lt;&gt;"",'Paste Here'!$G267,"")</f>
        <v/>
      </c>
      <c r="M273" s="18" t="str">
        <f t="shared" si="9"/>
        <v/>
      </c>
    </row>
    <row r="274" spans="1:13" s="17" customFormat="1" x14ac:dyDescent="0.25">
      <c r="A274" s="16" t="str">
        <f>IF(URN&lt;&gt;"",_xll.mdValue("Resident",_xlnm.Database,$F274),"")</f>
        <v/>
      </c>
      <c r="B274" s="16" t="str">
        <f>IF(PersonId&lt;&gt;"",_xll.mdValue("Resident First Name",_xlnm.Database,$A$8),"")</f>
        <v/>
      </c>
      <c r="C274" s="16" t="str">
        <f>IF(PersonId&lt;&gt;"",_xll.mdValue("Resident Last Name",_xlnm.Database,$A$8),"")</f>
        <v/>
      </c>
      <c r="D274" s="16" t="str">
        <f>IF(PersonId&lt;&gt;"",_xll.mdValue("Person Accomodation Code",_xlnm.Database,$A274),"")</f>
        <v/>
      </c>
      <c r="E274" s="28" t="str">
        <f t="shared" si="8"/>
        <v/>
      </c>
      <c r="F274" s="16" t="str">
        <f>IF('Paste Here'!$A268&lt;&gt;"",'Paste Here'!$A268,"")</f>
        <v/>
      </c>
      <c r="G274" s="16" t="str">
        <f>IF('Paste Here'!$B268&lt;&gt;"",'Paste Here'!$B268,"")</f>
        <v/>
      </c>
      <c r="H274" s="16" t="str">
        <f>IF('Paste Here'!$C268&lt;&gt;"",'Paste Here'!$C268,"")</f>
        <v/>
      </c>
      <c r="I274" s="25" t="str">
        <f>IF('Paste Here'!$D268&lt;&gt;"",'Paste Here'!$D268,"")</f>
        <v/>
      </c>
      <c r="J274" s="27" t="str">
        <f>IF('Paste Here'!$E268&lt;&gt;"",'Paste Here'!$E268,"")</f>
        <v/>
      </c>
      <c r="K274" s="16" t="str">
        <f>IF('Paste Here'!$F268&lt;&gt;"",'Paste Here'!$F268,"")</f>
        <v/>
      </c>
      <c r="L274" s="16" t="str">
        <f>IF('Paste Here'!$G268&lt;&gt;"",'Paste Here'!$G268,"")</f>
        <v/>
      </c>
      <c r="M274" s="18" t="str">
        <f t="shared" si="9"/>
        <v/>
      </c>
    </row>
    <row r="275" spans="1:13" s="17" customFormat="1" x14ac:dyDescent="0.25">
      <c r="A275" s="16" t="str">
        <f>IF(URN&lt;&gt;"",_xll.mdValue("Resident",_xlnm.Database,$F275),"")</f>
        <v/>
      </c>
      <c r="B275" s="16" t="str">
        <f>IF(PersonId&lt;&gt;"",_xll.mdValue("Resident First Name",_xlnm.Database,$A$8),"")</f>
        <v/>
      </c>
      <c r="C275" s="16" t="str">
        <f>IF(PersonId&lt;&gt;"",_xll.mdValue("Resident Last Name",_xlnm.Database,$A$8),"")</f>
        <v/>
      </c>
      <c r="D275" s="16" t="str">
        <f>IF(PersonId&lt;&gt;"",_xll.mdValue("Person Accomodation Code",_xlnm.Database,$A275),"")</f>
        <v/>
      </c>
      <c r="E275" s="28" t="str">
        <f t="shared" si="8"/>
        <v/>
      </c>
      <c r="F275" s="16" t="str">
        <f>IF('Paste Here'!$A269&lt;&gt;"",'Paste Here'!$A269,"")</f>
        <v/>
      </c>
      <c r="G275" s="16" t="str">
        <f>IF('Paste Here'!$B269&lt;&gt;"",'Paste Here'!$B269,"")</f>
        <v/>
      </c>
      <c r="H275" s="16" t="str">
        <f>IF('Paste Here'!$C269&lt;&gt;"",'Paste Here'!$C269,"")</f>
        <v/>
      </c>
      <c r="I275" s="25" t="str">
        <f>IF('Paste Here'!$D269&lt;&gt;"",'Paste Here'!$D269,"")</f>
        <v/>
      </c>
      <c r="J275" s="27" t="str">
        <f>IF('Paste Here'!$E269&lt;&gt;"",'Paste Here'!$E269,"")</f>
        <v/>
      </c>
      <c r="K275" s="16" t="str">
        <f>IF('Paste Here'!$F269&lt;&gt;"",'Paste Here'!$F269,"")</f>
        <v/>
      </c>
      <c r="L275" s="16" t="str">
        <f>IF('Paste Here'!$G269&lt;&gt;"",'Paste Here'!$G269,"")</f>
        <v/>
      </c>
      <c r="M275" s="18" t="str">
        <f t="shared" si="9"/>
        <v/>
      </c>
    </row>
    <row r="276" spans="1:13" s="17" customFormat="1" x14ac:dyDescent="0.25">
      <c r="A276" s="16" t="str">
        <f>IF(URN&lt;&gt;"",_xll.mdValue("Resident",_xlnm.Database,$F276),"")</f>
        <v/>
      </c>
      <c r="B276" s="16" t="str">
        <f>IF(PersonId&lt;&gt;"",_xll.mdValue("Resident First Name",_xlnm.Database,$A$8),"")</f>
        <v/>
      </c>
      <c r="C276" s="16" t="str">
        <f>IF(PersonId&lt;&gt;"",_xll.mdValue("Resident Last Name",_xlnm.Database,$A$8),"")</f>
        <v/>
      </c>
      <c r="D276" s="16" t="str">
        <f>IF(PersonId&lt;&gt;"",_xll.mdValue("Person Accomodation Code",_xlnm.Database,$A276),"")</f>
        <v/>
      </c>
      <c r="E276" s="28" t="str">
        <f t="shared" si="8"/>
        <v/>
      </c>
      <c r="F276" s="16" t="str">
        <f>IF('Paste Here'!$A270&lt;&gt;"",'Paste Here'!$A270,"")</f>
        <v/>
      </c>
      <c r="G276" s="16" t="str">
        <f>IF('Paste Here'!$B270&lt;&gt;"",'Paste Here'!$B270,"")</f>
        <v/>
      </c>
      <c r="H276" s="16" t="str">
        <f>IF('Paste Here'!$C270&lt;&gt;"",'Paste Here'!$C270,"")</f>
        <v/>
      </c>
      <c r="I276" s="25" t="str">
        <f>IF('Paste Here'!$D270&lt;&gt;"",'Paste Here'!$D270,"")</f>
        <v/>
      </c>
      <c r="J276" s="27" t="str">
        <f>IF('Paste Here'!$E270&lt;&gt;"",'Paste Here'!$E270,"")</f>
        <v/>
      </c>
      <c r="K276" s="16" t="str">
        <f>IF('Paste Here'!$F270&lt;&gt;"",'Paste Here'!$F270,"")</f>
        <v/>
      </c>
      <c r="L276" s="16" t="str">
        <f>IF('Paste Here'!$G270&lt;&gt;"",'Paste Here'!$G270,"")</f>
        <v/>
      </c>
      <c r="M276" s="18" t="str">
        <f t="shared" si="9"/>
        <v/>
      </c>
    </row>
    <row r="277" spans="1:13" s="17" customFormat="1" x14ac:dyDescent="0.25">
      <c r="A277" s="16" t="str">
        <f>IF(URN&lt;&gt;"",_xll.mdValue("Resident",_xlnm.Database,$F277),"")</f>
        <v/>
      </c>
      <c r="B277" s="16" t="str">
        <f>IF(PersonId&lt;&gt;"",_xll.mdValue("Resident First Name",_xlnm.Database,$A$8),"")</f>
        <v/>
      </c>
      <c r="C277" s="16" t="str">
        <f>IF(PersonId&lt;&gt;"",_xll.mdValue("Resident Last Name",_xlnm.Database,$A$8),"")</f>
        <v/>
      </c>
      <c r="D277" s="16" t="str">
        <f>IF(PersonId&lt;&gt;"",_xll.mdValue("Person Accomodation Code",_xlnm.Database,$A277),"")</f>
        <v/>
      </c>
      <c r="E277" s="28" t="str">
        <f t="shared" si="8"/>
        <v/>
      </c>
      <c r="F277" s="16" t="str">
        <f>IF('Paste Here'!$A271&lt;&gt;"",'Paste Here'!$A271,"")</f>
        <v/>
      </c>
      <c r="G277" s="16" t="str">
        <f>IF('Paste Here'!$B271&lt;&gt;"",'Paste Here'!$B271,"")</f>
        <v/>
      </c>
      <c r="H277" s="16" t="str">
        <f>IF('Paste Here'!$C271&lt;&gt;"",'Paste Here'!$C271,"")</f>
        <v/>
      </c>
      <c r="I277" s="25" t="str">
        <f>IF('Paste Here'!$D271&lt;&gt;"",'Paste Here'!$D271,"")</f>
        <v/>
      </c>
      <c r="J277" s="27" t="str">
        <f>IF('Paste Here'!$E271&lt;&gt;"",'Paste Here'!$E271,"")</f>
        <v/>
      </c>
      <c r="K277" s="16" t="str">
        <f>IF('Paste Here'!$F271&lt;&gt;"",'Paste Here'!$F271,"")</f>
        <v/>
      </c>
      <c r="L277" s="16" t="str">
        <f>IF('Paste Here'!$G271&lt;&gt;"",'Paste Here'!$G271,"")</f>
        <v/>
      </c>
      <c r="M277" s="18" t="str">
        <f t="shared" si="9"/>
        <v/>
      </c>
    </row>
    <row r="278" spans="1:13" s="17" customFormat="1" x14ac:dyDescent="0.25">
      <c r="A278" s="16" t="str">
        <f>IF(URN&lt;&gt;"",_xll.mdValue("Resident",_xlnm.Database,$F278),"")</f>
        <v/>
      </c>
      <c r="B278" s="16" t="str">
        <f>IF(PersonId&lt;&gt;"",_xll.mdValue("Resident First Name",_xlnm.Database,$A$8),"")</f>
        <v/>
      </c>
      <c r="C278" s="16" t="str">
        <f>IF(PersonId&lt;&gt;"",_xll.mdValue("Resident Last Name",_xlnm.Database,$A$8),"")</f>
        <v/>
      </c>
      <c r="D278" s="16" t="str">
        <f>IF(PersonId&lt;&gt;"",_xll.mdValue("Person Accomodation Code",_xlnm.Database,$A278),"")</f>
        <v/>
      </c>
      <c r="E278" s="28" t="str">
        <f t="shared" si="8"/>
        <v/>
      </c>
      <c r="F278" s="16" t="str">
        <f>IF('Paste Here'!$A272&lt;&gt;"",'Paste Here'!$A272,"")</f>
        <v/>
      </c>
      <c r="G278" s="16" t="str">
        <f>IF('Paste Here'!$B272&lt;&gt;"",'Paste Here'!$B272,"")</f>
        <v/>
      </c>
      <c r="H278" s="16" t="str">
        <f>IF('Paste Here'!$C272&lt;&gt;"",'Paste Here'!$C272,"")</f>
        <v/>
      </c>
      <c r="I278" s="25" t="str">
        <f>IF('Paste Here'!$D272&lt;&gt;"",'Paste Here'!$D272,"")</f>
        <v/>
      </c>
      <c r="J278" s="27" t="str">
        <f>IF('Paste Here'!$E272&lt;&gt;"",'Paste Here'!$E272,"")</f>
        <v/>
      </c>
      <c r="K278" s="16" t="str">
        <f>IF('Paste Here'!$F272&lt;&gt;"",'Paste Here'!$F272,"")</f>
        <v/>
      </c>
      <c r="L278" s="16" t="str">
        <f>IF('Paste Here'!$G272&lt;&gt;"",'Paste Here'!$G272,"")</f>
        <v/>
      </c>
      <c r="M278" s="18" t="str">
        <f t="shared" si="9"/>
        <v/>
      </c>
    </row>
    <row r="279" spans="1:13" s="17" customFormat="1" x14ac:dyDescent="0.25">
      <c r="A279" s="16" t="str">
        <f>IF(URN&lt;&gt;"",_xll.mdValue("Resident",_xlnm.Database,$F279),"")</f>
        <v/>
      </c>
      <c r="B279" s="16" t="str">
        <f>IF(PersonId&lt;&gt;"",_xll.mdValue("Resident First Name",_xlnm.Database,$A$8),"")</f>
        <v/>
      </c>
      <c r="C279" s="16" t="str">
        <f>IF(PersonId&lt;&gt;"",_xll.mdValue("Resident Last Name",_xlnm.Database,$A$8),"")</f>
        <v/>
      </c>
      <c r="D279" s="16" t="str">
        <f>IF(PersonId&lt;&gt;"",_xll.mdValue("Person Accomodation Code",_xlnm.Database,$A279),"")</f>
        <v/>
      </c>
      <c r="E279" s="28" t="str">
        <f t="shared" si="8"/>
        <v/>
      </c>
      <c r="F279" s="16" t="str">
        <f>IF('Paste Here'!$A273&lt;&gt;"",'Paste Here'!$A273,"")</f>
        <v/>
      </c>
      <c r="G279" s="16" t="str">
        <f>IF('Paste Here'!$B273&lt;&gt;"",'Paste Here'!$B273,"")</f>
        <v/>
      </c>
      <c r="H279" s="16" t="str">
        <f>IF('Paste Here'!$C273&lt;&gt;"",'Paste Here'!$C273,"")</f>
        <v/>
      </c>
      <c r="I279" s="25" t="str">
        <f>IF('Paste Here'!$D273&lt;&gt;"",'Paste Here'!$D273,"")</f>
        <v/>
      </c>
      <c r="J279" s="27" t="str">
        <f>IF('Paste Here'!$E273&lt;&gt;"",'Paste Here'!$E273,"")</f>
        <v/>
      </c>
      <c r="K279" s="16" t="str">
        <f>IF('Paste Here'!$F273&lt;&gt;"",'Paste Here'!$F273,"")</f>
        <v/>
      </c>
      <c r="L279" s="16" t="str">
        <f>IF('Paste Here'!$G273&lt;&gt;"",'Paste Here'!$G273,"")</f>
        <v/>
      </c>
      <c r="M279" s="18" t="str">
        <f t="shared" si="9"/>
        <v/>
      </c>
    </row>
    <row r="280" spans="1:13" s="17" customFormat="1" x14ac:dyDescent="0.25">
      <c r="A280" s="16" t="str">
        <f>IF(URN&lt;&gt;"",_xll.mdValue("Resident",_xlnm.Database,$F280),"")</f>
        <v/>
      </c>
      <c r="B280" s="16" t="str">
        <f>IF(PersonId&lt;&gt;"",_xll.mdValue("Resident First Name",_xlnm.Database,$A$8),"")</f>
        <v/>
      </c>
      <c r="C280" s="16" t="str">
        <f>IF(PersonId&lt;&gt;"",_xll.mdValue("Resident Last Name",_xlnm.Database,$A$8),"")</f>
        <v/>
      </c>
      <c r="D280" s="16" t="str">
        <f>IF(PersonId&lt;&gt;"",_xll.mdValue("Person Accomodation Code",_xlnm.Database,$A280),"")</f>
        <v/>
      </c>
      <c r="E280" s="28" t="str">
        <f t="shared" si="8"/>
        <v/>
      </c>
      <c r="F280" s="16" t="str">
        <f>IF('Paste Here'!$A274&lt;&gt;"",'Paste Here'!$A274,"")</f>
        <v/>
      </c>
      <c r="G280" s="16" t="str">
        <f>IF('Paste Here'!$B274&lt;&gt;"",'Paste Here'!$B274,"")</f>
        <v/>
      </c>
      <c r="H280" s="16" t="str">
        <f>IF('Paste Here'!$C274&lt;&gt;"",'Paste Here'!$C274,"")</f>
        <v/>
      </c>
      <c r="I280" s="25" t="str">
        <f>IF('Paste Here'!$D274&lt;&gt;"",'Paste Here'!$D274,"")</f>
        <v/>
      </c>
      <c r="J280" s="27" t="str">
        <f>IF('Paste Here'!$E274&lt;&gt;"",'Paste Here'!$E274,"")</f>
        <v/>
      </c>
      <c r="K280" s="16" t="str">
        <f>IF('Paste Here'!$F274&lt;&gt;"",'Paste Here'!$F274,"")</f>
        <v/>
      </c>
      <c r="L280" s="16" t="str">
        <f>IF('Paste Here'!$G274&lt;&gt;"",'Paste Here'!$G274,"")</f>
        <v/>
      </c>
      <c r="M280" s="18" t="str">
        <f t="shared" si="9"/>
        <v/>
      </c>
    </row>
    <row r="281" spans="1:13" s="17" customFormat="1" x14ac:dyDescent="0.25">
      <c r="A281" s="16" t="str">
        <f>IF(URN&lt;&gt;"",_xll.mdValue("Resident",_xlnm.Database,$F281),"")</f>
        <v/>
      </c>
      <c r="B281" s="16" t="str">
        <f>IF(PersonId&lt;&gt;"",_xll.mdValue("Resident First Name",_xlnm.Database,$A$8),"")</f>
        <v/>
      </c>
      <c r="C281" s="16" t="str">
        <f>IF(PersonId&lt;&gt;"",_xll.mdValue("Resident Last Name",_xlnm.Database,$A$8),"")</f>
        <v/>
      </c>
      <c r="D281" s="16" t="str">
        <f>IF(PersonId&lt;&gt;"",_xll.mdValue("Person Accomodation Code",_xlnm.Database,$A281),"")</f>
        <v/>
      </c>
      <c r="E281" s="28" t="str">
        <f t="shared" si="8"/>
        <v/>
      </c>
      <c r="F281" s="16" t="str">
        <f>IF('Paste Here'!$A275&lt;&gt;"",'Paste Here'!$A275,"")</f>
        <v/>
      </c>
      <c r="G281" s="16" t="str">
        <f>IF('Paste Here'!$B275&lt;&gt;"",'Paste Here'!$B275,"")</f>
        <v/>
      </c>
      <c r="H281" s="16" t="str">
        <f>IF('Paste Here'!$C275&lt;&gt;"",'Paste Here'!$C275,"")</f>
        <v/>
      </c>
      <c r="I281" s="25" t="str">
        <f>IF('Paste Here'!$D275&lt;&gt;"",'Paste Here'!$D275,"")</f>
        <v/>
      </c>
      <c r="J281" s="27" t="str">
        <f>IF('Paste Here'!$E275&lt;&gt;"",'Paste Here'!$E275,"")</f>
        <v/>
      </c>
      <c r="K281" s="16" t="str">
        <f>IF('Paste Here'!$F275&lt;&gt;"",'Paste Here'!$F275,"")</f>
        <v/>
      </c>
      <c r="L281" s="16" t="str">
        <f>IF('Paste Here'!$G275&lt;&gt;"",'Paste Here'!$G275,"")</f>
        <v/>
      </c>
      <c r="M281" s="18" t="str">
        <f t="shared" si="9"/>
        <v/>
      </c>
    </row>
    <row r="282" spans="1:13" s="17" customFormat="1" x14ac:dyDescent="0.25">
      <c r="A282" s="16" t="str">
        <f>IF(URN&lt;&gt;"",_xll.mdValue("Resident",_xlnm.Database,$F282),"")</f>
        <v/>
      </c>
      <c r="B282" s="16" t="str">
        <f>IF(PersonId&lt;&gt;"",_xll.mdValue("Resident First Name",_xlnm.Database,$A$8),"")</f>
        <v/>
      </c>
      <c r="C282" s="16" t="str">
        <f>IF(PersonId&lt;&gt;"",_xll.mdValue("Resident Last Name",_xlnm.Database,$A$8),"")</f>
        <v/>
      </c>
      <c r="D282" s="16" t="str">
        <f>IF(PersonId&lt;&gt;"",_xll.mdValue("Person Accomodation Code",_xlnm.Database,$A282),"")</f>
        <v/>
      </c>
      <c r="E282" s="28" t="str">
        <f t="shared" si="8"/>
        <v/>
      </c>
      <c r="F282" s="16" t="str">
        <f>IF('Paste Here'!$A276&lt;&gt;"",'Paste Here'!$A276,"")</f>
        <v/>
      </c>
      <c r="G282" s="16" t="str">
        <f>IF('Paste Here'!$B276&lt;&gt;"",'Paste Here'!$B276,"")</f>
        <v/>
      </c>
      <c r="H282" s="16" t="str">
        <f>IF('Paste Here'!$C276&lt;&gt;"",'Paste Here'!$C276,"")</f>
        <v/>
      </c>
      <c r="I282" s="25" t="str">
        <f>IF('Paste Here'!$D276&lt;&gt;"",'Paste Here'!$D276,"")</f>
        <v/>
      </c>
      <c r="J282" s="27" t="str">
        <f>IF('Paste Here'!$E276&lt;&gt;"",'Paste Here'!$E276,"")</f>
        <v/>
      </c>
      <c r="K282" s="16" t="str">
        <f>IF('Paste Here'!$F276&lt;&gt;"",'Paste Here'!$F276,"")</f>
        <v/>
      </c>
      <c r="L282" s="16" t="str">
        <f>IF('Paste Here'!$G276&lt;&gt;"",'Paste Here'!$G276,"")</f>
        <v/>
      </c>
      <c r="M282" s="18" t="str">
        <f t="shared" si="9"/>
        <v/>
      </c>
    </row>
    <row r="283" spans="1:13" s="17" customFormat="1" x14ac:dyDescent="0.25">
      <c r="A283" s="16" t="str">
        <f>IF(URN&lt;&gt;"",_xll.mdValue("Resident",_xlnm.Database,$F283),"")</f>
        <v/>
      </c>
      <c r="B283" s="16" t="str">
        <f>IF(PersonId&lt;&gt;"",_xll.mdValue("Resident First Name",_xlnm.Database,$A$8),"")</f>
        <v/>
      </c>
      <c r="C283" s="16" t="str">
        <f>IF(PersonId&lt;&gt;"",_xll.mdValue("Resident Last Name",_xlnm.Database,$A$8),"")</f>
        <v/>
      </c>
      <c r="D283" s="16" t="str">
        <f>IF(PersonId&lt;&gt;"",_xll.mdValue("Person Accomodation Code",_xlnm.Database,$A283),"")</f>
        <v/>
      </c>
      <c r="E283" s="28" t="str">
        <f t="shared" si="8"/>
        <v/>
      </c>
      <c r="F283" s="16" t="str">
        <f>IF('Paste Here'!$A277&lt;&gt;"",'Paste Here'!$A277,"")</f>
        <v/>
      </c>
      <c r="G283" s="16" t="str">
        <f>IF('Paste Here'!$B277&lt;&gt;"",'Paste Here'!$B277,"")</f>
        <v/>
      </c>
      <c r="H283" s="16" t="str">
        <f>IF('Paste Here'!$C277&lt;&gt;"",'Paste Here'!$C277,"")</f>
        <v/>
      </c>
      <c r="I283" s="25" t="str">
        <f>IF('Paste Here'!$D277&lt;&gt;"",'Paste Here'!$D277,"")</f>
        <v/>
      </c>
      <c r="J283" s="27" t="str">
        <f>IF('Paste Here'!$E277&lt;&gt;"",'Paste Here'!$E277,"")</f>
        <v/>
      </c>
      <c r="K283" s="16" t="str">
        <f>IF('Paste Here'!$F277&lt;&gt;"",'Paste Here'!$F277,"")</f>
        <v/>
      </c>
      <c r="L283" s="16" t="str">
        <f>IF('Paste Here'!$G277&lt;&gt;"",'Paste Here'!$G277,"")</f>
        <v/>
      </c>
      <c r="M283" s="18" t="str">
        <f t="shared" si="9"/>
        <v/>
      </c>
    </row>
    <row r="284" spans="1:13" s="17" customFormat="1" x14ac:dyDescent="0.25">
      <c r="A284" s="16" t="str">
        <f>IF(URN&lt;&gt;"",_xll.mdValue("Resident",_xlnm.Database,$F284),"")</f>
        <v/>
      </c>
      <c r="B284" s="16" t="str">
        <f>IF(PersonId&lt;&gt;"",_xll.mdValue("Resident First Name",_xlnm.Database,$A$8),"")</f>
        <v/>
      </c>
      <c r="C284" s="16" t="str">
        <f>IF(PersonId&lt;&gt;"",_xll.mdValue("Resident Last Name",_xlnm.Database,$A$8),"")</f>
        <v/>
      </c>
      <c r="D284" s="16" t="str">
        <f>IF(PersonId&lt;&gt;"",_xll.mdValue("Person Accomodation Code",_xlnm.Database,$A284),"")</f>
        <v/>
      </c>
      <c r="E284" s="28" t="str">
        <f t="shared" si="8"/>
        <v/>
      </c>
      <c r="F284" s="16" t="str">
        <f>IF('Paste Here'!$A278&lt;&gt;"",'Paste Here'!$A278,"")</f>
        <v/>
      </c>
      <c r="G284" s="16" t="str">
        <f>IF('Paste Here'!$B278&lt;&gt;"",'Paste Here'!$B278,"")</f>
        <v/>
      </c>
      <c r="H284" s="16" t="str">
        <f>IF('Paste Here'!$C278&lt;&gt;"",'Paste Here'!$C278,"")</f>
        <v/>
      </c>
      <c r="I284" s="25" t="str">
        <f>IF('Paste Here'!$D278&lt;&gt;"",'Paste Here'!$D278,"")</f>
        <v/>
      </c>
      <c r="J284" s="27" t="str">
        <f>IF('Paste Here'!$E278&lt;&gt;"",'Paste Here'!$E278,"")</f>
        <v/>
      </c>
      <c r="K284" s="16" t="str">
        <f>IF('Paste Here'!$F278&lt;&gt;"",'Paste Here'!$F278,"")</f>
        <v/>
      </c>
      <c r="L284" s="16" t="str">
        <f>IF('Paste Here'!$G278&lt;&gt;"",'Paste Here'!$G278,"")</f>
        <v/>
      </c>
      <c r="M284" s="18" t="str">
        <f t="shared" si="9"/>
        <v/>
      </c>
    </row>
    <row r="285" spans="1:13" s="17" customFormat="1" x14ac:dyDescent="0.25">
      <c r="A285" s="16" t="str">
        <f>IF(URN&lt;&gt;"",_xll.mdValue("Resident",_xlnm.Database,$F285),"")</f>
        <v/>
      </c>
      <c r="B285" s="16" t="str">
        <f>IF(PersonId&lt;&gt;"",_xll.mdValue("Resident First Name",_xlnm.Database,$A$8),"")</f>
        <v/>
      </c>
      <c r="C285" s="16" t="str">
        <f>IF(PersonId&lt;&gt;"",_xll.mdValue("Resident Last Name",_xlnm.Database,$A$8),"")</f>
        <v/>
      </c>
      <c r="D285" s="16" t="str">
        <f>IF(PersonId&lt;&gt;"",_xll.mdValue("Person Accomodation Code",_xlnm.Database,$A285),"")</f>
        <v/>
      </c>
      <c r="E285" s="28" t="str">
        <f t="shared" si="8"/>
        <v/>
      </c>
      <c r="F285" s="16" t="str">
        <f>IF('Paste Here'!$A279&lt;&gt;"",'Paste Here'!$A279,"")</f>
        <v/>
      </c>
      <c r="G285" s="16" t="str">
        <f>IF('Paste Here'!$B279&lt;&gt;"",'Paste Here'!$B279,"")</f>
        <v/>
      </c>
      <c r="H285" s="16" t="str">
        <f>IF('Paste Here'!$C279&lt;&gt;"",'Paste Here'!$C279,"")</f>
        <v/>
      </c>
      <c r="I285" s="25" t="str">
        <f>IF('Paste Here'!$D279&lt;&gt;"",'Paste Here'!$D279,"")</f>
        <v/>
      </c>
      <c r="J285" s="27" t="str">
        <f>IF('Paste Here'!$E279&lt;&gt;"",'Paste Here'!$E279,"")</f>
        <v/>
      </c>
      <c r="K285" s="16" t="str">
        <f>IF('Paste Here'!$F279&lt;&gt;"",'Paste Here'!$F279,"")</f>
        <v/>
      </c>
      <c r="L285" s="16" t="str">
        <f>IF('Paste Here'!$G279&lt;&gt;"",'Paste Here'!$G279,"")</f>
        <v/>
      </c>
      <c r="M285" s="18" t="str">
        <f t="shared" si="9"/>
        <v/>
      </c>
    </row>
    <row r="286" spans="1:13" s="17" customFormat="1" x14ac:dyDescent="0.25">
      <c r="A286" s="16" t="str">
        <f>IF(URN&lt;&gt;"",_xll.mdValue("Resident",_xlnm.Database,$F286),"")</f>
        <v/>
      </c>
      <c r="B286" s="16" t="str">
        <f>IF(PersonId&lt;&gt;"",_xll.mdValue("Resident First Name",_xlnm.Database,$A$8),"")</f>
        <v/>
      </c>
      <c r="C286" s="16" t="str">
        <f>IF(PersonId&lt;&gt;"",_xll.mdValue("Resident Last Name",_xlnm.Database,$A$8),"")</f>
        <v/>
      </c>
      <c r="D286" s="16" t="str">
        <f>IF(PersonId&lt;&gt;"",_xll.mdValue("Person Accomodation Code",_xlnm.Database,$A286),"")</f>
        <v/>
      </c>
      <c r="E286" s="28" t="str">
        <f t="shared" si="8"/>
        <v/>
      </c>
      <c r="F286" s="16" t="str">
        <f>IF('Paste Here'!$A280&lt;&gt;"",'Paste Here'!$A280,"")</f>
        <v/>
      </c>
      <c r="G286" s="16" t="str">
        <f>IF('Paste Here'!$B280&lt;&gt;"",'Paste Here'!$B280,"")</f>
        <v/>
      </c>
      <c r="H286" s="16" t="str">
        <f>IF('Paste Here'!$C280&lt;&gt;"",'Paste Here'!$C280,"")</f>
        <v/>
      </c>
      <c r="I286" s="25" t="str">
        <f>IF('Paste Here'!$D280&lt;&gt;"",'Paste Here'!$D280,"")</f>
        <v/>
      </c>
      <c r="J286" s="27" t="str">
        <f>IF('Paste Here'!$E280&lt;&gt;"",'Paste Here'!$E280,"")</f>
        <v/>
      </c>
      <c r="K286" s="16" t="str">
        <f>IF('Paste Here'!$F280&lt;&gt;"",'Paste Here'!$F280,"")</f>
        <v/>
      </c>
      <c r="L286" s="16" t="str">
        <f>IF('Paste Here'!$G280&lt;&gt;"",'Paste Here'!$G280,"")</f>
        <v/>
      </c>
      <c r="M286" s="18" t="str">
        <f t="shared" si="9"/>
        <v/>
      </c>
    </row>
    <row r="287" spans="1:13" s="17" customFormat="1" x14ac:dyDescent="0.25">
      <c r="A287" s="16" t="str">
        <f>IF(URN&lt;&gt;"",_xll.mdValue("Resident",_xlnm.Database,$F287),"")</f>
        <v/>
      </c>
      <c r="B287" s="16" t="str">
        <f>IF(PersonId&lt;&gt;"",_xll.mdValue("Resident First Name",_xlnm.Database,$A$8),"")</f>
        <v/>
      </c>
      <c r="C287" s="16" t="str">
        <f>IF(PersonId&lt;&gt;"",_xll.mdValue("Resident Last Name",_xlnm.Database,$A$8),"")</f>
        <v/>
      </c>
      <c r="D287" s="16" t="str">
        <f>IF(PersonId&lt;&gt;"",_xll.mdValue("Person Accomodation Code",_xlnm.Database,$A287),"")</f>
        <v/>
      </c>
      <c r="E287" s="28" t="str">
        <f t="shared" si="8"/>
        <v/>
      </c>
      <c r="F287" s="16" t="str">
        <f>IF('Paste Here'!$A281&lt;&gt;"",'Paste Here'!$A281,"")</f>
        <v/>
      </c>
      <c r="G287" s="16" t="str">
        <f>IF('Paste Here'!$B281&lt;&gt;"",'Paste Here'!$B281,"")</f>
        <v/>
      </c>
      <c r="H287" s="16" t="str">
        <f>IF('Paste Here'!$C281&lt;&gt;"",'Paste Here'!$C281,"")</f>
        <v/>
      </c>
      <c r="I287" s="25" t="str">
        <f>IF('Paste Here'!$D281&lt;&gt;"",'Paste Here'!$D281,"")</f>
        <v/>
      </c>
      <c r="J287" s="27" t="str">
        <f>IF('Paste Here'!$E281&lt;&gt;"",'Paste Here'!$E281,"")</f>
        <v/>
      </c>
      <c r="K287" s="16" t="str">
        <f>IF('Paste Here'!$F281&lt;&gt;"",'Paste Here'!$F281,"")</f>
        <v/>
      </c>
      <c r="L287" s="16" t="str">
        <f>IF('Paste Here'!$G281&lt;&gt;"",'Paste Here'!$G281,"")</f>
        <v/>
      </c>
      <c r="M287" s="18" t="str">
        <f t="shared" si="9"/>
        <v/>
      </c>
    </row>
    <row r="288" spans="1:13" s="17" customFormat="1" x14ac:dyDescent="0.25">
      <c r="A288" s="16" t="str">
        <f>IF(URN&lt;&gt;"",_xll.mdValue("Resident",_xlnm.Database,$F288),"")</f>
        <v/>
      </c>
      <c r="B288" s="16" t="str">
        <f>IF(PersonId&lt;&gt;"",_xll.mdValue("Resident First Name",_xlnm.Database,$A$8),"")</f>
        <v/>
      </c>
      <c r="C288" s="16" t="str">
        <f>IF(PersonId&lt;&gt;"",_xll.mdValue("Resident Last Name",_xlnm.Database,$A$8),"")</f>
        <v/>
      </c>
      <c r="D288" s="16" t="str">
        <f>IF(PersonId&lt;&gt;"",_xll.mdValue("Person Accomodation Code",_xlnm.Database,$A288),"")</f>
        <v/>
      </c>
      <c r="E288" s="28" t="str">
        <f t="shared" si="8"/>
        <v/>
      </c>
      <c r="F288" s="16" t="str">
        <f>IF('Paste Here'!$A282&lt;&gt;"",'Paste Here'!$A282,"")</f>
        <v/>
      </c>
      <c r="G288" s="16" t="str">
        <f>IF('Paste Here'!$B282&lt;&gt;"",'Paste Here'!$B282,"")</f>
        <v/>
      </c>
      <c r="H288" s="16" t="str">
        <f>IF('Paste Here'!$C282&lt;&gt;"",'Paste Here'!$C282,"")</f>
        <v/>
      </c>
      <c r="I288" s="25" t="str">
        <f>IF('Paste Here'!$D282&lt;&gt;"",'Paste Here'!$D282,"")</f>
        <v/>
      </c>
      <c r="J288" s="27" t="str">
        <f>IF('Paste Here'!$E282&lt;&gt;"",'Paste Here'!$E282,"")</f>
        <v/>
      </c>
      <c r="K288" s="16" t="str">
        <f>IF('Paste Here'!$F282&lt;&gt;"",'Paste Here'!$F282,"")</f>
        <v/>
      </c>
      <c r="L288" s="16" t="str">
        <f>IF('Paste Here'!$G282&lt;&gt;"",'Paste Here'!$G282,"")</f>
        <v/>
      </c>
      <c r="M288" s="18" t="str">
        <f t="shared" si="9"/>
        <v/>
      </c>
    </row>
    <row r="289" spans="1:13" s="17" customFormat="1" x14ac:dyDescent="0.25">
      <c r="A289" s="16" t="str">
        <f>IF(URN&lt;&gt;"",_xll.mdValue("Resident",_xlnm.Database,$F289),"")</f>
        <v/>
      </c>
      <c r="B289" s="16" t="str">
        <f>IF(PersonId&lt;&gt;"",_xll.mdValue("Resident First Name",_xlnm.Database,$A$8),"")</f>
        <v/>
      </c>
      <c r="C289" s="16" t="str">
        <f>IF(PersonId&lt;&gt;"",_xll.mdValue("Resident Last Name",_xlnm.Database,$A$8),"")</f>
        <v/>
      </c>
      <c r="D289" s="16" t="str">
        <f>IF(PersonId&lt;&gt;"",_xll.mdValue("Person Accomodation Code",_xlnm.Database,$A289),"")</f>
        <v/>
      </c>
      <c r="E289" s="28" t="str">
        <f t="shared" si="8"/>
        <v/>
      </c>
      <c r="F289" s="16" t="str">
        <f>IF('Paste Here'!$A283&lt;&gt;"",'Paste Here'!$A283,"")</f>
        <v/>
      </c>
      <c r="G289" s="16" t="str">
        <f>IF('Paste Here'!$B283&lt;&gt;"",'Paste Here'!$B283,"")</f>
        <v/>
      </c>
      <c r="H289" s="16" t="str">
        <f>IF('Paste Here'!$C283&lt;&gt;"",'Paste Here'!$C283,"")</f>
        <v/>
      </c>
      <c r="I289" s="25" t="str">
        <f>IF('Paste Here'!$D283&lt;&gt;"",'Paste Here'!$D283,"")</f>
        <v/>
      </c>
      <c r="J289" s="27" t="str">
        <f>IF('Paste Here'!$E283&lt;&gt;"",'Paste Here'!$E283,"")</f>
        <v/>
      </c>
      <c r="K289" s="16" t="str">
        <f>IF('Paste Here'!$F283&lt;&gt;"",'Paste Here'!$F283,"")</f>
        <v/>
      </c>
      <c r="L289" s="16" t="str">
        <f>IF('Paste Here'!$G283&lt;&gt;"",'Paste Here'!$G283,"")</f>
        <v/>
      </c>
      <c r="M289" s="18" t="str">
        <f t="shared" si="9"/>
        <v/>
      </c>
    </row>
    <row r="290" spans="1:13" s="17" customFormat="1" x14ac:dyDescent="0.25">
      <c r="A290" s="16" t="str">
        <f>IF(URN&lt;&gt;"",_xll.mdValue("Resident",_xlnm.Database,$F290),"")</f>
        <v/>
      </c>
      <c r="B290" s="16" t="str">
        <f>IF(PersonId&lt;&gt;"",_xll.mdValue("Resident First Name",_xlnm.Database,$A$8),"")</f>
        <v/>
      </c>
      <c r="C290" s="16" t="str">
        <f>IF(PersonId&lt;&gt;"",_xll.mdValue("Resident Last Name",_xlnm.Database,$A$8),"")</f>
        <v/>
      </c>
      <c r="D290" s="16" t="str">
        <f>IF(PersonId&lt;&gt;"",_xll.mdValue("Person Accomodation Code",_xlnm.Database,$A290),"")</f>
        <v/>
      </c>
      <c r="E290" s="28" t="str">
        <f t="shared" si="8"/>
        <v/>
      </c>
      <c r="F290" s="16" t="str">
        <f>IF('Paste Here'!$A284&lt;&gt;"",'Paste Here'!$A284,"")</f>
        <v/>
      </c>
      <c r="G290" s="16" t="str">
        <f>IF('Paste Here'!$B284&lt;&gt;"",'Paste Here'!$B284,"")</f>
        <v/>
      </c>
      <c r="H290" s="16" t="str">
        <f>IF('Paste Here'!$C284&lt;&gt;"",'Paste Here'!$C284,"")</f>
        <v/>
      </c>
      <c r="I290" s="25" t="str">
        <f>IF('Paste Here'!$D284&lt;&gt;"",'Paste Here'!$D284,"")</f>
        <v/>
      </c>
      <c r="J290" s="27" t="str">
        <f>IF('Paste Here'!$E284&lt;&gt;"",'Paste Here'!$E284,"")</f>
        <v/>
      </c>
      <c r="K290" s="16" t="str">
        <f>IF('Paste Here'!$F284&lt;&gt;"",'Paste Here'!$F284,"")</f>
        <v/>
      </c>
      <c r="L290" s="16" t="str">
        <f>IF('Paste Here'!$G284&lt;&gt;"",'Paste Here'!$G284,"")</f>
        <v/>
      </c>
      <c r="M290" s="18" t="str">
        <f t="shared" si="9"/>
        <v/>
      </c>
    </row>
    <row r="291" spans="1:13" s="17" customFormat="1" x14ac:dyDescent="0.25">
      <c r="A291" s="16" t="str">
        <f>IF(URN&lt;&gt;"",_xll.mdValue("Resident",_xlnm.Database,$F291),"")</f>
        <v/>
      </c>
      <c r="B291" s="16" t="str">
        <f>IF(PersonId&lt;&gt;"",_xll.mdValue("Resident First Name",_xlnm.Database,$A$8),"")</f>
        <v/>
      </c>
      <c r="C291" s="16" t="str">
        <f>IF(PersonId&lt;&gt;"",_xll.mdValue("Resident Last Name",_xlnm.Database,$A$8),"")</f>
        <v/>
      </c>
      <c r="D291" s="16" t="str">
        <f>IF(PersonId&lt;&gt;"",_xll.mdValue("Person Accomodation Code",_xlnm.Database,$A291),"")</f>
        <v/>
      </c>
      <c r="E291" s="28" t="str">
        <f t="shared" si="8"/>
        <v/>
      </c>
      <c r="F291" s="16" t="str">
        <f>IF('Paste Here'!$A285&lt;&gt;"",'Paste Here'!$A285,"")</f>
        <v/>
      </c>
      <c r="G291" s="16" t="str">
        <f>IF('Paste Here'!$B285&lt;&gt;"",'Paste Here'!$B285,"")</f>
        <v/>
      </c>
      <c r="H291" s="16" t="str">
        <f>IF('Paste Here'!$C285&lt;&gt;"",'Paste Here'!$C285,"")</f>
        <v/>
      </c>
      <c r="I291" s="25" t="str">
        <f>IF('Paste Here'!$D285&lt;&gt;"",'Paste Here'!$D285,"")</f>
        <v/>
      </c>
      <c r="J291" s="27" t="str">
        <f>IF('Paste Here'!$E285&lt;&gt;"",'Paste Here'!$E285,"")</f>
        <v/>
      </c>
      <c r="K291" s="16" t="str">
        <f>IF('Paste Here'!$F285&lt;&gt;"",'Paste Here'!$F285,"")</f>
        <v/>
      </c>
      <c r="L291" s="16" t="str">
        <f>IF('Paste Here'!$G285&lt;&gt;"",'Paste Here'!$G285,"")</f>
        <v/>
      </c>
      <c r="M291" s="18" t="str">
        <f t="shared" si="9"/>
        <v/>
      </c>
    </row>
    <row r="292" spans="1:13" s="17" customFormat="1" x14ac:dyDescent="0.25">
      <c r="A292" s="16" t="str">
        <f>IF(URN&lt;&gt;"",_xll.mdValue("Resident",_xlnm.Database,$F292),"")</f>
        <v/>
      </c>
      <c r="B292" s="16" t="str">
        <f>IF(PersonId&lt;&gt;"",_xll.mdValue("Resident First Name",_xlnm.Database,$A$8),"")</f>
        <v/>
      </c>
      <c r="C292" s="16" t="str">
        <f>IF(PersonId&lt;&gt;"",_xll.mdValue("Resident Last Name",_xlnm.Database,$A$8),"")</f>
        <v/>
      </c>
      <c r="D292" s="16" t="str">
        <f>IF(PersonId&lt;&gt;"",_xll.mdValue("Person Accomodation Code",_xlnm.Database,$A292),"")</f>
        <v/>
      </c>
      <c r="E292" s="28" t="str">
        <f t="shared" si="8"/>
        <v/>
      </c>
      <c r="F292" s="16" t="str">
        <f>IF('Paste Here'!$A286&lt;&gt;"",'Paste Here'!$A286,"")</f>
        <v/>
      </c>
      <c r="G292" s="16" t="str">
        <f>IF('Paste Here'!$B286&lt;&gt;"",'Paste Here'!$B286,"")</f>
        <v/>
      </c>
      <c r="H292" s="16" t="str">
        <f>IF('Paste Here'!$C286&lt;&gt;"",'Paste Here'!$C286,"")</f>
        <v/>
      </c>
      <c r="I292" s="25" t="str">
        <f>IF('Paste Here'!$D286&lt;&gt;"",'Paste Here'!$D286,"")</f>
        <v/>
      </c>
      <c r="J292" s="27" t="str">
        <f>IF('Paste Here'!$E286&lt;&gt;"",'Paste Here'!$E286,"")</f>
        <v/>
      </c>
      <c r="K292" s="16" t="str">
        <f>IF('Paste Here'!$F286&lt;&gt;"",'Paste Here'!$F286,"")</f>
        <v/>
      </c>
      <c r="L292" s="16" t="str">
        <f>IF('Paste Here'!$G286&lt;&gt;"",'Paste Here'!$G286,"")</f>
        <v/>
      </c>
      <c r="M292" s="18" t="str">
        <f t="shared" si="9"/>
        <v/>
      </c>
    </row>
    <row r="293" spans="1:13" s="17" customFormat="1" x14ac:dyDescent="0.25">
      <c r="A293" s="16" t="str">
        <f>IF(URN&lt;&gt;"",_xll.mdValue("Resident",_xlnm.Database,$F293),"")</f>
        <v/>
      </c>
      <c r="B293" s="16" t="str">
        <f>IF(PersonId&lt;&gt;"",_xll.mdValue("Resident First Name",_xlnm.Database,$A$8),"")</f>
        <v/>
      </c>
      <c r="C293" s="16" t="str">
        <f>IF(PersonId&lt;&gt;"",_xll.mdValue("Resident Last Name",_xlnm.Database,$A$8),"")</f>
        <v/>
      </c>
      <c r="D293" s="16" t="str">
        <f>IF(PersonId&lt;&gt;"",_xll.mdValue("Person Accomodation Code",_xlnm.Database,$A293),"")</f>
        <v/>
      </c>
      <c r="E293" s="28" t="str">
        <f t="shared" si="8"/>
        <v/>
      </c>
      <c r="F293" s="16" t="str">
        <f>IF('Paste Here'!$A287&lt;&gt;"",'Paste Here'!$A287,"")</f>
        <v/>
      </c>
      <c r="G293" s="16" t="str">
        <f>IF('Paste Here'!$B287&lt;&gt;"",'Paste Here'!$B287,"")</f>
        <v/>
      </c>
      <c r="H293" s="16" t="str">
        <f>IF('Paste Here'!$C287&lt;&gt;"",'Paste Here'!$C287,"")</f>
        <v/>
      </c>
      <c r="I293" s="25" t="str">
        <f>IF('Paste Here'!$D287&lt;&gt;"",'Paste Here'!$D287,"")</f>
        <v/>
      </c>
      <c r="J293" s="27" t="str">
        <f>IF('Paste Here'!$E287&lt;&gt;"",'Paste Here'!$E287,"")</f>
        <v/>
      </c>
      <c r="K293" s="16" t="str">
        <f>IF('Paste Here'!$F287&lt;&gt;"",'Paste Here'!$F287,"")</f>
        <v/>
      </c>
      <c r="L293" s="16" t="str">
        <f>IF('Paste Here'!$G287&lt;&gt;"",'Paste Here'!$G287,"")</f>
        <v/>
      </c>
      <c r="M293" s="18" t="str">
        <f t="shared" si="9"/>
        <v/>
      </c>
    </row>
    <row r="294" spans="1:13" s="17" customFormat="1" x14ac:dyDescent="0.25">
      <c r="A294" s="16" t="str">
        <f>IF(URN&lt;&gt;"",_xll.mdValue("Resident",_xlnm.Database,$F294),"")</f>
        <v/>
      </c>
      <c r="B294" s="16" t="str">
        <f>IF(PersonId&lt;&gt;"",_xll.mdValue("Resident First Name",_xlnm.Database,$A$8),"")</f>
        <v/>
      </c>
      <c r="C294" s="16" t="str">
        <f>IF(PersonId&lt;&gt;"",_xll.mdValue("Resident Last Name",_xlnm.Database,$A$8),"")</f>
        <v/>
      </c>
      <c r="D294" s="16" t="str">
        <f>IF(PersonId&lt;&gt;"",_xll.mdValue("Person Accomodation Code",_xlnm.Database,$A294),"")</f>
        <v/>
      </c>
      <c r="E294" s="28" t="str">
        <f t="shared" si="8"/>
        <v/>
      </c>
      <c r="F294" s="16" t="str">
        <f>IF('Paste Here'!$A288&lt;&gt;"",'Paste Here'!$A288,"")</f>
        <v/>
      </c>
      <c r="G294" s="16" t="str">
        <f>IF('Paste Here'!$B288&lt;&gt;"",'Paste Here'!$B288,"")</f>
        <v/>
      </c>
      <c r="H294" s="16" t="str">
        <f>IF('Paste Here'!$C288&lt;&gt;"",'Paste Here'!$C288,"")</f>
        <v/>
      </c>
      <c r="I294" s="25" t="str">
        <f>IF('Paste Here'!$D288&lt;&gt;"",'Paste Here'!$D288,"")</f>
        <v/>
      </c>
      <c r="J294" s="27" t="str">
        <f>IF('Paste Here'!$E288&lt;&gt;"",'Paste Here'!$E288,"")</f>
        <v/>
      </c>
      <c r="K294" s="16" t="str">
        <f>IF('Paste Here'!$F288&lt;&gt;"",'Paste Here'!$F288,"")</f>
        <v/>
      </c>
      <c r="L294" s="16" t="str">
        <f>IF('Paste Here'!$G288&lt;&gt;"",'Paste Here'!$G288,"")</f>
        <v/>
      </c>
      <c r="M294" s="18" t="str">
        <f t="shared" si="9"/>
        <v/>
      </c>
    </row>
    <row r="295" spans="1:13" s="17" customFormat="1" x14ac:dyDescent="0.25">
      <c r="A295" s="16" t="str">
        <f>IF(URN&lt;&gt;"",_xll.mdValue("Resident",_xlnm.Database,$F295),"")</f>
        <v/>
      </c>
      <c r="B295" s="16" t="str">
        <f>IF(PersonId&lt;&gt;"",_xll.mdValue("Resident First Name",_xlnm.Database,$A$8),"")</f>
        <v/>
      </c>
      <c r="C295" s="16" t="str">
        <f>IF(PersonId&lt;&gt;"",_xll.mdValue("Resident Last Name",_xlnm.Database,$A$8),"")</f>
        <v/>
      </c>
      <c r="D295" s="16" t="str">
        <f>IF(PersonId&lt;&gt;"",_xll.mdValue("Person Accomodation Code",_xlnm.Database,$A295),"")</f>
        <v/>
      </c>
      <c r="E295" s="28" t="str">
        <f t="shared" si="8"/>
        <v/>
      </c>
      <c r="F295" s="16" t="str">
        <f>IF('Paste Here'!$A289&lt;&gt;"",'Paste Here'!$A289,"")</f>
        <v/>
      </c>
      <c r="G295" s="16" t="str">
        <f>IF('Paste Here'!$B289&lt;&gt;"",'Paste Here'!$B289,"")</f>
        <v/>
      </c>
      <c r="H295" s="16" t="str">
        <f>IF('Paste Here'!$C289&lt;&gt;"",'Paste Here'!$C289,"")</f>
        <v/>
      </c>
      <c r="I295" s="25" t="str">
        <f>IF('Paste Here'!$D289&lt;&gt;"",'Paste Here'!$D289,"")</f>
        <v/>
      </c>
      <c r="J295" s="27" t="str">
        <f>IF('Paste Here'!$E289&lt;&gt;"",'Paste Here'!$E289,"")</f>
        <v/>
      </c>
      <c r="K295" s="16" t="str">
        <f>IF('Paste Here'!$F289&lt;&gt;"",'Paste Here'!$F289,"")</f>
        <v/>
      </c>
      <c r="L295" s="16" t="str">
        <f>IF('Paste Here'!$G289&lt;&gt;"",'Paste Here'!$G289,"")</f>
        <v/>
      </c>
      <c r="M295" s="18" t="str">
        <f t="shared" si="9"/>
        <v/>
      </c>
    </row>
    <row r="296" spans="1:13" s="17" customFormat="1" x14ac:dyDescent="0.25">
      <c r="A296" s="16" t="str">
        <f>IF(URN&lt;&gt;"",_xll.mdValue("Resident",_xlnm.Database,$F296),"")</f>
        <v/>
      </c>
      <c r="B296" s="16" t="str">
        <f>IF(PersonId&lt;&gt;"",_xll.mdValue("Resident First Name",_xlnm.Database,$A$8),"")</f>
        <v/>
      </c>
      <c r="C296" s="16" t="str">
        <f>IF(PersonId&lt;&gt;"",_xll.mdValue("Resident Last Name",_xlnm.Database,$A$8),"")</f>
        <v/>
      </c>
      <c r="D296" s="16" t="str">
        <f>IF(PersonId&lt;&gt;"",_xll.mdValue("Person Accomodation Code",_xlnm.Database,$A296),"")</f>
        <v/>
      </c>
      <c r="E296" s="28" t="str">
        <f t="shared" si="8"/>
        <v/>
      </c>
      <c r="F296" s="16" t="str">
        <f>IF('Paste Here'!$A290&lt;&gt;"",'Paste Here'!$A290,"")</f>
        <v/>
      </c>
      <c r="G296" s="16" t="str">
        <f>IF('Paste Here'!$B290&lt;&gt;"",'Paste Here'!$B290,"")</f>
        <v/>
      </c>
      <c r="H296" s="16" t="str">
        <f>IF('Paste Here'!$C290&lt;&gt;"",'Paste Here'!$C290,"")</f>
        <v/>
      </c>
      <c r="I296" s="25" t="str">
        <f>IF('Paste Here'!$D290&lt;&gt;"",'Paste Here'!$D290,"")</f>
        <v/>
      </c>
      <c r="J296" s="27" t="str">
        <f>IF('Paste Here'!$E290&lt;&gt;"",'Paste Here'!$E290,"")</f>
        <v/>
      </c>
      <c r="K296" s="16" t="str">
        <f>IF('Paste Here'!$F290&lt;&gt;"",'Paste Here'!$F290,"")</f>
        <v/>
      </c>
      <c r="L296" s="16" t="str">
        <f>IF('Paste Here'!$G290&lt;&gt;"",'Paste Here'!$G290,"")</f>
        <v/>
      </c>
      <c r="M296" s="18" t="str">
        <f t="shared" si="9"/>
        <v/>
      </c>
    </row>
    <row r="297" spans="1:13" s="17" customFormat="1" x14ac:dyDescent="0.25">
      <c r="A297" s="16" t="str">
        <f>IF(URN&lt;&gt;"",_xll.mdValue("Resident",_xlnm.Database,$F297),"")</f>
        <v/>
      </c>
      <c r="B297" s="16" t="str">
        <f>IF(PersonId&lt;&gt;"",_xll.mdValue("Resident First Name",_xlnm.Database,$A$8),"")</f>
        <v/>
      </c>
      <c r="C297" s="16" t="str">
        <f>IF(PersonId&lt;&gt;"",_xll.mdValue("Resident Last Name",_xlnm.Database,$A$8),"")</f>
        <v/>
      </c>
      <c r="D297" s="16" t="str">
        <f>IF(PersonId&lt;&gt;"",_xll.mdValue("Person Accomodation Code",_xlnm.Database,$A297),"")</f>
        <v/>
      </c>
      <c r="E297" s="28" t="str">
        <f t="shared" si="8"/>
        <v/>
      </c>
      <c r="F297" s="16" t="str">
        <f>IF('Paste Here'!$A291&lt;&gt;"",'Paste Here'!$A291,"")</f>
        <v/>
      </c>
      <c r="G297" s="16" t="str">
        <f>IF('Paste Here'!$B291&lt;&gt;"",'Paste Here'!$B291,"")</f>
        <v/>
      </c>
      <c r="H297" s="16" t="str">
        <f>IF('Paste Here'!$C291&lt;&gt;"",'Paste Here'!$C291,"")</f>
        <v/>
      </c>
      <c r="I297" s="25" t="str">
        <f>IF('Paste Here'!$D291&lt;&gt;"",'Paste Here'!$D291,"")</f>
        <v/>
      </c>
      <c r="J297" s="27" t="str">
        <f>IF('Paste Here'!$E291&lt;&gt;"",'Paste Here'!$E291,"")</f>
        <v/>
      </c>
      <c r="K297" s="16" t="str">
        <f>IF('Paste Here'!$F291&lt;&gt;"",'Paste Here'!$F291,"")</f>
        <v/>
      </c>
      <c r="L297" s="16" t="str">
        <f>IF('Paste Here'!$G291&lt;&gt;"",'Paste Here'!$G291,"")</f>
        <v/>
      </c>
      <c r="M297" s="18" t="str">
        <f t="shared" si="9"/>
        <v/>
      </c>
    </row>
    <row r="298" spans="1:13" s="17" customFormat="1" x14ac:dyDescent="0.25">
      <c r="A298" s="16" t="str">
        <f>IF(URN&lt;&gt;"",_xll.mdValue("Resident",_xlnm.Database,$F298),"")</f>
        <v/>
      </c>
      <c r="B298" s="16" t="str">
        <f>IF(PersonId&lt;&gt;"",_xll.mdValue("Resident First Name",_xlnm.Database,$A$8),"")</f>
        <v/>
      </c>
      <c r="C298" s="16" t="str">
        <f>IF(PersonId&lt;&gt;"",_xll.mdValue("Resident Last Name",_xlnm.Database,$A$8),"")</f>
        <v/>
      </c>
      <c r="D298" s="16" t="str">
        <f>IF(PersonId&lt;&gt;"",_xll.mdValue("Person Accomodation Code",_xlnm.Database,$A298),"")</f>
        <v/>
      </c>
      <c r="E298" s="28" t="str">
        <f t="shared" si="8"/>
        <v/>
      </c>
      <c r="F298" s="16" t="str">
        <f>IF('Paste Here'!$A292&lt;&gt;"",'Paste Here'!$A292,"")</f>
        <v/>
      </c>
      <c r="G298" s="16" t="str">
        <f>IF('Paste Here'!$B292&lt;&gt;"",'Paste Here'!$B292,"")</f>
        <v/>
      </c>
      <c r="H298" s="16" t="str">
        <f>IF('Paste Here'!$C292&lt;&gt;"",'Paste Here'!$C292,"")</f>
        <v/>
      </c>
      <c r="I298" s="25" t="str">
        <f>IF('Paste Here'!$D292&lt;&gt;"",'Paste Here'!$D292,"")</f>
        <v/>
      </c>
      <c r="J298" s="27" t="str">
        <f>IF('Paste Here'!$E292&lt;&gt;"",'Paste Here'!$E292,"")</f>
        <v/>
      </c>
      <c r="K298" s="16" t="str">
        <f>IF('Paste Here'!$F292&lt;&gt;"",'Paste Here'!$F292,"")</f>
        <v/>
      </c>
      <c r="L298" s="16" t="str">
        <f>IF('Paste Here'!$G292&lt;&gt;"",'Paste Here'!$G292,"")</f>
        <v/>
      </c>
      <c r="M298" s="18" t="str">
        <f t="shared" si="9"/>
        <v/>
      </c>
    </row>
    <row r="299" spans="1:13" s="17" customFormat="1" x14ac:dyDescent="0.25">
      <c r="A299" s="16" t="str">
        <f>IF(URN&lt;&gt;"",_xll.mdValue("Resident",_xlnm.Database,$F299),"")</f>
        <v/>
      </c>
      <c r="B299" s="16" t="str">
        <f>IF(PersonId&lt;&gt;"",_xll.mdValue("Resident First Name",_xlnm.Database,$A$8),"")</f>
        <v/>
      </c>
      <c r="C299" s="16" t="str">
        <f>IF(PersonId&lt;&gt;"",_xll.mdValue("Resident Last Name",_xlnm.Database,$A$8),"")</f>
        <v/>
      </c>
      <c r="D299" s="16" t="str">
        <f>IF(PersonId&lt;&gt;"",_xll.mdValue("Person Accomodation Code",_xlnm.Database,$A299),"")</f>
        <v/>
      </c>
      <c r="E299" s="28" t="str">
        <f t="shared" si="8"/>
        <v/>
      </c>
      <c r="F299" s="16" t="str">
        <f>IF('Paste Here'!$A293&lt;&gt;"",'Paste Here'!$A293,"")</f>
        <v/>
      </c>
      <c r="G299" s="16" t="str">
        <f>IF('Paste Here'!$B293&lt;&gt;"",'Paste Here'!$B293,"")</f>
        <v/>
      </c>
      <c r="H299" s="16" t="str">
        <f>IF('Paste Here'!$C293&lt;&gt;"",'Paste Here'!$C293,"")</f>
        <v/>
      </c>
      <c r="I299" s="25" t="str">
        <f>IF('Paste Here'!$D293&lt;&gt;"",'Paste Here'!$D293,"")</f>
        <v/>
      </c>
      <c r="J299" s="27" t="str">
        <f>IF('Paste Here'!$E293&lt;&gt;"",'Paste Here'!$E293,"")</f>
        <v/>
      </c>
      <c r="K299" s="16" t="str">
        <f>IF('Paste Here'!$F293&lt;&gt;"",'Paste Here'!$F293,"")</f>
        <v/>
      </c>
      <c r="L299" s="16" t="str">
        <f>IF('Paste Here'!$G293&lt;&gt;"",'Paste Here'!$G293,"")</f>
        <v/>
      </c>
      <c r="M299" s="18" t="str">
        <f t="shared" si="9"/>
        <v/>
      </c>
    </row>
    <row r="300" spans="1:13" s="17" customFormat="1" x14ac:dyDescent="0.25">
      <c r="A300" s="16" t="str">
        <f>IF(URN&lt;&gt;"",_xll.mdValue("Resident",_xlnm.Database,$F300),"")</f>
        <v/>
      </c>
      <c r="B300" s="16" t="str">
        <f>IF(PersonId&lt;&gt;"",_xll.mdValue("Resident First Name",_xlnm.Database,$A$8),"")</f>
        <v/>
      </c>
      <c r="C300" s="16" t="str">
        <f>IF(PersonId&lt;&gt;"",_xll.mdValue("Resident Last Name",_xlnm.Database,$A$8),"")</f>
        <v/>
      </c>
      <c r="D300" s="16" t="str">
        <f>IF(PersonId&lt;&gt;"",_xll.mdValue("Person Accomodation Code",_xlnm.Database,$A300),"")</f>
        <v/>
      </c>
      <c r="E300" s="28" t="str">
        <f t="shared" si="8"/>
        <v/>
      </c>
      <c r="F300" s="16" t="str">
        <f>IF('Paste Here'!$A294&lt;&gt;"",'Paste Here'!$A294,"")</f>
        <v/>
      </c>
      <c r="G300" s="16" t="str">
        <f>IF('Paste Here'!$B294&lt;&gt;"",'Paste Here'!$B294,"")</f>
        <v/>
      </c>
      <c r="H300" s="16" t="str">
        <f>IF('Paste Here'!$C294&lt;&gt;"",'Paste Here'!$C294,"")</f>
        <v/>
      </c>
      <c r="I300" s="25" t="str">
        <f>IF('Paste Here'!$D294&lt;&gt;"",'Paste Here'!$D294,"")</f>
        <v/>
      </c>
      <c r="J300" s="27" t="str">
        <f>IF('Paste Here'!$E294&lt;&gt;"",'Paste Here'!$E294,"")</f>
        <v/>
      </c>
      <c r="K300" s="16" t="str">
        <f>IF('Paste Here'!$F294&lt;&gt;"",'Paste Here'!$F294,"")</f>
        <v/>
      </c>
      <c r="L300" s="16" t="str">
        <f>IF('Paste Here'!$G294&lt;&gt;"",'Paste Here'!$G294,"")</f>
        <v/>
      </c>
      <c r="M300" s="18" t="str">
        <f t="shared" si="9"/>
        <v/>
      </c>
    </row>
    <row r="301" spans="1:13" s="17" customFormat="1" x14ac:dyDescent="0.25">
      <c r="A301" s="16" t="str">
        <f>IF(URN&lt;&gt;"",_xll.mdValue("Resident",_xlnm.Database,$F301),"")</f>
        <v/>
      </c>
      <c r="B301" s="16" t="str">
        <f>IF(PersonId&lt;&gt;"",_xll.mdValue("Resident First Name",_xlnm.Database,$A$8),"")</f>
        <v/>
      </c>
      <c r="C301" s="16" t="str">
        <f>IF(PersonId&lt;&gt;"",_xll.mdValue("Resident Last Name",_xlnm.Database,$A$8),"")</f>
        <v/>
      </c>
      <c r="D301" s="16" t="str">
        <f>IF(PersonId&lt;&gt;"",_xll.mdValue("Person Accomodation Code",_xlnm.Database,$A301),"")</f>
        <v/>
      </c>
      <c r="E301" s="28" t="str">
        <f t="shared" si="8"/>
        <v/>
      </c>
      <c r="F301" s="16" t="str">
        <f>IF('Paste Here'!$A295&lt;&gt;"",'Paste Here'!$A295,"")</f>
        <v/>
      </c>
      <c r="G301" s="16" t="str">
        <f>IF('Paste Here'!$B295&lt;&gt;"",'Paste Here'!$B295,"")</f>
        <v/>
      </c>
      <c r="H301" s="16" t="str">
        <f>IF('Paste Here'!$C295&lt;&gt;"",'Paste Here'!$C295,"")</f>
        <v/>
      </c>
      <c r="I301" s="25" t="str">
        <f>IF('Paste Here'!$D295&lt;&gt;"",'Paste Here'!$D295,"")</f>
        <v/>
      </c>
      <c r="J301" s="27" t="str">
        <f>IF('Paste Here'!$E295&lt;&gt;"",'Paste Here'!$E295,"")</f>
        <v/>
      </c>
      <c r="K301" s="16" t="str">
        <f>IF('Paste Here'!$F295&lt;&gt;"",'Paste Here'!$F295,"")</f>
        <v/>
      </c>
      <c r="L301" s="16" t="str">
        <f>IF('Paste Here'!$G295&lt;&gt;"",'Paste Here'!$G295,"")</f>
        <v/>
      </c>
      <c r="M301" s="18" t="str">
        <f t="shared" si="9"/>
        <v/>
      </c>
    </row>
    <row r="302" spans="1:13" s="17" customFormat="1" x14ac:dyDescent="0.25">
      <c r="A302" s="16" t="str">
        <f>IF(URN&lt;&gt;"",_xll.mdValue("Resident",_xlnm.Database,$F302),"")</f>
        <v/>
      </c>
      <c r="B302" s="16" t="str">
        <f>IF(PersonId&lt;&gt;"",_xll.mdValue("Resident First Name",_xlnm.Database,$A$8),"")</f>
        <v/>
      </c>
      <c r="C302" s="16" t="str">
        <f>IF(PersonId&lt;&gt;"",_xll.mdValue("Resident Last Name",_xlnm.Database,$A$8),"")</f>
        <v/>
      </c>
      <c r="D302" s="16" t="str">
        <f>IF(PersonId&lt;&gt;"",_xll.mdValue("Person Accomodation Code",_xlnm.Database,$A302),"")</f>
        <v/>
      </c>
      <c r="E302" s="28" t="str">
        <f t="shared" si="8"/>
        <v/>
      </c>
      <c r="F302" s="16" t="str">
        <f>IF('Paste Here'!$A296&lt;&gt;"",'Paste Here'!$A296,"")</f>
        <v/>
      </c>
      <c r="G302" s="16" t="str">
        <f>IF('Paste Here'!$B296&lt;&gt;"",'Paste Here'!$B296,"")</f>
        <v/>
      </c>
      <c r="H302" s="16" t="str">
        <f>IF('Paste Here'!$C296&lt;&gt;"",'Paste Here'!$C296,"")</f>
        <v/>
      </c>
      <c r="I302" s="25" t="str">
        <f>IF('Paste Here'!$D296&lt;&gt;"",'Paste Here'!$D296,"")</f>
        <v/>
      </c>
      <c r="J302" s="27" t="str">
        <f>IF('Paste Here'!$E296&lt;&gt;"",'Paste Here'!$E296,"")</f>
        <v/>
      </c>
      <c r="K302" s="16" t="str">
        <f>IF('Paste Here'!$F296&lt;&gt;"",'Paste Here'!$F296,"")</f>
        <v/>
      </c>
      <c r="L302" s="16" t="str">
        <f>IF('Paste Here'!$G296&lt;&gt;"",'Paste Here'!$G296,"")</f>
        <v/>
      </c>
      <c r="M302" s="18" t="str">
        <f t="shared" si="9"/>
        <v/>
      </c>
    </row>
    <row r="303" spans="1:13" s="17" customFormat="1" x14ac:dyDescent="0.25">
      <c r="A303" s="16" t="str">
        <f>IF(URN&lt;&gt;"",_xll.mdValue("Resident",_xlnm.Database,$F303),"")</f>
        <v/>
      </c>
      <c r="B303" s="16" t="str">
        <f>IF(PersonId&lt;&gt;"",_xll.mdValue("Resident First Name",_xlnm.Database,$A$8),"")</f>
        <v/>
      </c>
      <c r="C303" s="16" t="str">
        <f>IF(PersonId&lt;&gt;"",_xll.mdValue("Resident Last Name",_xlnm.Database,$A$8),"")</f>
        <v/>
      </c>
      <c r="D303" s="16" t="str">
        <f>IF(PersonId&lt;&gt;"",_xll.mdValue("Person Accomodation Code",_xlnm.Database,$A303),"")</f>
        <v/>
      </c>
      <c r="E303" s="28" t="str">
        <f t="shared" si="8"/>
        <v/>
      </c>
      <c r="F303" s="16" t="str">
        <f>IF('Paste Here'!$A297&lt;&gt;"",'Paste Here'!$A297,"")</f>
        <v/>
      </c>
      <c r="G303" s="16" t="str">
        <f>IF('Paste Here'!$B297&lt;&gt;"",'Paste Here'!$B297,"")</f>
        <v/>
      </c>
      <c r="H303" s="16" t="str">
        <f>IF('Paste Here'!$C297&lt;&gt;"",'Paste Here'!$C297,"")</f>
        <v/>
      </c>
      <c r="I303" s="25" t="str">
        <f>IF('Paste Here'!$D297&lt;&gt;"",'Paste Here'!$D297,"")</f>
        <v/>
      </c>
      <c r="J303" s="27" t="str">
        <f>IF('Paste Here'!$E297&lt;&gt;"",'Paste Here'!$E297,"")</f>
        <v/>
      </c>
      <c r="K303" s="16" t="str">
        <f>IF('Paste Here'!$F297&lt;&gt;"",'Paste Here'!$F297,"")</f>
        <v/>
      </c>
      <c r="L303" s="16" t="str">
        <f>IF('Paste Here'!$G297&lt;&gt;"",'Paste Here'!$G297,"")</f>
        <v/>
      </c>
      <c r="M303" s="18" t="str">
        <f t="shared" si="9"/>
        <v/>
      </c>
    </row>
    <row r="304" spans="1:13" s="17" customFormat="1" x14ac:dyDescent="0.25">
      <c r="A304" s="16" t="str">
        <f>IF(URN&lt;&gt;"",_xll.mdValue("Resident",_xlnm.Database,$F304),"")</f>
        <v/>
      </c>
      <c r="B304" s="16" t="str">
        <f>IF(PersonId&lt;&gt;"",_xll.mdValue("Resident First Name",_xlnm.Database,$A$8),"")</f>
        <v/>
      </c>
      <c r="C304" s="16" t="str">
        <f>IF(PersonId&lt;&gt;"",_xll.mdValue("Resident Last Name",_xlnm.Database,$A$8),"")</f>
        <v/>
      </c>
      <c r="D304" s="16" t="str">
        <f>IF(PersonId&lt;&gt;"",_xll.mdValue("Person Accomodation Code",_xlnm.Database,$A304),"")</f>
        <v/>
      </c>
      <c r="E304" s="28" t="str">
        <f t="shared" si="8"/>
        <v/>
      </c>
      <c r="F304" s="16" t="str">
        <f>IF('Paste Here'!$A298&lt;&gt;"",'Paste Here'!$A298,"")</f>
        <v/>
      </c>
      <c r="G304" s="16" t="str">
        <f>IF('Paste Here'!$B298&lt;&gt;"",'Paste Here'!$B298,"")</f>
        <v/>
      </c>
      <c r="H304" s="16" t="str">
        <f>IF('Paste Here'!$C298&lt;&gt;"",'Paste Here'!$C298,"")</f>
        <v/>
      </c>
      <c r="I304" s="25" t="str">
        <f>IF('Paste Here'!$D298&lt;&gt;"",'Paste Here'!$D298,"")</f>
        <v/>
      </c>
      <c r="J304" s="27" t="str">
        <f>IF('Paste Here'!$E298&lt;&gt;"",'Paste Here'!$E298,"")</f>
        <v/>
      </c>
      <c r="K304" s="16" t="str">
        <f>IF('Paste Here'!$F298&lt;&gt;"",'Paste Here'!$F298,"")</f>
        <v/>
      </c>
      <c r="L304" s="16" t="str">
        <f>IF('Paste Here'!$G298&lt;&gt;"",'Paste Here'!$G298,"")</f>
        <v/>
      </c>
      <c r="M304" s="18" t="str">
        <f t="shared" si="9"/>
        <v/>
      </c>
    </row>
    <row r="305" spans="1:13" s="17" customFormat="1" x14ac:dyDescent="0.25">
      <c r="A305" s="16" t="str">
        <f>IF(URN&lt;&gt;"",_xll.mdValue("Resident",_xlnm.Database,$F305),"")</f>
        <v/>
      </c>
      <c r="B305" s="16" t="str">
        <f>IF(PersonId&lt;&gt;"",_xll.mdValue("Resident First Name",_xlnm.Database,$A$8),"")</f>
        <v/>
      </c>
      <c r="C305" s="16" t="str">
        <f>IF(PersonId&lt;&gt;"",_xll.mdValue("Resident Last Name",_xlnm.Database,$A$8),"")</f>
        <v/>
      </c>
      <c r="D305" s="16" t="str">
        <f>IF(PersonId&lt;&gt;"",_xll.mdValue("Person Accomodation Code",_xlnm.Database,$A305),"")</f>
        <v/>
      </c>
      <c r="E305" s="28" t="str">
        <f t="shared" si="8"/>
        <v/>
      </c>
      <c r="F305" s="16" t="str">
        <f>IF('Paste Here'!$A299&lt;&gt;"",'Paste Here'!$A299,"")</f>
        <v/>
      </c>
      <c r="G305" s="16" t="str">
        <f>IF('Paste Here'!$B299&lt;&gt;"",'Paste Here'!$B299,"")</f>
        <v/>
      </c>
      <c r="H305" s="16" t="str">
        <f>IF('Paste Here'!$C299&lt;&gt;"",'Paste Here'!$C299,"")</f>
        <v/>
      </c>
      <c r="I305" s="25" t="str">
        <f>IF('Paste Here'!$D299&lt;&gt;"",'Paste Here'!$D299,"")</f>
        <v/>
      </c>
      <c r="J305" s="27" t="str">
        <f>IF('Paste Here'!$E299&lt;&gt;"",'Paste Here'!$E299,"")</f>
        <v/>
      </c>
      <c r="K305" s="16" t="str">
        <f>IF('Paste Here'!$F299&lt;&gt;"",'Paste Here'!$F299,"")</f>
        <v/>
      </c>
      <c r="L305" s="16" t="str">
        <f>IF('Paste Here'!$G299&lt;&gt;"",'Paste Here'!$G299,"")</f>
        <v/>
      </c>
      <c r="M305" s="18" t="str">
        <f t="shared" si="9"/>
        <v/>
      </c>
    </row>
    <row r="306" spans="1:13" s="17" customFormat="1" x14ac:dyDescent="0.25">
      <c r="A306" s="16" t="str">
        <f>IF(URN&lt;&gt;"",_xll.mdValue("Resident",_xlnm.Database,$F306),"")</f>
        <v/>
      </c>
      <c r="B306" s="16" t="str">
        <f>IF(PersonId&lt;&gt;"",_xll.mdValue("Resident First Name",_xlnm.Database,$A$8),"")</f>
        <v/>
      </c>
      <c r="C306" s="16" t="str">
        <f>IF(PersonId&lt;&gt;"",_xll.mdValue("Resident Last Name",_xlnm.Database,$A$8),"")</f>
        <v/>
      </c>
      <c r="D306" s="16" t="str">
        <f>IF(PersonId&lt;&gt;"",_xll.mdValue("Person Accomodation Code",_xlnm.Database,$A306),"")</f>
        <v/>
      </c>
      <c r="E306" s="28" t="str">
        <f t="shared" si="8"/>
        <v/>
      </c>
      <c r="F306" s="16" t="str">
        <f>IF('Paste Here'!$A300&lt;&gt;"",'Paste Here'!$A300,"")</f>
        <v/>
      </c>
      <c r="G306" s="16" t="str">
        <f>IF('Paste Here'!$B300&lt;&gt;"",'Paste Here'!$B300,"")</f>
        <v/>
      </c>
      <c r="H306" s="16" t="str">
        <f>IF('Paste Here'!$C300&lt;&gt;"",'Paste Here'!$C300,"")</f>
        <v/>
      </c>
      <c r="I306" s="25" t="str">
        <f>IF('Paste Here'!$D300&lt;&gt;"",'Paste Here'!$D300,"")</f>
        <v/>
      </c>
      <c r="J306" s="27" t="str">
        <f>IF('Paste Here'!$E300&lt;&gt;"",'Paste Here'!$E300,"")</f>
        <v/>
      </c>
      <c r="K306" s="16" t="str">
        <f>IF('Paste Here'!$F300&lt;&gt;"",'Paste Here'!$F300,"")</f>
        <v/>
      </c>
      <c r="L306" s="16" t="str">
        <f>IF('Paste Here'!$G300&lt;&gt;"",'Paste Here'!$G300,"")</f>
        <v/>
      </c>
      <c r="M306" s="18" t="str">
        <f t="shared" si="9"/>
        <v/>
      </c>
    </row>
    <row r="307" spans="1:13" s="17" customFormat="1" x14ac:dyDescent="0.25">
      <c r="A307" s="16" t="str">
        <f>IF(URN&lt;&gt;"",_xll.mdValue("Resident",_xlnm.Database,$F307),"")</f>
        <v/>
      </c>
      <c r="B307" s="16" t="str">
        <f>IF(PersonId&lt;&gt;"",_xll.mdValue("Resident First Name",_xlnm.Database,$A$8),"")</f>
        <v/>
      </c>
      <c r="C307" s="16" t="str">
        <f>IF(PersonId&lt;&gt;"",_xll.mdValue("Resident Last Name",_xlnm.Database,$A$8),"")</f>
        <v/>
      </c>
      <c r="D307" s="16" t="str">
        <f>IF(PersonId&lt;&gt;"",_xll.mdValue("Person Accomodation Code",_xlnm.Database,$A307),"")</f>
        <v/>
      </c>
      <c r="E307" s="28" t="str">
        <f t="shared" si="8"/>
        <v/>
      </c>
      <c r="F307" s="16" t="str">
        <f>IF('Paste Here'!$A301&lt;&gt;"",'Paste Here'!$A301,"")</f>
        <v/>
      </c>
      <c r="G307" s="16" t="str">
        <f>IF('Paste Here'!$B301&lt;&gt;"",'Paste Here'!$B301,"")</f>
        <v/>
      </c>
      <c r="H307" s="16" t="str">
        <f>IF('Paste Here'!$C301&lt;&gt;"",'Paste Here'!$C301,"")</f>
        <v/>
      </c>
      <c r="I307" s="25" t="str">
        <f>IF('Paste Here'!$D301&lt;&gt;"",'Paste Here'!$D301,"")</f>
        <v/>
      </c>
      <c r="J307" s="27" t="str">
        <f>IF('Paste Here'!$E301&lt;&gt;"",'Paste Here'!$E301,"")</f>
        <v/>
      </c>
      <c r="K307" s="16" t="str">
        <f>IF('Paste Here'!$F301&lt;&gt;"",'Paste Here'!$F301,"")</f>
        <v/>
      </c>
      <c r="L307" s="16" t="str">
        <f>IF('Paste Here'!$G301&lt;&gt;"",'Paste Here'!$G301,"")</f>
        <v/>
      </c>
      <c r="M307" s="18" t="str">
        <f t="shared" si="9"/>
        <v/>
      </c>
    </row>
    <row r="308" spans="1:13" s="17" customFormat="1" x14ac:dyDescent="0.25">
      <c r="A308" s="16" t="str">
        <f>IF(URN&lt;&gt;"",_xll.mdValue("Resident",_xlnm.Database,$F308),"")</f>
        <v/>
      </c>
      <c r="B308" s="16" t="str">
        <f>IF(PersonId&lt;&gt;"",_xll.mdValue("Resident First Name",_xlnm.Database,$A$8),"")</f>
        <v/>
      </c>
      <c r="C308" s="16" t="str">
        <f>IF(PersonId&lt;&gt;"",_xll.mdValue("Resident Last Name",_xlnm.Database,$A$8),"")</f>
        <v/>
      </c>
      <c r="D308" s="16" t="str">
        <f>IF(PersonId&lt;&gt;"",_xll.mdValue("Person Accomodation Code",_xlnm.Database,$A308),"")</f>
        <v/>
      </c>
      <c r="E308" s="28" t="str">
        <f t="shared" si="8"/>
        <v/>
      </c>
      <c r="F308" s="16" t="str">
        <f>IF('Paste Here'!$A302&lt;&gt;"",'Paste Here'!$A302,"")</f>
        <v/>
      </c>
      <c r="G308" s="16" t="str">
        <f>IF('Paste Here'!$B302&lt;&gt;"",'Paste Here'!$B302,"")</f>
        <v/>
      </c>
      <c r="H308" s="16" t="str">
        <f>IF('Paste Here'!$C302&lt;&gt;"",'Paste Here'!$C302,"")</f>
        <v/>
      </c>
      <c r="I308" s="25" t="str">
        <f>IF('Paste Here'!$D302&lt;&gt;"",'Paste Here'!$D302,"")</f>
        <v/>
      </c>
      <c r="J308" s="27" t="str">
        <f>IF('Paste Here'!$E302&lt;&gt;"",'Paste Here'!$E302,"")</f>
        <v/>
      </c>
      <c r="K308" s="16" t="str">
        <f>IF('Paste Here'!$F302&lt;&gt;"",'Paste Here'!$F302,"")</f>
        <v/>
      </c>
      <c r="L308" s="16" t="str">
        <f>IF('Paste Here'!$G302&lt;&gt;"",'Paste Here'!$G302,"")</f>
        <v/>
      </c>
      <c r="M308" s="18" t="str">
        <f t="shared" si="9"/>
        <v/>
      </c>
    </row>
    <row r="309" spans="1:13" s="17" customFormat="1" x14ac:dyDescent="0.25">
      <c r="A309" s="16" t="str">
        <f>IF(URN&lt;&gt;"",_xll.mdValue("Resident",_xlnm.Database,$F309),"")</f>
        <v/>
      </c>
      <c r="B309" s="16" t="str">
        <f>IF(PersonId&lt;&gt;"",_xll.mdValue("Resident First Name",_xlnm.Database,$A$8),"")</f>
        <v/>
      </c>
      <c r="C309" s="16" t="str">
        <f>IF(PersonId&lt;&gt;"",_xll.mdValue("Resident Last Name",_xlnm.Database,$A$8),"")</f>
        <v/>
      </c>
      <c r="D309" s="16" t="str">
        <f>IF(PersonId&lt;&gt;"",_xll.mdValue("Person Accomodation Code",_xlnm.Database,$A309),"")</f>
        <v/>
      </c>
      <c r="E309" s="28" t="str">
        <f t="shared" si="8"/>
        <v/>
      </c>
      <c r="F309" s="16" t="str">
        <f>IF('Paste Here'!$A303&lt;&gt;"",'Paste Here'!$A303,"")</f>
        <v/>
      </c>
      <c r="G309" s="16" t="str">
        <f>IF('Paste Here'!$B303&lt;&gt;"",'Paste Here'!$B303,"")</f>
        <v/>
      </c>
      <c r="H309" s="16" t="str">
        <f>IF('Paste Here'!$C303&lt;&gt;"",'Paste Here'!$C303,"")</f>
        <v/>
      </c>
      <c r="I309" s="25" t="str">
        <f>IF('Paste Here'!$D303&lt;&gt;"",'Paste Here'!$D303,"")</f>
        <v/>
      </c>
      <c r="J309" s="27" t="str">
        <f>IF('Paste Here'!$E303&lt;&gt;"",'Paste Here'!$E303,"")</f>
        <v/>
      </c>
      <c r="K309" s="16" t="str">
        <f>IF('Paste Here'!$F303&lt;&gt;"",'Paste Here'!$F303,"")</f>
        <v/>
      </c>
      <c r="L309" s="16" t="str">
        <f>IF('Paste Here'!$G303&lt;&gt;"",'Paste Here'!$G303,"")</f>
        <v/>
      </c>
      <c r="M309" s="18" t="str">
        <f t="shared" si="9"/>
        <v/>
      </c>
    </row>
    <row r="310" spans="1:13" s="17" customFormat="1" x14ac:dyDescent="0.25">
      <c r="A310" s="16" t="str">
        <f>IF(URN&lt;&gt;"",_xll.mdValue("Resident",_xlnm.Database,$F310),"")</f>
        <v/>
      </c>
      <c r="B310" s="16" t="str">
        <f>IF(PersonId&lt;&gt;"",_xll.mdValue("Resident First Name",_xlnm.Database,$A$8),"")</f>
        <v/>
      </c>
      <c r="C310" s="16" t="str">
        <f>IF(PersonId&lt;&gt;"",_xll.mdValue("Resident Last Name",_xlnm.Database,$A$8),"")</f>
        <v/>
      </c>
      <c r="D310" s="16" t="str">
        <f>IF(PersonId&lt;&gt;"",_xll.mdValue("Person Accomodation Code",_xlnm.Database,$A310),"")</f>
        <v/>
      </c>
      <c r="E310" s="28" t="str">
        <f t="shared" si="8"/>
        <v/>
      </c>
      <c r="F310" s="16" t="str">
        <f>IF('Paste Here'!$A304&lt;&gt;"",'Paste Here'!$A304,"")</f>
        <v/>
      </c>
      <c r="G310" s="16" t="str">
        <f>IF('Paste Here'!$B304&lt;&gt;"",'Paste Here'!$B304,"")</f>
        <v/>
      </c>
      <c r="H310" s="16" t="str">
        <f>IF('Paste Here'!$C304&lt;&gt;"",'Paste Here'!$C304,"")</f>
        <v/>
      </c>
      <c r="I310" s="25" t="str">
        <f>IF('Paste Here'!$D304&lt;&gt;"",'Paste Here'!$D304,"")</f>
        <v/>
      </c>
      <c r="J310" s="27" t="str">
        <f>IF('Paste Here'!$E304&lt;&gt;"",'Paste Here'!$E304,"")</f>
        <v/>
      </c>
      <c r="K310" s="16" t="str">
        <f>IF('Paste Here'!$F304&lt;&gt;"",'Paste Here'!$F304,"")</f>
        <v/>
      </c>
      <c r="L310" s="16" t="str">
        <f>IF('Paste Here'!$G304&lt;&gt;"",'Paste Here'!$G304,"")</f>
        <v/>
      </c>
      <c r="M310" s="18" t="str">
        <f t="shared" si="9"/>
        <v/>
      </c>
    </row>
    <row r="311" spans="1:13" s="17" customFormat="1" x14ac:dyDescent="0.25">
      <c r="A311" s="16" t="str">
        <f>IF(URN&lt;&gt;"",_xll.mdValue("Resident",_xlnm.Database,$F311),"")</f>
        <v/>
      </c>
      <c r="B311" s="16" t="str">
        <f>IF(PersonId&lt;&gt;"",_xll.mdValue("Resident First Name",_xlnm.Database,$A$8),"")</f>
        <v/>
      </c>
      <c r="C311" s="16" t="str">
        <f>IF(PersonId&lt;&gt;"",_xll.mdValue("Resident Last Name",_xlnm.Database,$A$8),"")</f>
        <v/>
      </c>
      <c r="D311" s="16" t="str">
        <f>IF(PersonId&lt;&gt;"",_xll.mdValue("Person Accomodation Code",_xlnm.Database,$A311),"")</f>
        <v/>
      </c>
      <c r="E311" s="28" t="str">
        <f t="shared" si="8"/>
        <v/>
      </c>
      <c r="F311" s="16" t="str">
        <f>IF('Paste Here'!$A305&lt;&gt;"",'Paste Here'!$A305,"")</f>
        <v/>
      </c>
      <c r="G311" s="16" t="str">
        <f>IF('Paste Here'!$B305&lt;&gt;"",'Paste Here'!$B305,"")</f>
        <v/>
      </c>
      <c r="H311" s="16" t="str">
        <f>IF('Paste Here'!$C305&lt;&gt;"",'Paste Here'!$C305,"")</f>
        <v/>
      </c>
      <c r="I311" s="25" t="str">
        <f>IF('Paste Here'!$D305&lt;&gt;"",'Paste Here'!$D305,"")</f>
        <v/>
      </c>
      <c r="J311" s="27" t="str">
        <f>IF('Paste Here'!$E305&lt;&gt;"",'Paste Here'!$E305,"")</f>
        <v/>
      </c>
      <c r="K311" s="16" t="str">
        <f>IF('Paste Here'!$F305&lt;&gt;"",'Paste Here'!$F305,"")</f>
        <v/>
      </c>
      <c r="L311" s="16" t="str">
        <f>IF('Paste Here'!$G305&lt;&gt;"",'Paste Here'!$G305,"")</f>
        <v/>
      </c>
      <c r="M311" s="18" t="str">
        <f t="shared" si="9"/>
        <v/>
      </c>
    </row>
    <row r="312" spans="1:13" s="17" customFormat="1" x14ac:dyDescent="0.25">
      <c r="A312" s="16" t="str">
        <f>IF(URN&lt;&gt;"",_xll.mdValue("Resident",_xlnm.Database,$F312),"")</f>
        <v/>
      </c>
      <c r="B312" s="16" t="str">
        <f>IF(PersonId&lt;&gt;"",_xll.mdValue("Resident First Name",_xlnm.Database,$A$8),"")</f>
        <v/>
      </c>
      <c r="C312" s="16" t="str">
        <f>IF(PersonId&lt;&gt;"",_xll.mdValue("Resident Last Name",_xlnm.Database,$A$8),"")</f>
        <v/>
      </c>
      <c r="D312" s="16" t="str">
        <f>IF(PersonId&lt;&gt;"",_xll.mdValue("Person Accomodation Code",_xlnm.Database,$A312),"")</f>
        <v/>
      </c>
      <c r="E312" s="28" t="str">
        <f t="shared" si="8"/>
        <v/>
      </c>
      <c r="F312" s="16" t="str">
        <f>IF('Paste Here'!$A306&lt;&gt;"",'Paste Here'!$A306,"")</f>
        <v/>
      </c>
      <c r="G312" s="16" t="str">
        <f>IF('Paste Here'!$B306&lt;&gt;"",'Paste Here'!$B306,"")</f>
        <v/>
      </c>
      <c r="H312" s="16" t="str">
        <f>IF('Paste Here'!$C306&lt;&gt;"",'Paste Here'!$C306,"")</f>
        <v/>
      </c>
      <c r="I312" s="25" t="str">
        <f>IF('Paste Here'!$D306&lt;&gt;"",'Paste Here'!$D306,"")</f>
        <v/>
      </c>
      <c r="J312" s="27" t="str">
        <f>IF('Paste Here'!$E306&lt;&gt;"",'Paste Here'!$E306,"")</f>
        <v/>
      </c>
      <c r="K312" s="16" t="str">
        <f>IF('Paste Here'!$F306&lt;&gt;"",'Paste Here'!$F306,"")</f>
        <v/>
      </c>
      <c r="L312" s="16" t="str">
        <f>IF('Paste Here'!$G306&lt;&gt;"",'Paste Here'!$G306,"")</f>
        <v/>
      </c>
      <c r="M312" s="18" t="str">
        <f t="shared" si="9"/>
        <v/>
      </c>
    </row>
    <row r="313" spans="1:13" s="17" customFormat="1" x14ac:dyDescent="0.25">
      <c r="A313" s="16" t="str">
        <f>IF(URN&lt;&gt;"",_xll.mdValue("Resident",_xlnm.Database,$F313),"")</f>
        <v/>
      </c>
      <c r="B313" s="16" t="str">
        <f>IF(PersonId&lt;&gt;"",_xll.mdValue("Resident First Name",_xlnm.Database,$A$8),"")</f>
        <v/>
      </c>
      <c r="C313" s="16" t="str">
        <f>IF(PersonId&lt;&gt;"",_xll.mdValue("Resident Last Name",_xlnm.Database,$A$8),"")</f>
        <v/>
      </c>
      <c r="D313" s="16" t="str">
        <f>IF(PersonId&lt;&gt;"",_xll.mdValue("Person Accomodation Code",_xlnm.Database,$A313),"")</f>
        <v/>
      </c>
      <c r="E313" s="28" t="str">
        <f t="shared" si="8"/>
        <v/>
      </c>
      <c r="F313" s="16" t="str">
        <f>IF('Paste Here'!$A307&lt;&gt;"",'Paste Here'!$A307,"")</f>
        <v/>
      </c>
      <c r="G313" s="16" t="str">
        <f>IF('Paste Here'!$B307&lt;&gt;"",'Paste Here'!$B307,"")</f>
        <v/>
      </c>
      <c r="H313" s="16" t="str">
        <f>IF('Paste Here'!$C307&lt;&gt;"",'Paste Here'!$C307,"")</f>
        <v/>
      </c>
      <c r="I313" s="25" t="str">
        <f>IF('Paste Here'!$D307&lt;&gt;"",'Paste Here'!$D307,"")</f>
        <v/>
      </c>
      <c r="J313" s="27" t="str">
        <f>IF('Paste Here'!$E307&lt;&gt;"",'Paste Here'!$E307,"")</f>
        <v/>
      </c>
      <c r="K313" s="16" t="str">
        <f>IF('Paste Here'!$F307&lt;&gt;"",'Paste Here'!$F307,"")</f>
        <v/>
      </c>
      <c r="L313" s="16" t="str">
        <f>IF('Paste Here'!$G307&lt;&gt;"",'Paste Here'!$G307,"")</f>
        <v/>
      </c>
      <c r="M313" s="18" t="str">
        <f t="shared" si="9"/>
        <v/>
      </c>
    </row>
    <row r="314" spans="1:13" s="17" customFormat="1" x14ac:dyDescent="0.25">
      <c r="A314" s="16" t="str">
        <f>IF(URN&lt;&gt;"",_xll.mdValue("Resident",_xlnm.Database,$F314),"")</f>
        <v/>
      </c>
      <c r="B314" s="16" t="str">
        <f>IF(PersonId&lt;&gt;"",_xll.mdValue("Resident First Name",_xlnm.Database,$A$8),"")</f>
        <v/>
      </c>
      <c r="C314" s="16" t="str">
        <f>IF(PersonId&lt;&gt;"",_xll.mdValue("Resident Last Name",_xlnm.Database,$A$8),"")</f>
        <v/>
      </c>
      <c r="D314" s="16" t="str">
        <f>IF(PersonId&lt;&gt;"",_xll.mdValue("Person Accomodation Code",_xlnm.Database,$A314),"")</f>
        <v/>
      </c>
      <c r="E314" s="28" t="str">
        <f t="shared" si="8"/>
        <v/>
      </c>
      <c r="F314" s="16" t="str">
        <f>IF('Paste Here'!$A308&lt;&gt;"",'Paste Here'!$A308,"")</f>
        <v/>
      </c>
      <c r="G314" s="16" t="str">
        <f>IF('Paste Here'!$B308&lt;&gt;"",'Paste Here'!$B308,"")</f>
        <v/>
      </c>
      <c r="H314" s="16" t="str">
        <f>IF('Paste Here'!$C308&lt;&gt;"",'Paste Here'!$C308,"")</f>
        <v/>
      </c>
      <c r="I314" s="25" t="str">
        <f>IF('Paste Here'!$D308&lt;&gt;"",'Paste Here'!$D308,"")</f>
        <v/>
      </c>
      <c r="J314" s="27" t="str">
        <f>IF('Paste Here'!$E308&lt;&gt;"",'Paste Here'!$E308,"")</f>
        <v/>
      </c>
      <c r="K314" s="16" t="str">
        <f>IF('Paste Here'!$F308&lt;&gt;"",'Paste Here'!$F308,"")</f>
        <v/>
      </c>
      <c r="L314" s="16" t="str">
        <f>IF('Paste Here'!$G308&lt;&gt;"",'Paste Here'!$G308,"")</f>
        <v/>
      </c>
      <c r="M314" s="18" t="str">
        <f t="shared" si="9"/>
        <v/>
      </c>
    </row>
    <row r="315" spans="1:13" s="17" customFormat="1" x14ac:dyDescent="0.25">
      <c r="A315" s="16" t="str">
        <f>IF(URN&lt;&gt;"",_xll.mdValue("Resident",_xlnm.Database,$F315),"")</f>
        <v/>
      </c>
      <c r="B315" s="16" t="str">
        <f>IF(PersonId&lt;&gt;"",_xll.mdValue("Resident First Name",_xlnm.Database,$A$8),"")</f>
        <v/>
      </c>
      <c r="C315" s="16" t="str">
        <f>IF(PersonId&lt;&gt;"",_xll.mdValue("Resident Last Name",_xlnm.Database,$A$8),"")</f>
        <v/>
      </c>
      <c r="D315" s="16" t="str">
        <f>IF(PersonId&lt;&gt;"",_xll.mdValue("Person Accomodation Code",_xlnm.Database,$A315),"")</f>
        <v/>
      </c>
      <c r="E315" s="28" t="str">
        <f t="shared" si="8"/>
        <v/>
      </c>
      <c r="F315" s="16" t="str">
        <f>IF('Paste Here'!$A309&lt;&gt;"",'Paste Here'!$A309,"")</f>
        <v/>
      </c>
      <c r="G315" s="16" t="str">
        <f>IF('Paste Here'!$B309&lt;&gt;"",'Paste Here'!$B309,"")</f>
        <v/>
      </c>
      <c r="H315" s="16" t="str">
        <f>IF('Paste Here'!$C309&lt;&gt;"",'Paste Here'!$C309,"")</f>
        <v/>
      </c>
      <c r="I315" s="25" t="str">
        <f>IF('Paste Here'!$D309&lt;&gt;"",'Paste Here'!$D309,"")</f>
        <v/>
      </c>
      <c r="J315" s="27" t="str">
        <f>IF('Paste Here'!$E309&lt;&gt;"",'Paste Here'!$E309,"")</f>
        <v/>
      </c>
      <c r="K315" s="16" t="str">
        <f>IF('Paste Here'!$F309&lt;&gt;"",'Paste Here'!$F309,"")</f>
        <v/>
      </c>
      <c r="L315" s="16" t="str">
        <f>IF('Paste Here'!$G309&lt;&gt;"",'Paste Here'!$G309,"")</f>
        <v/>
      </c>
      <c r="M315" s="18" t="str">
        <f t="shared" si="9"/>
        <v/>
      </c>
    </row>
    <row r="316" spans="1:13" s="17" customFormat="1" x14ac:dyDescent="0.25">
      <c r="A316" s="16" t="str">
        <f>IF(URN&lt;&gt;"",_xll.mdValue("Resident",_xlnm.Database,$F316),"")</f>
        <v/>
      </c>
      <c r="B316" s="16" t="str">
        <f>IF(PersonId&lt;&gt;"",_xll.mdValue("Resident First Name",_xlnm.Database,$A$8),"")</f>
        <v/>
      </c>
      <c r="C316" s="16" t="str">
        <f>IF(PersonId&lt;&gt;"",_xll.mdValue("Resident Last Name",_xlnm.Database,$A$8),"")</f>
        <v/>
      </c>
      <c r="D316" s="16" t="str">
        <f>IF(PersonId&lt;&gt;"",_xll.mdValue("Person Accomodation Code",_xlnm.Database,$A316),"")</f>
        <v/>
      </c>
      <c r="E316" s="28" t="str">
        <f t="shared" si="8"/>
        <v/>
      </c>
      <c r="F316" s="16" t="str">
        <f>IF('Paste Here'!$A310&lt;&gt;"",'Paste Here'!$A310,"")</f>
        <v/>
      </c>
      <c r="G316" s="16" t="str">
        <f>IF('Paste Here'!$B310&lt;&gt;"",'Paste Here'!$B310,"")</f>
        <v/>
      </c>
      <c r="H316" s="16" t="str">
        <f>IF('Paste Here'!$C310&lt;&gt;"",'Paste Here'!$C310,"")</f>
        <v/>
      </c>
      <c r="I316" s="25" t="str">
        <f>IF('Paste Here'!$D310&lt;&gt;"",'Paste Here'!$D310,"")</f>
        <v/>
      </c>
      <c r="J316" s="27" t="str">
        <f>IF('Paste Here'!$E310&lt;&gt;"",'Paste Here'!$E310,"")</f>
        <v/>
      </c>
      <c r="K316" s="16" t="str">
        <f>IF('Paste Here'!$F310&lt;&gt;"",'Paste Here'!$F310,"")</f>
        <v/>
      </c>
      <c r="L316" s="16" t="str">
        <f>IF('Paste Here'!$G310&lt;&gt;"",'Paste Here'!$G310,"")</f>
        <v/>
      </c>
      <c r="M316" s="18" t="str">
        <f t="shared" si="9"/>
        <v/>
      </c>
    </row>
    <row r="317" spans="1:13" s="17" customFormat="1" x14ac:dyDescent="0.25">
      <c r="A317" s="16" t="str">
        <f>IF(URN&lt;&gt;"",_xll.mdValue("Resident",_xlnm.Database,$F317),"")</f>
        <v/>
      </c>
      <c r="B317" s="16" t="str">
        <f>IF(PersonId&lt;&gt;"",_xll.mdValue("Resident First Name",_xlnm.Database,$A$8),"")</f>
        <v/>
      </c>
      <c r="C317" s="16" t="str">
        <f>IF(PersonId&lt;&gt;"",_xll.mdValue("Resident Last Name",_xlnm.Database,$A$8),"")</f>
        <v/>
      </c>
      <c r="D317" s="16" t="str">
        <f>IF(PersonId&lt;&gt;"",_xll.mdValue("Person Accomodation Code",_xlnm.Database,$A317),"")</f>
        <v/>
      </c>
      <c r="E317" s="28" t="str">
        <f t="shared" si="8"/>
        <v/>
      </c>
      <c r="F317" s="16" t="str">
        <f>IF('Paste Here'!$A311&lt;&gt;"",'Paste Here'!$A311,"")</f>
        <v/>
      </c>
      <c r="G317" s="16" t="str">
        <f>IF('Paste Here'!$B311&lt;&gt;"",'Paste Here'!$B311,"")</f>
        <v/>
      </c>
      <c r="H317" s="16" t="str">
        <f>IF('Paste Here'!$C311&lt;&gt;"",'Paste Here'!$C311,"")</f>
        <v/>
      </c>
      <c r="I317" s="25" t="str">
        <f>IF('Paste Here'!$D311&lt;&gt;"",'Paste Here'!$D311,"")</f>
        <v/>
      </c>
      <c r="J317" s="27" t="str">
        <f>IF('Paste Here'!$E311&lt;&gt;"",'Paste Here'!$E311,"")</f>
        <v/>
      </c>
      <c r="K317" s="16" t="str">
        <f>IF('Paste Here'!$F311&lt;&gt;"",'Paste Here'!$F311,"")</f>
        <v/>
      </c>
      <c r="L317" s="16" t="str">
        <f>IF('Paste Here'!$G311&lt;&gt;"",'Paste Here'!$G311,"")</f>
        <v/>
      </c>
      <c r="M317" s="18" t="str">
        <f t="shared" si="9"/>
        <v/>
      </c>
    </row>
    <row r="318" spans="1:13" s="17" customFormat="1" x14ac:dyDescent="0.25">
      <c r="A318" s="16" t="str">
        <f>IF(URN&lt;&gt;"",_xll.mdValue("Resident",_xlnm.Database,$F318),"")</f>
        <v/>
      </c>
      <c r="B318" s="16" t="str">
        <f>IF(PersonId&lt;&gt;"",_xll.mdValue("Resident First Name",_xlnm.Database,$A$8),"")</f>
        <v/>
      </c>
      <c r="C318" s="16" t="str">
        <f>IF(PersonId&lt;&gt;"",_xll.mdValue("Resident Last Name",_xlnm.Database,$A$8),"")</f>
        <v/>
      </c>
      <c r="D318" s="16" t="str">
        <f>IF(PersonId&lt;&gt;"",_xll.mdValue("Person Accomodation Code",_xlnm.Database,$A318),"")</f>
        <v/>
      </c>
      <c r="E318" s="28" t="str">
        <f t="shared" si="8"/>
        <v/>
      </c>
      <c r="F318" s="16" t="str">
        <f>IF('Paste Here'!$A312&lt;&gt;"",'Paste Here'!$A312,"")</f>
        <v/>
      </c>
      <c r="G318" s="16" t="str">
        <f>IF('Paste Here'!$B312&lt;&gt;"",'Paste Here'!$B312,"")</f>
        <v/>
      </c>
      <c r="H318" s="16" t="str">
        <f>IF('Paste Here'!$C312&lt;&gt;"",'Paste Here'!$C312,"")</f>
        <v/>
      </c>
      <c r="I318" s="25" t="str">
        <f>IF('Paste Here'!$D312&lt;&gt;"",'Paste Here'!$D312,"")</f>
        <v/>
      </c>
      <c r="J318" s="27" t="str">
        <f>IF('Paste Here'!$E312&lt;&gt;"",'Paste Here'!$E312,"")</f>
        <v/>
      </c>
      <c r="K318" s="16" t="str">
        <f>IF('Paste Here'!$F312&lt;&gt;"",'Paste Here'!$F312,"")</f>
        <v/>
      </c>
      <c r="L318" s="16" t="str">
        <f>IF('Paste Here'!$G312&lt;&gt;"",'Paste Here'!$G312,"")</f>
        <v/>
      </c>
      <c r="M318" s="18" t="str">
        <f t="shared" si="9"/>
        <v/>
      </c>
    </row>
    <row r="319" spans="1:13" s="17" customFormat="1" x14ac:dyDescent="0.25">
      <c r="A319" s="16" t="str">
        <f>IF(URN&lt;&gt;"",_xll.mdValue("Resident",_xlnm.Database,$F319),"")</f>
        <v/>
      </c>
      <c r="B319" s="16" t="str">
        <f>IF(PersonId&lt;&gt;"",_xll.mdValue("Resident First Name",_xlnm.Database,$A$8),"")</f>
        <v/>
      </c>
      <c r="C319" s="16" t="str">
        <f>IF(PersonId&lt;&gt;"",_xll.mdValue("Resident Last Name",_xlnm.Database,$A$8),"")</f>
        <v/>
      </c>
      <c r="D319" s="16" t="str">
        <f>IF(PersonId&lt;&gt;"",_xll.mdValue("Person Accomodation Code",_xlnm.Database,$A319),"")</f>
        <v/>
      </c>
      <c r="E319" s="28" t="str">
        <f t="shared" si="8"/>
        <v/>
      </c>
      <c r="F319" s="16" t="str">
        <f>IF('Paste Here'!$A313&lt;&gt;"",'Paste Here'!$A313,"")</f>
        <v/>
      </c>
      <c r="G319" s="16" t="str">
        <f>IF('Paste Here'!$B313&lt;&gt;"",'Paste Here'!$B313,"")</f>
        <v/>
      </c>
      <c r="H319" s="16" t="str">
        <f>IF('Paste Here'!$C313&lt;&gt;"",'Paste Here'!$C313,"")</f>
        <v/>
      </c>
      <c r="I319" s="25" t="str">
        <f>IF('Paste Here'!$D313&lt;&gt;"",'Paste Here'!$D313,"")</f>
        <v/>
      </c>
      <c r="J319" s="27" t="str">
        <f>IF('Paste Here'!$E313&lt;&gt;"",'Paste Here'!$E313,"")</f>
        <v/>
      </c>
      <c r="K319" s="16" t="str">
        <f>IF('Paste Here'!$F313&lt;&gt;"",'Paste Here'!$F313,"")</f>
        <v/>
      </c>
      <c r="L319" s="16" t="str">
        <f>IF('Paste Here'!$G313&lt;&gt;"",'Paste Here'!$G313,"")</f>
        <v/>
      </c>
      <c r="M319" s="18" t="str">
        <f t="shared" si="9"/>
        <v/>
      </c>
    </row>
    <row r="320" spans="1:13" s="17" customFormat="1" x14ac:dyDescent="0.25">
      <c r="A320" s="16" t="str">
        <f>IF(URN&lt;&gt;"",_xll.mdValue("Resident",_xlnm.Database,$F320),"")</f>
        <v/>
      </c>
      <c r="B320" s="16" t="str">
        <f>IF(PersonId&lt;&gt;"",_xll.mdValue("Resident First Name",_xlnm.Database,$A$8),"")</f>
        <v/>
      </c>
      <c r="C320" s="16" t="str">
        <f>IF(PersonId&lt;&gt;"",_xll.mdValue("Resident Last Name",_xlnm.Database,$A$8),"")</f>
        <v/>
      </c>
      <c r="D320" s="16" t="str">
        <f>IF(PersonId&lt;&gt;"",_xll.mdValue("Person Accomodation Code",_xlnm.Database,$A320),"")</f>
        <v/>
      </c>
      <c r="E320" s="28" t="str">
        <f t="shared" si="8"/>
        <v/>
      </c>
      <c r="F320" s="16" t="str">
        <f>IF('Paste Here'!$A314&lt;&gt;"",'Paste Here'!$A314,"")</f>
        <v/>
      </c>
      <c r="G320" s="16" t="str">
        <f>IF('Paste Here'!$B314&lt;&gt;"",'Paste Here'!$B314,"")</f>
        <v/>
      </c>
      <c r="H320" s="16" t="str">
        <f>IF('Paste Here'!$C314&lt;&gt;"",'Paste Here'!$C314,"")</f>
        <v/>
      </c>
      <c r="I320" s="25" t="str">
        <f>IF('Paste Here'!$D314&lt;&gt;"",'Paste Here'!$D314,"")</f>
        <v/>
      </c>
      <c r="J320" s="27" t="str">
        <f>IF('Paste Here'!$E314&lt;&gt;"",'Paste Here'!$E314,"")</f>
        <v/>
      </c>
      <c r="K320" s="16" t="str">
        <f>IF('Paste Here'!$F314&lt;&gt;"",'Paste Here'!$F314,"")</f>
        <v/>
      </c>
      <c r="L320" s="16" t="str">
        <f>IF('Paste Here'!$G314&lt;&gt;"",'Paste Here'!$G314,"")</f>
        <v/>
      </c>
      <c r="M320" s="18" t="str">
        <f t="shared" si="9"/>
        <v/>
      </c>
    </row>
    <row r="321" spans="1:13" s="17" customFormat="1" x14ac:dyDescent="0.25">
      <c r="A321" s="16" t="str">
        <f>IF(URN&lt;&gt;"",_xll.mdValue("Resident",_xlnm.Database,$F321),"")</f>
        <v/>
      </c>
      <c r="B321" s="16" t="str">
        <f>IF(PersonId&lt;&gt;"",_xll.mdValue("Resident First Name",_xlnm.Database,$A$8),"")</f>
        <v/>
      </c>
      <c r="C321" s="16" t="str">
        <f>IF(PersonId&lt;&gt;"",_xll.mdValue("Resident Last Name",_xlnm.Database,$A$8),"")</f>
        <v/>
      </c>
      <c r="D321" s="16" t="str">
        <f>IF(PersonId&lt;&gt;"",_xll.mdValue("Person Accomodation Code",_xlnm.Database,$A321),"")</f>
        <v/>
      </c>
      <c r="E321" s="28" t="str">
        <f t="shared" si="8"/>
        <v/>
      </c>
      <c r="F321" s="16" t="str">
        <f>IF('Paste Here'!$A315&lt;&gt;"",'Paste Here'!$A315,"")</f>
        <v/>
      </c>
      <c r="G321" s="16" t="str">
        <f>IF('Paste Here'!$B315&lt;&gt;"",'Paste Here'!$B315,"")</f>
        <v/>
      </c>
      <c r="H321" s="16" t="str">
        <f>IF('Paste Here'!$C315&lt;&gt;"",'Paste Here'!$C315,"")</f>
        <v/>
      </c>
      <c r="I321" s="25" t="str">
        <f>IF('Paste Here'!$D315&lt;&gt;"",'Paste Here'!$D315,"")</f>
        <v/>
      </c>
      <c r="J321" s="27" t="str">
        <f>IF('Paste Here'!$E315&lt;&gt;"",'Paste Here'!$E315,"")</f>
        <v/>
      </c>
      <c r="K321" s="16" t="str">
        <f>IF('Paste Here'!$F315&lt;&gt;"",'Paste Here'!$F315,"")</f>
        <v/>
      </c>
      <c r="L321" s="16" t="str">
        <f>IF('Paste Here'!$G315&lt;&gt;"",'Paste Here'!$G315,"")</f>
        <v/>
      </c>
      <c r="M321" s="18" t="str">
        <f t="shared" si="9"/>
        <v/>
      </c>
    </row>
    <row r="322" spans="1:13" s="17" customFormat="1" x14ac:dyDescent="0.25">
      <c r="A322" s="16" t="str">
        <f>IF(URN&lt;&gt;"",_xll.mdValue("Resident",_xlnm.Database,$F322),"")</f>
        <v/>
      </c>
      <c r="B322" s="16" t="str">
        <f>IF(PersonId&lt;&gt;"",_xll.mdValue("Resident First Name",_xlnm.Database,$A$8),"")</f>
        <v/>
      </c>
      <c r="C322" s="16" t="str">
        <f>IF(PersonId&lt;&gt;"",_xll.mdValue("Resident Last Name",_xlnm.Database,$A$8),"")</f>
        <v/>
      </c>
      <c r="D322" s="16" t="str">
        <f>IF(PersonId&lt;&gt;"",_xll.mdValue("Person Accomodation Code",_xlnm.Database,$A322),"")</f>
        <v/>
      </c>
      <c r="E322" s="28" t="str">
        <f t="shared" si="8"/>
        <v/>
      </c>
      <c r="F322" s="16" t="str">
        <f>IF('Paste Here'!$A316&lt;&gt;"",'Paste Here'!$A316,"")</f>
        <v/>
      </c>
      <c r="G322" s="16" t="str">
        <f>IF('Paste Here'!$B316&lt;&gt;"",'Paste Here'!$B316,"")</f>
        <v/>
      </c>
      <c r="H322" s="16" t="str">
        <f>IF('Paste Here'!$C316&lt;&gt;"",'Paste Here'!$C316,"")</f>
        <v/>
      </c>
      <c r="I322" s="25" t="str">
        <f>IF('Paste Here'!$D316&lt;&gt;"",'Paste Here'!$D316,"")</f>
        <v/>
      </c>
      <c r="J322" s="27" t="str">
        <f>IF('Paste Here'!$E316&lt;&gt;"",'Paste Here'!$E316,"")</f>
        <v/>
      </c>
      <c r="K322" s="16" t="str">
        <f>IF('Paste Here'!$F316&lt;&gt;"",'Paste Here'!$F316,"")</f>
        <v/>
      </c>
      <c r="L322" s="16" t="str">
        <f>IF('Paste Here'!$G316&lt;&gt;"",'Paste Here'!$G316,"")</f>
        <v/>
      </c>
      <c r="M322" s="18" t="str">
        <f t="shared" si="9"/>
        <v/>
      </c>
    </row>
    <row r="323" spans="1:13" s="17" customFormat="1" x14ac:dyDescent="0.25">
      <c r="A323" s="16" t="str">
        <f>IF(URN&lt;&gt;"",_xll.mdValue("Resident",_xlnm.Database,$F323),"")</f>
        <v/>
      </c>
      <c r="B323" s="16" t="str">
        <f>IF(PersonId&lt;&gt;"",_xll.mdValue("Resident First Name",_xlnm.Database,$A$8),"")</f>
        <v/>
      </c>
      <c r="C323" s="16" t="str">
        <f>IF(PersonId&lt;&gt;"",_xll.mdValue("Resident Last Name",_xlnm.Database,$A$8),"")</f>
        <v/>
      </c>
      <c r="D323" s="16" t="str">
        <f>IF(PersonId&lt;&gt;"",_xll.mdValue("Person Accomodation Code",_xlnm.Database,$A323),"")</f>
        <v/>
      </c>
      <c r="E323" s="28" t="str">
        <f t="shared" si="8"/>
        <v/>
      </c>
      <c r="F323" s="16" t="str">
        <f>IF('Paste Here'!$A317&lt;&gt;"",'Paste Here'!$A317,"")</f>
        <v/>
      </c>
      <c r="G323" s="16" t="str">
        <f>IF('Paste Here'!$B317&lt;&gt;"",'Paste Here'!$B317,"")</f>
        <v/>
      </c>
      <c r="H323" s="16" t="str">
        <f>IF('Paste Here'!$C317&lt;&gt;"",'Paste Here'!$C317,"")</f>
        <v/>
      </c>
      <c r="I323" s="25" t="str">
        <f>IF('Paste Here'!$D317&lt;&gt;"",'Paste Here'!$D317,"")</f>
        <v/>
      </c>
      <c r="J323" s="27" t="str">
        <f>IF('Paste Here'!$E317&lt;&gt;"",'Paste Here'!$E317,"")</f>
        <v/>
      </c>
      <c r="K323" s="16" t="str">
        <f>IF('Paste Here'!$F317&lt;&gt;"",'Paste Here'!$F317,"")</f>
        <v/>
      </c>
      <c r="L323" s="16" t="str">
        <f>IF('Paste Here'!$G317&lt;&gt;"",'Paste Here'!$G317,"")</f>
        <v/>
      </c>
      <c r="M323" s="18" t="str">
        <f t="shared" si="9"/>
        <v/>
      </c>
    </row>
    <row r="324" spans="1:13" s="17" customFormat="1" x14ac:dyDescent="0.25">
      <c r="A324" s="16" t="str">
        <f>IF(URN&lt;&gt;"",_xll.mdValue("Resident",_xlnm.Database,$F324),"")</f>
        <v/>
      </c>
      <c r="B324" s="16" t="str">
        <f>IF(PersonId&lt;&gt;"",_xll.mdValue("Resident First Name",_xlnm.Database,$A$8),"")</f>
        <v/>
      </c>
      <c r="C324" s="16" t="str">
        <f>IF(PersonId&lt;&gt;"",_xll.mdValue("Resident Last Name",_xlnm.Database,$A$8),"")</f>
        <v/>
      </c>
      <c r="D324" s="16" t="str">
        <f>IF(PersonId&lt;&gt;"",_xll.mdValue("Person Accomodation Code",_xlnm.Database,$A324),"")</f>
        <v/>
      </c>
      <c r="E324" s="28" t="str">
        <f t="shared" si="8"/>
        <v/>
      </c>
      <c r="F324" s="16" t="str">
        <f>IF('Paste Here'!$A318&lt;&gt;"",'Paste Here'!$A318,"")</f>
        <v/>
      </c>
      <c r="G324" s="16" t="str">
        <f>IF('Paste Here'!$B318&lt;&gt;"",'Paste Here'!$B318,"")</f>
        <v/>
      </c>
      <c r="H324" s="16" t="str">
        <f>IF('Paste Here'!$C318&lt;&gt;"",'Paste Here'!$C318,"")</f>
        <v/>
      </c>
      <c r="I324" s="25" t="str">
        <f>IF('Paste Here'!$D318&lt;&gt;"",'Paste Here'!$D318,"")</f>
        <v/>
      </c>
      <c r="J324" s="27" t="str">
        <f>IF('Paste Here'!$E318&lt;&gt;"",'Paste Here'!$E318,"")</f>
        <v/>
      </c>
      <c r="K324" s="16" t="str">
        <f>IF('Paste Here'!$F318&lt;&gt;"",'Paste Here'!$F318,"")</f>
        <v/>
      </c>
      <c r="L324" s="16" t="str">
        <f>IF('Paste Here'!$G318&lt;&gt;"",'Paste Here'!$G318,"")</f>
        <v/>
      </c>
      <c r="M324" s="18" t="str">
        <f t="shared" si="9"/>
        <v/>
      </c>
    </row>
    <row r="325" spans="1:13" s="17" customFormat="1" x14ac:dyDescent="0.25">
      <c r="A325" s="16" t="str">
        <f>IF(URN&lt;&gt;"",_xll.mdValue("Resident",_xlnm.Database,$F325),"")</f>
        <v/>
      </c>
      <c r="B325" s="16" t="str">
        <f>IF(PersonId&lt;&gt;"",_xll.mdValue("Resident First Name",_xlnm.Database,$A$8),"")</f>
        <v/>
      </c>
      <c r="C325" s="16" t="str">
        <f>IF(PersonId&lt;&gt;"",_xll.mdValue("Resident Last Name",_xlnm.Database,$A$8),"")</f>
        <v/>
      </c>
      <c r="D325" s="16" t="str">
        <f>IF(PersonId&lt;&gt;"",_xll.mdValue("Person Accomodation Code",_xlnm.Database,$A325),"")</f>
        <v/>
      </c>
      <c r="E325" s="28" t="str">
        <f t="shared" si="8"/>
        <v/>
      </c>
      <c r="F325" s="16" t="str">
        <f>IF('Paste Here'!$A319&lt;&gt;"",'Paste Here'!$A319,"")</f>
        <v/>
      </c>
      <c r="G325" s="16" t="str">
        <f>IF('Paste Here'!$B319&lt;&gt;"",'Paste Here'!$B319,"")</f>
        <v/>
      </c>
      <c r="H325" s="16" t="str">
        <f>IF('Paste Here'!$C319&lt;&gt;"",'Paste Here'!$C319,"")</f>
        <v/>
      </c>
      <c r="I325" s="25" t="str">
        <f>IF('Paste Here'!$D319&lt;&gt;"",'Paste Here'!$D319,"")</f>
        <v/>
      </c>
      <c r="J325" s="27" t="str">
        <f>IF('Paste Here'!$E319&lt;&gt;"",'Paste Here'!$E319,"")</f>
        <v/>
      </c>
      <c r="K325" s="16" t="str">
        <f>IF('Paste Here'!$F319&lt;&gt;"",'Paste Here'!$F319,"")</f>
        <v/>
      </c>
      <c r="L325" s="16" t="str">
        <f>IF('Paste Here'!$G319&lt;&gt;"",'Paste Here'!$G319,"")</f>
        <v/>
      </c>
      <c r="M325" s="18" t="str">
        <f t="shared" si="9"/>
        <v/>
      </c>
    </row>
    <row r="326" spans="1:13" s="17" customFormat="1" x14ac:dyDescent="0.25">
      <c r="A326" s="16" t="str">
        <f>IF(URN&lt;&gt;"",_xll.mdValue("Resident",_xlnm.Database,$F326),"")</f>
        <v/>
      </c>
      <c r="B326" s="16" t="str">
        <f>IF(PersonId&lt;&gt;"",_xll.mdValue("Resident First Name",_xlnm.Database,$A$8),"")</f>
        <v/>
      </c>
      <c r="C326" s="16" t="str">
        <f>IF(PersonId&lt;&gt;"",_xll.mdValue("Resident Last Name",_xlnm.Database,$A$8),"")</f>
        <v/>
      </c>
      <c r="D326" s="16" t="str">
        <f>IF(PersonId&lt;&gt;"",_xll.mdValue("Person Accomodation Code",_xlnm.Database,$A326),"")</f>
        <v/>
      </c>
      <c r="E326" s="28" t="str">
        <f t="shared" si="8"/>
        <v/>
      </c>
      <c r="F326" s="16" t="str">
        <f>IF('Paste Here'!$A320&lt;&gt;"",'Paste Here'!$A320,"")</f>
        <v/>
      </c>
      <c r="G326" s="16" t="str">
        <f>IF('Paste Here'!$B320&lt;&gt;"",'Paste Here'!$B320,"")</f>
        <v/>
      </c>
      <c r="H326" s="16" t="str">
        <f>IF('Paste Here'!$C320&lt;&gt;"",'Paste Here'!$C320,"")</f>
        <v/>
      </c>
      <c r="I326" s="25" t="str">
        <f>IF('Paste Here'!$D320&lt;&gt;"",'Paste Here'!$D320,"")</f>
        <v/>
      </c>
      <c r="J326" s="27" t="str">
        <f>IF('Paste Here'!$E320&lt;&gt;"",'Paste Here'!$E320,"")</f>
        <v/>
      </c>
      <c r="K326" s="16" t="str">
        <f>IF('Paste Here'!$F320&lt;&gt;"",'Paste Here'!$F320,"")</f>
        <v/>
      </c>
      <c r="L326" s="16" t="str">
        <f>IF('Paste Here'!$G320&lt;&gt;"",'Paste Here'!$G320,"")</f>
        <v/>
      </c>
      <c r="M326" s="18" t="str">
        <f t="shared" si="9"/>
        <v/>
      </c>
    </row>
    <row r="327" spans="1:13" s="17" customFormat="1" x14ac:dyDescent="0.25">
      <c r="A327" s="16" t="str">
        <f>IF(URN&lt;&gt;"",_xll.mdValue("Resident",_xlnm.Database,$F327),"")</f>
        <v/>
      </c>
      <c r="B327" s="16" t="str">
        <f>IF(PersonId&lt;&gt;"",_xll.mdValue("Resident First Name",_xlnm.Database,$A$8),"")</f>
        <v/>
      </c>
      <c r="C327" s="16" t="str">
        <f>IF(PersonId&lt;&gt;"",_xll.mdValue("Resident Last Name",_xlnm.Database,$A$8),"")</f>
        <v/>
      </c>
      <c r="D327" s="16" t="str">
        <f>IF(PersonId&lt;&gt;"",_xll.mdValue("Person Accomodation Code",_xlnm.Database,$A327),"")</f>
        <v/>
      </c>
      <c r="E327" s="28" t="str">
        <f t="shared" si="8"/>
        <v/>
      </c>
      <c r="F327" s="16" t="str">
        <f>IF('Paste Here'!$A321&lt;&gt;"",'Paste Here'!$A321,"")</f>
        <v/>
      </c>
      <c r="G327" s="16" t="str">
        <f>IF('Paste Here'!$B321&lt;&gt;"",'Paste Here'!$B321,"")</f>
        <v/>
      </c>
      <c r="H327" s="16" t="str">
        <f>IF('Paste Here'!$C321&lt;&gt;"",'Paste Here'!$C321,"")</f>
        <v/>
      </c>
      <c r="I327" s="25" t="str">
        <f>IF('Paste Here'!$D321&lt;&gt;"",'Paste Here'!$D321,"")</f>
        <v/>
      </c>
      <c r="J327" s="27" t="str">
        <f>IF('Paste Here'!$E321&lt;&gt;"",'Paste Here'!$E321,"")</f>
        <v/>
      </c>
      <c r="K327" s="16" t="str">
        <f>IF('Paste Here'!$F321&lt;&gt;"",'Paste Here'!$F321,"")</f>
        <v/>
      </c>
      <c r="L327" s="16" t="str">
        <f>IF('Paste Here'!$G321&lt;&gt;"",'Paste Here'!$G321,"")</f>
        <v/>
      </c>
      <c r="M327" s="18" t="str">
        <f t="shared" si="9"/>
        <v/>
      </c>
    </row>
    <row r="328" spans="1:13" s="17" customFormat="1" x14ac:dyDescent="0.25">
      <c r="A328" s="16" t="str">
        <f>IF(URN&lt;&gt;"",_xll.mdValue("Resident",_xlnm.Database,$F328),"")</f>
        <v/>
      </c>
      <c r="B328" s="16" t="str">
        <f>IF(PersonId&lt;&gt;"",_xll.mdValue("Resident First Name",_xlnm.Database,$A$8),"")</f>
        <v/>
      </c>
      <c r="C328" s="16" t="str">
        <f>IF(PersonId&lt;&gt;"",_xll.mdValue("Resident Last Name",_xlnm.Database,$A$8),"")</f>
        <v/>
      </c>
      <c r="D328" s="16" t="str">
        <f>IF(PersonId&lt;&gt;"",_xll.mdValue("Person Accomodation Code",_xlnm.Database,$A328),"")</f>
        <v/>
      </c>
      <c r="E328" s="28" t="str">
        <f t="shared" ref="E328:E391" si="10">IF(ClientCare_Accommodation&lt;&gt;"",IF(ClientCare_Accommodation&lt;&gt;AccommodationCode,"Missing Accommodation",""),"")</f>
        <v/>
      </c>
      <c r="F328" s="16" t="str">
        <f>IF('Paste Here'!$A322&lt;&gt;"",'Paste Here'!$A322,"")</f>
        <v/>
      </c>
      <c r="G328" s="16" t="str">
        <f>IF('Paste Here'!$B322&lt;&gt;"",'Paste Here'!$B322,"")</f>
        <v/>
      </c>
      <c r="H328" s="16" t="str">
        <f>IF('Paste Here'!$C322&lt;&gt;"",'Paste Here'!$C322,"")</f>
        <v/>
      </c>
      <c r="I328" s="25" t="str">
        <f>IF('Paste Here'!$D322&lt;&gt;"",'Paste Here'!$D322,"")</f>
        <v/>
      </c>
      <c r="J328" s="27" t="str">
        <f>IF('Paste Here'!$E322&lt;&gt;"",'Paste Here'!$E322,"")</f>
        <v/>
      </c>
      <c r="K328" s="16" t="str">
        <f>IF('Paste Here'!$F322&lt;&gt;"",'Paste Here'!$F322,"")</f>
        <v/>
      </c>
      <c r="L328" s="16" t="str">
        <f>IF('Paste Here'!$G322&lt;&gt;"",'Paste Here'!$G322,"")</f>
        <v/>
      </c>
      <c r="M328" s="18" t="str">
        <f t="shared" ref="M328:M391" si="11">IF(PersonId&lt;&gt;"","Normal","")</f>
        <v/>
      </c>
    </row>
    <row r="329" spans="1:13" s="17" customFormat="1" x14ac:dyDescent="0.25">
      <c r="A329" s="16" t="str">
        <f>IF(URN&lt;&gt;"",_xll.mdValue("Resident",_xlnm.Database,$F329),"")</f>
        <v/>
      </c>
      <c r="B329" s="16" t="str">
        <f>IF(PersonId&lt;&gt;"",_xll.mdValue("Resident First Name",_xlnm.Database,$A$8),"")</f>
        <v/>
      </c>
      <c r="C329" s="16" t="str">
        <f>IF(PersonId&lt;&gt;"",_xll.mdValue("Resident Last Name",_xlnm.Database,$A$8),"")</f>
        <v/>
      </c>
      <c r="D329" s="16" t="str">
        <f>IF(PersonId&lt;&gt;"",_xll.mdValue("Person Accomodation Code",_xlnm.Database,$A329),"")</f>
        <v/>
      </c>
      <c r="E329" s="28" t="str">
        <f t="shared" si="10"/>
        <v/>
      </c>
      <c r="F329" s="16" t="str">
        <f>IF('Paste Here'!$A323&lt;&gt;"",'Paste Here'!$A323,"")</f>
        <v/>
      </c>
      <c r="G329" s="16" t="str">
        <f>IF('Paste Here'!$B323&lt;&gt;"",'Paste Here'!$B323,"")</f>
        <v/>
      </c>
      <c r="H329" s="16" t="str">
        <f>IF('Paste Here'!$C323&lt;&gt;"",'Paste Here'!$C323,"")</f>
        <v/>
      </c>
      <c r="I329" s="25" t="str">
        <f>IF('Paste Here'!$D323&lt;&gt;"",'Paste Here'!$D323,"")</f>
        <v/>
      </c>
      <c r="J329" s="27" t="str">
        <f>IF('Paste Here'!$E323&lt;&gt;"",'Paste Here'!$E323,"")</f>
        <v/>
      </c>
      <c r="K329" s="16" t="str">
        <f>IF('Paste Here'!$F323&lt;&gt;"",'Paste Here'!$F323,"")</f>
        <v/>
      </c>
      <c r="L329" s="16" t="str">
        <f>IF('Paste Here'!$G323&lt;&gt;"",'Paste Here'!$G323,"")</f>
        <v/>
      </c>
      <c r="M329" s="18" t="str">
        <f t="shared" si="11"/>
        <v/>
      </c>
    </row>
    <row r="330" spans="1:13" s="17" customFormat="1" x14ac:dyDescent="0.25">
      <c r="A330" s="16" t="str">
        <f>IF(URN&lt;&gt;"",_xll.mdValue("Resident",_xlnm.Database,$F330),"")</f>
        <v/>
      </c>
      <c r="B330" s="16" t="str">
        <f>IF(PersonId&lt;&gt;"",_xll.mdValue("Resident First Name",_xlnm.Database,$A$8),"")</f>
        <v/>
      </c>
      <c r="C330" s="16" t="str">
        <f>IF(PersonId&lt;&gt;"",_xll.mdValue("Resident Last Name",_xlnm.Database,$A$8),"")</f>
        <v/>
      </c>
      <c r="D330" s="16" t="str">
        <f>IF(PersonId&lt;&gt;"",_xll.mdValue("Person Accomodation Code",_xlnm.Database,$A330),"")</f>
        <v/>
      </c>
      <c r="E330" s="28" t="str">
        <f t="shared" si="10"/>
        <v/>
      </c>
      <c r="F330" s="16" t="str">
        <f>IF('Paste Here'!$A324&lt;&gt;"",'Paste Here'!$A324,"")</f>
        <v/>
      </c>
      <c r="G330" s="16" t="str">
        <f>IF('Paste Here'!$B324&lt;&gt;"",'Paste Here'!$B324,"")</f>
        <v/>
      </c>
      <c r="H330" s="16" t="str">
        <f>IF('Paste Here'!$C324&lt;&gt;"",'Paste Here'!$C324,"")</f>
        <v/>
      </c>
      <c r="I330" s="25" t="str">
        <f>IF('Paste Here'!$D324&lt;&gt;"",'Paste Here'!$D324,"")</f>
        <v/>
      </c>
      <c r="J330" s="27" t="str">
        <f>IF('Paste Here'!$E324&lt;&gt;"",'Paste Here'!$E324,"")</f>
        <v/>
      </c>
      <c r="K330" s="16" t="str">
        <f>IF('Paste Here'!$F324&lt;&gt;"",'Paste Here'!$F324,"")</f>
        <v/>
      </c>
      <c r="L330" s="16" t="str">
        <f>IF('Paste Here'!$G324&lt;&gt;"",'Paste Here'!$G324,"")</f>
        <v/>
      </c>
      <c r="M330" s="18" t="str">
        <f t="shared" si="11"/>
        <v/>
      </c>
    </row>
    <row r="331" spans="1:13" s="17" customFormat="1" x14ac:dyDescent="0.25">
      <c r="A331" s="16" t="str">
        <f>IF(URN&lt;&gt;"",_xll.mdValue("Resident",_xlnm.Database,$F331),"")</f>
        <v/>
      </c>
      <c r="B331" s="16" t="str">
        <f>IF(PersonId&lt;&gt;"",_xll.mdValue("Resident First Name",_xlnm.Database,$A$8),"")</f>
        <v/>
      </c>
      <c r="C331" s="16" t="str">
        <f>IF(PersonId&lt;&gt;"",_xll.mdValue("Resident Last Name",_xlnm.Database,$A$8),"")</f>
        <v/>
      </c>
      <c r="D331" s="16" t="str">
        <f>IF(PersonId&lt;&gt;"",_xll.mdValue("Person Accomodation Code",_xlnm.Database,$A331),"")</f>
        <v/>
      </c>
      <c r="E331" s="28" t="str">
        <f t="shared" si="10"/>
        <v/>
      </c>
      <c r="F331" s="16" t="str">
        <f>IF('Paste Here'!$A325&lt;&gt;"",'Paste Here'!$A325,"")</f>
        <v/>
      </c>
      <c r="G331" s="16" t="str">
        <f>IF('Paste Here'!$B325&lt;&gt;"",'Paste Here'!$B325,"")</f>
        <v/>
      </c>
      <c r="H331" s="16" t="str">
        <f>IF('Paste Here'!$C325&lt;&gt;"",'Paste Here'!$C325,"")</f>
        <v/>
      </c>
      <c r="I331" s="25" t="str">
        <f>IF('Paste Here'!$D325&lt;&gt;"",'Paste Here'!$D325,"")</f>
        <v/>
      </c>
      <c r="J331" s="27" t="str">
        <f>IF('Paste Here'!$E325&lt;&gt;"",'Paste Here'!$E325,"")</f>
        <v/>
      </c>
      <c r="K331" s="16" t="str">
        <f>IF('Paste Here'!$F325&lt;&gt;"",'Paste Here'!$F325,"")</f>
        <v/>
      </c>
      <c r="L331" s="16" t="str">
        <f>IF('Paste Here'!$G325&lt;&gt;"",'Paste Here'!$G325,"")</f>
        <v/>
      </c>
      <c r="M331" s="18" t="str">
        <f t="shared" si="11"/>
        <v/>
      </c>
    </row>
    <row r="332" spans="1:13" s="17" customFormat="1" x14ac:dyDescent="0.25">
      <c r="A332" s="16" t="str">
        <f>IF(URN&lt;&gt;"",_xll.mdValue("Resident",_xlnm.Database,$F332),"")</f>
        <v/>
      </c>
      <c r="B332" s="16" t="str">
        <f>IF(PersonId&lt;&gt;"",_xll.mdValue("Resident First Name",_xlnm.Database,$A$8),"")</f>
        <v/>
      </c>
      <c r="C332" s="16" t="str">
        <f>IF(PersonId&lt;&gt;"",_xll.mdValue("Resident Last Name",_xlnm.Database,$A$8),"")</f>
        <v/>
      </c>
      <c r="D332" s="16" t="str">
        <f>IF(PersonId&lt;&gt;"",_xll.mdValue("Person Accomodation Code",_xlnm.Database,$A332),"")</f>
        <v/>
      </c>
      <c r="E332" s="28" t="str">
        <f t="shared" si="10"/>
        <v/>
      </c>
      <c r="F332" s="16" t="str">
        <f>IF('Paste Here'!$A326&lt;&gt;"",'Paste Here'!$A326,"")</f>
        <v/>
      </c>
      <c r="G332" s="16" t="str">
        <f>IF('Paste Here'!$B326&lt;&gt;"",'Paste Here'!$B326,"")</f>
        <v/>
      </c>
      <c r="H332" s="16" t="str">
        <f>IF('Paste Here'!$C326&lt;&gt;"",'Paste Here'!$C326,"")</f>
        <v/>
      </c>
      <c r="I332" s="25" t="str">
        <f>IF('Paste Here'!$D326&lt;&gt;"",'Paste Here'!$D326,"")</f>
        <v/>
      </c>
      <c r="J332" s="27" t="str">
        <f>IF('Paste Here'!$E326&lt;&gt;"",'Paste Here'!$E326,"")</f>
        <v/>
      </c>
      <c r="K332" s="16" t="str">
        <f>IF('Paste Here'!$F326&lt;&gt;"",'Paste Here'!$F326,"")</f>
        <v/>
      </c>
      <c r="L332" s="16" t="str">
        <f>IF('Paste Here'!$G326&lt;&gt;"",'Paste Here'!$G326,"")</f>
        <v/>
      </c>
      <c r="M332" s="18" t="str">
        <f t="shared" si="11"/>
        <v/>
      </c>
    </row>
    <row r="333" spans="1:13" s="17" customFormat="1" x14ac:dyDescent="0.25">
      <c r="A333" s="16" t="str">
        <f>IF(URN&lt;&gt;"",_xll.mdValue("Resident",_xlnm.Database,$F333),"")</f>
        <v/>
      </c>
      <c r="B333" s="16" t="str">
        <f>IF(PersonId&lt;&gt;"",_xll.mdValue("Resident First Name",_xlnm.Database,$A$8),"")</f>
        <v/>
      </c>
      <c r="C333" s="16" t="str">
        <f>IF(PersonId&lt;&gt;"",_xll.mdValue("Resident Last Name",_xlnm.Database,$A$8),"")</f>
        <v/>
      </c>
      <c r="D333" s="16" t="str">
        <f>IF(PersonId&lt;&gt;"",_xll.mdValue("Person Accomodation Code",_xlnm.Database,$A333),"")</f>
        <v/>
      </c>
      <c r="E333" s="28" t="str">
        <f t="shared" si="10"/>
        <v/>
      </c>
      <c r="F333" s="16" t="str">
        <f>IF('Paste Here'!$A327&lt;&gt;"",'Paste Here'!$A327,"")</f>
        <v/>
      </c>
      <c r="G333" s="16" t="str">
        <f>IF('Paste Here'!$B327&lt;&gt;"",'Paste Here'!$B327,"")</f>
        <v/>
      </c>
      <c r="H333" s="16" t="str">
        <f>IF('Paste Here'!$C327&lt;&gt;"",'Paste Here'!$C327,"")</f>
        <v/>
      </c>
      <c r="I333" s="25" t="str">
        <f>IF('Paste Here'!$D327&lt;&gt;"",'Paste Here'!$D327,"")</f>
        <v/>
      </c>
      <c r="J333" s="27" t="str">
        <f>IF('Paste Here'!$E327&lt;&gt;"",'Paste Here'!$E327,"")</f>
        <v/>
      </c>
      <c r="K333" s="16" t="str">
        <f>IF('Paste Here'!$F327&lt;&gt;"",'Paste Here'!$F327,"")</f>
        <v/>
      </c>
      <c r="L333" s="16" t="str">
        <f>IF('Paste Here'!$G327&lt;&gt;"",'Paste Here'!$G327,"")</f>
        <v/>
      </c>
      <c r="M333" s="18" t="str">
        <f t="shared" si="11"/>
        <v/>
      </c>
    </row>
    <row r="334" spans="1:13" s="17" customFormat="1" x14ac:dyDescent="0.25">
      <c r="A334" s="16" t="str">
        <f>IF(URN&lt;&gt;"",_xll.mdValue("Resident",_xlnm.Database,$F334),"")</f>
        <v/>
      </c>
      <c r="B334" s="16" t="str">
        <f>IF(PersonId&lt;&gt;"",_xll.mdValue("Resident First Name",_xlnm.Database,$A$8),"")</f>
        <v/>
      </c>
      <c r="C334" s="16" t="str">
        <f>IF(PersonId&lt;&gt;"",_xll.mdValue("Resident Last Name",_xlnm.Database,$A$8),"")</f>
        <v/>
      </c>
      <c r="D334" s="16" t="str">
        <f>IF(PersonId&lt;&gt;"",_xll.mdValue("Person Accomodation Code",_xlnm.Database,$A334),"")</f>
        <v/>
      </c>
      <c r="E334" s="28" t="str">
        <f t="shared" si="10"/>
        <v/>
      </c>
      <c r="F334" s="16" t="str">
        <f>IF('Paste Here'!$A328&lt;&gt;"",'Paste Here'!$A328,"")</f>
        <v/>
      </c>
      <c r="G334" s="16" t="str">
        <f>IF('Paste Here'!$B328&lt;&gt;"",'Paste Here'!$B328,"")</f>
        <v/>
      </c>
      <c r="H334" s="16" t="str">
        <f>IF('Paste Here'!$C328&lt;&gt;"",'Paste Here'!$C328,"")</f>
        <v/>
      </c>
      <c r="I334" s="25" t="str">
        <f>IF('Paste Here'!$D328&lt;&gt;"",'Paste Here'!$D328,"")</f>
        <v/>
      </c>
      <c r="J334" s="27" t="str">
        <f>IF('Paste Here'!$E328&lt;&gt;"",'Paste Here'!$E328,"")</f>
        <v/>
      </c>
      <c r="K334" s="16" t="str">
        <f>IF('Paste Here'!$F328&lt;&gt;"",'Paste Here'!$F328,"")</f>
        <v/>
      </c>
      <c r="L334" s="16" t="str">
        <f>IF('Paste Here'!$G328&lt;&gt;"",'Paste Here'!$G328,"")</f>
        <v/>
      </c>
      <c r="M334" s="18" t="str">
        <f t="shared" si="11"/>
        <v/>
      </c>
    </row>
    <row r="335" spans="1:13" s="17" customFormat="1" x14ac:dyDescent="0.25">
      <c r="A335" s="16" t="str">
        <f>IF(URN&lt;&gt;"",_xll.mdValue("Resident",_xlnm.Database,$F335),"")</f>
        <v/>
      </c>
      <c r="B335" s="16" t="str">
        <f>IF(PersonId&lt;&gt;"",_xll.mdValue("Resident First Name",_xlnm.Database,$A$8),"")</f>
        <v/>
      </c>
      <c r="C335" s="16" t="str">
        <f>IF(PersonId&lt;&gt;"",_xll.mdValue("Resident Last Name",_xlnm.Database,$A$8),"")</f>
        <v/>
      </c>
      <c r="D335" s="16" t="str">
        <f>IF(PersonId&lt;&gt;"",_xll.mdValue("Person Accomodation Code",_xlnm.Database,$A335),"")</f>
        <v/>
      </c>
      <c r="E335" s="28" t="str">
        <f t="shared" si="10"/>
        <v/>
      </c>
      <c r="F335" s="16" t="str">
        <f>IF('Paste Here'!$A329&lt;&gt;"",'Paste Here'!$A329,"")</f>
        <v/>
      </c>
      <c r="G335" s="16" t="str">
        <f>IF('Paste Here'!$B329&lt;&gt;"",'Paste Here'!$B329,"")</f>
        <v/>
      </c>
      <c r="H335" s="16" t="str">
        <f>IF('Paste Here'!$C329&lt;&gt;"",'Paste Here'!$C329,"")</f>
        <v/>
      </c>
      <c r="I335" s="25" t="str">
        <f>IF('Paste Here'!$D329&lt;&gt;"",'Paste Here'!$D329,"")</f>
        <v/>
      </c>
      <c r="J335" s="27" t="str">
        <f>IF('Paste Here'!$E329&lt;&gt;"",'Paste Here'!$E329,"")</f>
        <v/>
      </c>
      <c r="K335" s="16" t="str">
        <f>IF('Paste Here'!$F329&lt;&gt;"",'Paste Here'!$F329,"")</f>
        <v/>
      </c>
      <c r="L335" s="16" t="str">
        <f>IF('Paste Here'!$G329&lt;&gt;"",'Paste Here'!$G329,"")</f>
        <v/>
      </c>
      <c r="M335" s="18" t="str">
        <f t="shared" si="11"/>
        <v/>
      </c>
    </row>
    <row r="336" spans="1:13" s="17" customFormat="1" x14ac:dyDescent="0.25">
      <c r="A336" s="16" t="str">
        <f>IF(URN&lt;&gt;"",_xll.mdValue("Resident",_xlnm.Database,$F336),"")</f>
        <v/>
      </c>
      <c r="B336" s="16" t="str">
        <f>IF(PersonId&lt;&gt;"",_xll.mdValue("Resident First Name",_xlnm.Database,$A$8),"")</f>
        <v/>
      </c>
      <c r="C336" s="16" t="str">
        <f>IF(PersonId&lt;&gt;"",_xll.mdValue("Resident Last Name",_xlnm.Database,$A$8),"")</f>
        <v/>
      </c>
      <c r="D336" s="16" t="str">
        <f>IF(PersonId&lt;&gt;"",_xll.mdValue("Person Accomodation Code",_xlnm.Database,$A336),"")</f>
        <v/>
      </c>
      <c r="E336" s="28" t="str">
        <f t="shared" si="10"/>
        <v/>
      </c>
      <c r="F336" s="16" t="str">
        <f>IF('Paste Here'!$A330&lt;&gt;"",'Paste Here'!$A330,"")</f>
        <v/>
      </c>
      <c r="G336" s="16" t="str">
        <f>IF('Paste Here'!$B330&lt;&gt;"",'Paste Here'!$B330,"")</f>
        <v/>
      </c>
      <c r="H336" s="16" t="str">
        <f>IF('Paste Here'!$C330&lt;&gt;"",'Paste Here'!$C330,"")</f>
        <v/>
      </c>
      <c r="I336" s="25" t="str">
        <f>IF('Paste Here'!$D330&lt;&gt;"",'Paste Here'!$D330,"")</f>
        <v/>
      </c>
      <c r="J336" s="27" t="str">
        <f>IF('Paste Here'!$E330&lt;&gt;"",'Paste Here'!$E330,"")</f>
        <v/>
      </c>
      <c r="K336" s="16" t="str">
        <f>IF('Paste Here'!$F330&lt;&gt;"",'Paste Here'!$F330,"")</f>
        <v/>
      </c>
      <c r="L336" s="16" t="str">
        <f>IF('Paste Here'!$G330&lt;&gt;"",'Paste Here'!$G330,"")</f>
        <v/>
      </c>
      <c r="M336" s="18" t="str">
        <f t="shared" si="11"/>
        <v/>
      </c>
    </row>
    <row r="337" spans="1:13" s="17" customFormat="1" x14ac:dyDescent="0.25">
      <c r="A337" s="16" t="str">
        <f>IF(URN&lt;&gt;"",_xll.mdValue("Resident",_xlnm.Database,$F337),"")</f>
        <v/>
      </c>
      <c r="B337" s="16" t="str">
        <f>IF(PersonId&lt;&gt;"",_xll.mdValue("Resident First Name",_xlnm.Database,$A$8),"")</f>
        <v/>
      </c>
      <c r="C337" s="16" t="str">
        <f>IF(PersonId&lt;&gt;"",_xll.mdValue("Resident Last Name",_xlnm.Database,$A$8),"")</f>
        <v/>
      </c>
      <c r="D337" s="16" t="str">
        <f>IF(PersonId&lt;&gt;"",_xll.mdValue("Person Accomodation Code",_xlnm.Database,$A337),"")</f>
        <v/>
      </c>
      <c r="E337" s="28" t="str">
        <f t="shared" si="10"/>
        <v/>
      </c>
      <c r="F337" s="16" t="str">
        <f>IF('Paste Here'!$A331&lt;&gt;"",'Paste Here'!$A331,"")</f>
        <v/>
      </c>
      <c r="G337" s="16" t="str">
        <f>IF('Paste Here'!$B331&lt;&gt;"",'Paste Here'!$B331,"")</f>
        <v/>
      </c>
      <c r="H337" s="16" t="str">
        <f>IF('Paste Here'!$C331&lt;&gt;"",'Paste Here'!$C331,"")</f>
        <v/>
      </c>
      <c r="I337" s="25" t="str">
        <f>IF('Paste Here'!$D331&lt;&gt;"",'Paste Here'!$D331,"")</f>
        <v/>
      </c>
      <c r="J337" s="27" t="str">
        <f>IF('Paste Here'!$E331&lt;&gt;"",'Paste Here'!$E331,"")</f>
        <v/>
      </c>
      <c r="K337" s="16" t="str">
        <f>IF('Paste Here'!$F331&lt;&gt;"",'Paste Here'!$F331,"")</f>
        <v/>
      </c>
      <c r="L337" s="16" t="str">
        <f>IF('Paste Here'!$G331&lt;&gt;"",'Paste Here'!$G331,"")</f>
        <v/>
      </c>
      <c r="M337" s="18" t="str">
        <f t="shared" si="11"/>
        <v/>
      </c>
    </row>
    <row r="338" spans="1:13" s="17" customFormat="1" x14ac:dyDescent="0.25">
      <c r="A338" s="16" t="str">
        <f>IF(URN&lt;&gt;"",_xll.mdValue("Resident",_xlnm.Database,$F338),"")</f>
        <v/>
      </c>
      <c r="B338" s="16" t="str">
        <f>IF(PersonId&lt;&gt;"",_xll.mdValue("Resident First Name",_xlnm.Database,$A$8),"")</f>
        <v/>
      </c>
      <c r="C338" s="16" t="str">
        <f>IF(PersonId&lt;&gt;"",_xll.mdValue("Resident Last Name",_xlnm.Database,$A$8),"")</f>
        <v/>
      </c>
      <c r="D338" s="16" t="str">
        <f>IF(PersonId&lt;&gt;"",_xll.mdValue("Person Accomodation Code",_xlnm.Database,$A338),"")</f>
        <v/>
      </c>
      <c r="E338" s="28" t="str">
        <f t="shared" si="10"/>
        <v/>
      </c>
      <c r="F338" s="16" t="str">
        <f>IF('Paste Here'!$A332&lt;&gt;"",'Paste Here'!$A332,"")</f>
        <v/>
      </c>
      <c r="G338" s="16" t="str">
        <f>IF('Paste Here'!$B332&lt;&gt;"",'Paste Here'!$B332,"")</f>
        <v/>
      </c>
      <c r="H338" s="16" t="str">
        <f>IF('Paste Here'!$C332&lt;&gt;"",'Paste Here'!$C332,"")</f>
        <v/>
      </c>
      <c r="I338" s="25" t="str">
        <f>IF('Paste Here'!$D332&lt;&gt;"",'Paste Here'!$D332,"")</f>
        <v/>
      </c>
      <c r="J338" s="27" t="str">
        <f>IF('Paste Here'!$E332&lt;&gt;"",'Paste Here'!$E332,"")</f>
        <v/>
      </c>
      <c r="K338" s="16" t="str">
        <f>IF('Paste Here'!$F332&lt;&gt;"",'Paste Here'!$F332,"")</f>
        <v/>
      </c>
      <c r="L338" s="16" t="str">
        <f>IF('Paste Here'!$G332&lt;&gt;"",'Paste Here'!$G332,"")</f>
        <v/>
      </c>
      <c r="M338" s="18" t="str">
        <f t="shared" si="11"/>
        <v/>
      </c>
    </row>
    <row r="339" spans="1:13" s="17" customFormat="1" x14ac:dyDescent="0.25">
      <c r="A339" s="16" t="str">
        <f>IF(URN&lt;&gt;"",_xll.mdValue("Resident",_xlnm.Database,$F339),"")</f>
        <v/>
      </c>
      <c r="B339" s="16" t="str">
        <f>IF(PersonId&lt;&gt;"",_xll.mdValue("Resident First Name",_xlnm.Database,$A$8),"")</f>
        <v/>
      </c>
      <c r="C339" s="16" t="str">
        <f>IF(PersonId&lt;&gt;"",_xll.mdValue("Resident Last Name",_xlnm.Database,$A$8),"")</f>
        <v/>
      </c>
      <c r="D339" s="16" t="str">
        <f>IF(PersonId&lt;&gt;"",_xll.mdValue("Person Accomodation Code",_xlnm.Database,$A339),"")</f>
        <v/>
      </c>
      <c r="E339" s="28" t="str">
        <f t="shared" si="10"/>
        <v/>
      </c>
      <c r="F339" s="16" t="str">
        <f>IF('Paste Here'!$A333&lt;&gt;"",'Paste Here'!$A333,"")</f>
        <v/>
      </c>
      <c r="G339" s="16" t="str">
        <f>IF('Paste Here'!$B333&lt;&gt;"",'Paste Here'!$B333,"")</f>
        <v/>
      </c>
      <c r="H339" s="16" t="str">
        <f>IF('Paste Here'!$C333&lt;&gt;"",'Paste Here'!$C333,"")</f>
        <v/>
      </c>
      <c r="I339" s="25" t="str">
        <f>IF('Paste Here'!$D333&lt;&gt;"",'Paste Here'!$D333,"")</f>
        <v/>
      </c>
      <c r="J339" s="27" t="str">
        <f>IF('Paste Here'!$E333&lt;&gt;"",'Paste Here'!$E333,"")</f>
        <v/>
      </c>
      <c r="K339" s="16" t="str">
        <f>IF('Paste Here'!$F333&lt;&gt;"",'Paste Here'!$F333,"")</f>
        <v/>
      </c>
      <c r="L339" s="16" t="str">
        <f>IF('Paste Here'!$G333&lt;&gt;"",'Paste Here'!$G333,"")</f>
        <v/>
      </c>
      <c r="M339" s="18" t="str">
        <f t="shared" si="11"/>
        <v/>
      </c>
    </row>
    <row r="340" spans="1:13" s="17" customFormat="1" x14ac:dyDescent="0.25">
      <c r="A340" s="16" t="str">
        <f>IF(URN&lt;&gt;"",_xll.mdValue("Resident",_xlnm.Database,$F340),"")</f>
        <v/>
      </c>
      <c r="B340" s="16" t="str">
        <f>IF(PersonId&lt;&gt;"",_xll.mdValue("Resident First Name",_xlnm.Database,$A$8),"")</f>
        <v/>
      </c>
      <c r="C340" s="16" t="str">
        <f>IF(PersonId&lt;&gt;"",_xll.mdValue("Resident Last Name",_xlnm.Database,$A$8),"")</f>
        <v/>
      </c>
      <c r="D340" s="16" t="str">
        <f>IF(PersonId&lt;&gt;"",_xll.mdValue("Person Accomodation Code",_xlnm.Database,$A340),"")</f>
        <v/>
      </c>
      <c r="E340" s="28" t="str">
        <f t="shared" si="10"/>
        <v/>
      </c>
      <c r="F340" s="16" t="str">
        <f>IF('Paste Here'!$A334&lt;&gt;"",'Paste Here'!$A334,"")</f>
        <v/>
      </c>
      <c r="G340" s="16" t="str">
        <f>IF('Paste Here'!$B334&lt;&gt;"",'Paste Here'!$B334,"")</f>
        <v/>
      </c>
      <c r="H340" s="16" t="str">
        <f>IF('Paste Here'!$C334&lt;&gt;"",'Paste Here'!$C334,"")</f>
        <v/>
      </c>
      <c r="I340" s="25" t="str">
        <f>IF('Paste Here'!$D334&lt;&gt;"",'Paste Here'!$D334,"")</f>
        <v/>
      </c>
      <c r="J340" s="27" t="str">
        <f>IF('Paste Here'!$E334&lt;&gt;"",'Paste Here'!$E334,"")</f>
        <v/>
      </c>
      <c r="K340" s="16" t="str">
        <f>IF('Paste Here'!$F334&lt;&gt;"",'Paste Here'!$F334,"")</f>
        <v/>
      </c>
      <c r="L340" s="16" t="str">
        <f>IF('Paste Here'!$G334&lt;&gt;"",'Paste Here'!$G334,"")</f>
        <v/>
      </c>
      <c r="M340" s="18" t="str">
        <f t="shared" si="11"/>
        <v/>
      </c>
    </row>
    <row r="341" spans="1:13" s="17" customFormat="1" x14ac:dyDescent="0.25">
      <c r="A341" s="16" t="str">
        <f>IF(URN&lt;&gt;"",_xll.mdValue("Resident",_xlnm.Database,$F341),"")</f>
        <v/>
      </c>
      <c r="B341" s="16" t="str">
        <f>IF(PersonId&lt;&gt;"",_xll.mdValue("Resident First Name",_xlnm.Database,$A$8),"")</f>
        <v/>
      </c>
      <c r="C341" s="16" t="str">
        <f>IF(PersonId&lt;&gt;"",_xll.mdValue("Resident Last Name",_xlnm.Database,$A$8),"")</f>
        <v/>
      </c>
      <c r="D341" s="16" t="str">
        <f>IF(PersonId&lt;&gt;"",_xll.mdValue("Person Accomodation Code",_xlnm.Database,$A341),"")</f>
        <v/>
      </c>
      <c r="E341" s="28" t="str">
        <f t="shared" si="10"/>
        <v/>
      </c>
      <c r="F341" s="16" t="str">
        <f>IF('Paste Here'!$A335&lt;&gt;"",'Paste Here'!$A335,"")</f>
        <v/>
      </c>
      <c r="G341" s="16" t="str">
        <f>IF('Paste Here'!$B335&lt;&gt;"",'Paste Here'!$B335,"")</f>
        <v/>
      </c>
      <c r="H341" s="16" t="str">
        <f>IF('Paste Here'!$C335&lt;&gt;"",'Paste Here'!$C335,"")</f>
        <v/>
      </c>
      <c r="I341" s="25" t="str">
        <f>IF('Paste Here'!$D335&lt;&gt;"",'Paste Here'!$D335,"")</f>
        <v/>
      </c>
      <c r="J341" s="27" t="str">
        <f>IF('Paste Here'!$E335&lt;&gt;"",'Paste Here'!$E335,"")</f>
        <v/>
      </c>
      <c r="K341" s="16" t="str">
        <f>IF('Paste Here'!$F335&lt;&gt;"",'Paste Here'!$F335,"")</f>
        <v/>
      </c>
      <c r="L341" s="16" t="str">
        <f>IF('Paste Here'!$G335&lt;&gt;"",'Paste Here'!$G335,"")</f>
        <v/>
      </c>
      <c r="M341" s="18" t="str">
        <f t="shared" si="11"/>
        <v/>
      </c>
    </row>
    <row r="342" spans="1:13" s="17" customFormat="1" x14ac:dyDescent="0.25">
      <c r="A342" s="16" t="str">
        <f>IF(URN&lt;&gt;"",_xll.mdValue("Resident",_xlnm.Database,$F342),"")</f>
        <v/>
      </c>
      <c r="B342" s="16" t="str">
        <f>IF(PersonId&lt;&gt;"",_xll.mdValue("Resident First Name",_xlnm.Database,$A$8),"")</f>
        <v/>
      </c>
      <c r="C342" s="16" t="str">
        <f>IF(PersonId&lt;&gt;"",_xll.mdValue("Resident Last Name",_xlnm.Database,$A$8),"")</f>
        <v/>
      </c>
      <c r="D342" s="16" t="str">
        <f>IF(PersonId&lt;&gt;"",_xll.mdValue("Person Accomodation Code",_xlnm.Database,$A342),"")</f>
        <v/>
      </c>
      <c r="E342" s="28" t="str">
        <f t="shared" si="10"/>
        <v/>
      </c>
      <c r="F342" s="16" t="str">
        <f>IF('Paste Here'!$A336&lt;&gt;"",'Paste Here'!$A336,"")</f>
        <v/>
      </c>
      <c r="G342" s="16" t="str">
        <f>IF('Paste Here'!$B336&lt;&gt;"",'Paste Here'!$B336,"")</f>
        <v/>
      </c>
      <c r="H342" s="16" t="str">
        <f>IF('Paste Here'!$C336&lt;&gt;"",'Paste Here'!$C336,"")</f>
        <v/>
      </c>
      <c r="I342" s="25" t="str">
        <f>IF('Paste Here'!$D336&lt;&gt;"",'Paste Here'!$D336,"")</f>
        <v/>
      </c>
      <c r="J342" s="27" t="str">
        <f>IF('Paste Here'!$E336&lt;&gt;"",'Paste Here'!$E336,"")</f>
        <v/>
      </c>
      <c r="K342" s="16" t="str">
        <f>IF('Paste Here'!$F336&lt;&gt;"",'Paste Here'!$F336,"")</f>
        <v/>
      </c>
      <c r="L342" s="16" t="str">
        <f>IF('Paste Here'!$G336&lt;&gt;"",'Paste Here'!$G336,"")</f>
        <v/>
      </c>
      <c r="M342" s="18" t="str">
        <f t="shared" si="11"/>
        <v/>
      </c>
    </row>
    <row r="343" spans="1:13" s="17" customFormat="1" x14ac:dyDescent="0.25">
      <c r="A343" s="16" t="str">
        <f>IF(URN&lt;&gt;"",_xll.mdValue("Resident",_xlnm.Database,$F343),"")</f>
        <v/>
      </c>
      <c r="B343" s="16" t="str">
        <f>IF(PersonId&lt;&gt;"",_xll.mdValue("Resident First Name",_xlnm.Database,$A$8),"")</f>
        <v/>
      </c>
      <c r="C343" s="16" t="str">
        <f>IF(PersonId&lt;&gt;"",_xll.mdValue("Resident Last Name",_xlnm.Database,$A$8),"")</f>
        <v/>
      </c>
      <c r="D343" s="16" t="str">
        <f>IF(PersonId&lt;&gt;"",_xll.mdValue("Person Accomodation Code",_xlnm.Database,$A343),"")</f>
        <v/>
      </c>
      <c r="E343" s="28" t="str">
        <f t="shared" si="10"/>
        <v/>
      </c>
      <c r="F343" s="16" t="str">
        <f>IF('Paste Here'!$A337&lt;&gt;"",'Paste Here'!$A337,"")</f>
        <v/>
      </c>
      <c r="G343" s="16" t="str">
        <f>IF('Paste Here'!$B337&lt;&gt;"",'Paste Here'!$B337,"")</f>
        <v/>
      </c>
      <c r="H343" s="16" t="str">
        <f>IF('Paste Here'!$C337&lt;&gt;"",'Paste Here'!$C337,"")</f>
        <v/>
      </c>
      <c r="I343" s="25" t="str">
        <f>IF('Paste Here'!$D337&lt;&gt;"",'Paste Here'!$D337,"")</f>
        <v/>
      </c>
      <c r="J343" s="27" t="str">
        <f>IF('Paste Here'!$E337&lt;&gt;"",'Paste Here'!$E337,"")</f>
        <v/>
      </c>
      <c r="K343" s="16" t="str">
        <f>IF('Paste Here'!$F337&lt;&gt;"",'Paste Here'!$F337,"")</f>
        <v/>
      </c>
      <c r="L343" s="16" t="str">
        <f>IF('Paste Here'!$G337&lt;&gt;"",'Paste Here'!$G337,"")</f>
        <v/>
      </c>
      <c r="M343" s="18" t="str">
        <f t="shared" si="11"/>
        <v/>
      </c>
    </row>
    <row r="344" spans="1:13" s="17" customFormat="1" x14ac:dyDescent="0.25">
      <c r="A344" s="16" t="str">
        <f>IF(URN&lt;&gt;"",_xll.mdValue("Resident",_xlnm.Database,$F344),"")</f>
        <v/>
      </c>
      <c r="B344" s="16" t="str">
        <f>IF(PersonId&lt;&gt;"",_xll.mdValue("Resident First Name",_xlnm.Database,$A$8),"")</f>
        <v/>
      </c>
      <c r="C344" s="16" t="str">
        <f>IF(PersonId&lt;&gt;"",_xll.mdValue("Resident Last Name",_xlnm.Database,$A$8),"")</f>
        <v/>
      </c>
      <c r="D344" s="16" t="str">
        <f>IF(PersonId&lt;&gt;"",_xll.mdValue("Person Accomodation Code",_xlnm.Database,$A344),"")</f>
        <v/>
      </c>
      <c r="E344" s="28" t="str">
        <f t="shared" si="10"/>
        <v/>
      </c>
      <c r="F344" s="16" t="str">
        <f>IF('Paste Here'!$A338&lt;&gt;"",'Paste Here'!$A338,"")</f>
        <v/>
      </c>
      <c r="G344" s="16" t="str">
        <f>IF('Paste Here'!$B338&lt;&gt;"",'Paste Here'!$B338,"")</f>
        <v/>
      </c>
      <c r="H344" s="16" t="str">
        <f>IF('Paste Here'!$C338&lt;&gt;"",'Paste Here'!$C338,"")</f>
        <v/>
      </c>
      <c r="I344" s="25" t="str">
        <f>IF('Paste Here'!$D338&lt;&gt;"",'Paste Here'!$D338,"")</f>
        <v/>
      </c>
      <c r="J344" s="27" t="str">
        <f>IF('Paste Here'!$E338&lt;&gt;"",'Paste Here'!$E338,"")</f>
        <v/>
      </c>
      <c r="K344" s="16" t="str">
        <f>IF('Paste Here'!$F338&lt;&gt;"",'Paste Here'!$F338,"")</f>
        <v/>
      </c>
      <c r="L344" s="16" t="str">
        <f>IF('Paste Here'!$G338&lt;&gt;"",'Paste Here'!$G338,"")</f>
        <v/>
      </c>
      <c r="M344" s="18" t="str">
        <f t="shared" si="11"/>
        <v/>
      </c>
    </row>
    <row r="345" spans="1:13" s="17" customFormat="1" x14ac:dyDescent="0.25">
      <c r="A345" s="16" t="str">
        <f>IF(URN&lt;&gt;"",_xll.mdValue("Resident",_xlnm.Database,$F345),"")</f>
        <v/>
      </c>
      <c r="B345" s="16" t="str">
        <f>IF(PersonId&lt;&gt;"",_xll.mdValue("Resident First Name",_xlnm.Database,$A$8),"")</f>
        <v/>
      </c>
      <c r="C345" s="16" t="str">
        <f>IF(PersonId&lt;&gt;"",_xll.mdValue("Resident Last Name",_xlnm.Database,$A$8),"")</f>
        <v/>
      </c>
      <c r="D345" s="16" t="str">
        <f>IF(PersonId&lt;&gt;"",_xll.mdValue("Person Accomodation Code",_xlnm.Database,$A345),"")</f>
        <v/>
      </c>
      <c r="E345" s="28" t="str">
        <f t="shared" si="10"/>
        <v/>
      </c>
      <c r="F345" s="16" t="str">
        <f>IF('Paste Here'!$A339&lt;&gt;"",'Paste Here'!$A339,"")</f>
        <v/>
      </c>
      <c r="G345" s="16" t="str">
        <f>IF('Paste Here'!$B339&lt;&gt;"",'Paste Here'!$B339,"")</f>
        <v/>
      </c>
      <c r="H345" s="16" t="str">
        <f>IF('Paste Here'!$C339&lt;&gt;"",'Paste Here'!$C339,"")</f>
        <v/>
      </c>
      <c r="I345" s="25" t="str">
        <f>IF('Paste Here'!$D339&lt;&gt;"",'Paste Here'!$D339,"")</f>
        <v/>
      </c>
      <c r="J345" s="27" t="str">
        <f>IF('Paste Here'!$E339&lt;&gt;"",'Paste Here'!$E339,"")</f>
        <v/>
      </c>
      <c r="K345" s="16" t="str">
        <f>IF('Paste Here'!$F339&lt;&gt;"",'Paste Here'!$F339,"")</f>
        <v/>
      </c>
      <c r="L345" s="16" t="str">
        <f>IF('Paste Here'!$G339&lt;&gt;"",'Paste Here'!$G339,"")</f>
        <v/>
      </c>
      <c r="M345" s="18" t="str">
        <f t="shared" si="11"/>
        <v/>
      </c>
    </row>
    <row r="346" spans="1:13" s="17" customFormat="1" x14ac:dyDescent="0.25">
      <c r="A346" s="16" t="str">
        <f>IF(URN&lt;&gt;"",_xll.mdValue("Resident",_xlnm.Database,$F346),"")</f>
        <v/>
      </c>
      <c r="B346" s="16" t="str">
        <f>IF(PersonId&lt;&gt;"",_xll.mdValue("Resident First Name",_xlnm.Database,$A$8),"")</f>
        <v/>
      </c>
      <c r="C346" s="16" t="str">
        <f>IF(PersonId&lt;&gt;"",_xll.mdValue("Resident Last Name",_xlnm.Database,$A$8),"")</f>
        <v/>
      </c>
      <c r="D346" s="16" t="str">
        <f>IF(PersonId&lt;&gt;"",_xll.mdValue("Person Accomodation Code",_xlnm.Database,$A346),"")</f>
        <v/>
      </c>
      <c r="E346" s="28" t="str">
        <f t="shared" si="10"/>
        <v/>
      </c>
      <c r="F346" s="16" t="str">
        <f>IF('Paste Here'!$A340&lt;&gt;"",'Paste Here'!$A340,"")</f>
        <v/>
      </c>
      <c r="G346" s="16" t="str">
        <f>IF('Paste Here'!$B340&lt;&gt;"",'Paste Here'!$B340,"")</f>
        <v/>
      </c>
      <c r="H346" s="16" t="str">
        <f>IF('Paste Here'!$C340&lt;&gt;"",'Paste Here'!$C340,"")</f>
        <v/>
      </c>
      <c r="I346" s="25" t="str">
        <f>IF('Paste Here'!$D340&lt;&gt;"",'Paste Here'!$D340,"")</f>
        <v/>
      </c>
      <c r="J346" s="27" t="str">
        <f>IF('Paste Here'!$E340&lt;&gt;"",'Paste Here'!$E340,"")</f>
        <v/>
      </c>
      <c r="K346" s="16" t="str">
        <f>IF('Paste Here'!$F340&lt;&gt;"",'Paste Here'!$F340,"")</f>
        <v/>
      </c>
      <c r="L346" s="16" t="str">
        <f>IF('Paste Here'!$G340&lt;&gt;"",'Paste Here'!$G340,"")</f>
        <v/>
      </c>
      <c r="M346" s="18" t="str">
        <f t="shared" si="11"/>
        <v/>
      </c>
    </row>
    <row r="347" spans="1:13" s="17" customFormat="1" x14ac:dyDescent="0.25">
      <c r="A347" s="16" t="str">
        <f>IF(URN&lt;&gt;"",_xll.mdValue("Resident",_xlnm.Database,$F347),"")</f>
        <v/>
      </c>
      <c r="B347" s="16" t="str">
        <f>IF(PersonId&lt;&gt;"",_xll.mdValue("Resident First Name",_xlnm.Database,$A$8),"")</f>
        <v/>
      </c>
      <c r="C347" s="16" t="str">
        <f>IF(PersonId&lt;&gt;"",_xll.mdValue("Resident Last Name",_xlnm.Database,$A$8),"")</f>
        <v/>
      </c>
      <c r="D347" s="16" t="str">
        <f>IF(PersonId&lt;&gt;"",_xll.mdValue("Person Accomodation Code",_xlnm.Database,$A347),"")</f>
        <v/>
      </c>
      <c r="E347" s="28" t="str">
        <f t="shared" si="10"/>
        <v/>
      </c>
      <c r="F347" s="16" t="str">
        <f>IF('Paste Here'!$A341&lt;&gt;"",'Paste Here'!$A341,"")</f>
        <v/>
      </c>
      <c r="G347" s="16" t="str">
        <f>IF('Paste Here'!$B341&lt;&gt;"",'Paste Here'!$B341,"")</f>
        <v/>
      </c>
      <c r="H347" s="16" t="str">
        <f>IF('Paste Here'!$C341&lt;&gt;"",'Paste Here'!$C341,"")</f>
        <v/>
      </c>
      <c r="I347" s="25" t="str">
        <f>IF('Paste Here'!$D341&lt;&gt;"",'Paste Here'!$D341,"")</f>
        <v/>
      </c>
      <c r="J347" s="27" t="str">
        <f>IF('Paste Here'!$E341&lt;&gt;"",'Paste Here'!$E341,"")</f>
        <v/>
      </c>
      <c r="K347" s="16" t="str">
        <f>IF('Paste Here'!$F341&lt;&gt;"",'Paste Here'!$F341,"")</f>
        <v/>
      </c>
      <c r="L347" s="16" t="str">
        <f>IF('Paste Here'!$G341&lt;&gt;"",'Paste Here'!$G341,"")</f>
        <v/>
      </c>
      <c r="M347" s="18" t="str">
        <f t="shared" si="11"/>
        <v/>
      </c>
    </row>
    <row r="348" spans="1:13" s="17" customFormat="1" x14ac:dyDescent="0.25">
      <c r="A348" s="16" t="str">
        <f>IF(URN&lt;&gt;"",_xll.mdValue("Resident",_xlnm.Database,$F348),"")</f>
        <v/>
      </c>
      <c r="B348" s="16" t="str">
        <f>IF(PersonId&lt;&gt;"",_xll.mdValue("Resident First Name",_xlnm.Database,$A$8),"")</f>
        <v/>
      </c>
      <c r="C348" s="16" t="str">
        <f>IF(PersonId&lt;&gt;"",_xll.mdValue("Resident Last Name",_xlnm.Database,$A$8),"")</f>
        <v/>
      </c>
      <c r="D348" s="16" t="str">
        <f>IF(PersonId&lt;&gt;"",_xll.mdValue("Person Accomodation Code",_xlnm.Database,$A348),"")</f>
        <v/>
      </c>
      <c r="E348" s="28" t="str">
        <f t="shared" si="10"/>
        <v/>
      </c>
      <c r="F348" s="16" t="str">
        <f>IF('Paste Here'!$A342&lt;&gt;"",'Paste Here'!$A342,"")</f>
        <v/>
      </c>
      <c r="G348" s="16" t="str">
        <f>IF('Paste Here'!$B342&lt;&gt;"",'Paste Here'!$B342,"")</f>
        <v/>
      </c>
      <c r="H348" s="16" t="str">
        <f>IF('Paste Here'!$C342&lt;&gt;"",'Paste Here'!$C342,"")</f>
        <v/>
      </c>
      <c r="I348" s="25" t="str">
        <f>IF('Paste Here'!$D342&lt;&gt;"",'Paste Here'!$D342,"")</f>
        <v/>
      </c>
      <c r="J348" s="27" t="str">
        <f>IF('Paste Here'!$E342&lt;&gt;"",'Paste Here'!$E342,"")</f>
        <v/>
      </c>
      <c r="K348" s="16" t="str">
        <f>IF('Paste Here'!$F342&lt;&gt;"",'Paste Here'!$F342,"")</f>
        <v/>
      </c>
      <c r="L348" s="16" t="str">
        <f>IF('Paste Here'!$G342&lt;&gt;"",'Paste Here'!$G342,"")</f>
        <v/>
      </c>
      <c r="M348" s="18" t="str">
        <f t="shared" si="11"/>
        <v/>
      </c>
    </row>
    <row r="349" spans="1:13" s="17" customFormat="1" x14ac:dyDescent="0.25">
      <c r="A349" s="16" t="str">
        <f>IF(URN&lt;&gt;"",_xll.mdValue("Resident",_xlnm.Database,$F349),"")</f>
        <v/>
      </c>
      <c r="B349" s="16" t="str">
        <f>IF(PersonId&lt;&gt;"",_xll.mdValue("Resident First Name",_xlnm.Database,$A$8),"")</f>
        <v/>
      </c>
      <c r="C349" s="16" t="str">
        <f>IF(PersonId&lt;&gt;"",_xll.mdValue("Resident Last Name",_xlnm.Database,$A$8),"")</f>
        <v/>
      </c>
      <c r="D349" s="16" t="str">
        <f>IF(PersonId&lt;&gt;"",_xll.mdValue("Person Accomodation Code",_xlnm.Database,$A349),"")</f>
        <v/>
      </c>
      <c r="E349" s="28" t="str">
        <f t="shared" si="10"/>
        <v/>
      </c>
      <c r="F349" s="16" t="str">
        <f>IF('Paste Here'!$A343&lt;&gt;"",'Paste Here'!$A343,"")</f>
        <v/>
      </c>
      <c r="G349" s="16" t="str">
        <f>IF('Paste Here'!$B343&lt;&gt;"",'Paste Here'!$B343,"")</f>
        <v/>
      </c>
      <c r="H349" s="16" t="str">
        <f>IF('Paste Here'!$C343&lt;&gt;"",'Paste Here'!$C343,"")</f>
        <v/>
      </c>
      <c r="I349" s="25" t="str">
        <f>IF('Paste Here'!$D343&lt;&gt;"",'Paste Here'!$D343,"")</f>
        <v/>
      </c>
      <c r="J349" s="27" t="str">
        <f>IF('Paste Here'!$E343&lt;&gt;"",'Paste Here'!$E343,"")</f>
        <v/>
      </c>
      <c r="K349" s="16" t="str">
        <f>IF('Paste Here'!$F343&lt;&gt;"",'Paste Here'!$F343,"")</f>
        <v/>
      </c>
      <c r="L349" s="16" t="str">
        <f>IF('Paste Here'!$G343&lt;&gt;"",'Paste Here'!$G343,"")</f>
        <v/>
      </c>
      <c r="M349" s="18" t="str">
        <f t="shared" si="11"/>
        <v/>
      </c>
    </row>
    <row r="350" spans="1:13" s="17" customFormat="1" x14ac:dyDescent="0.25">
      <c r="A350" s="16" t="str">
        <f>IF(URN&lt;&gt;"",_xll.mdValue("Resident",_xlnm.Database,$F350),"")</f>
        <v/>
      </c>
      <c r="B350" s="16" t="str">
        <f>IF(PersonId&lt;&gt;"",_xll.mdValue("Resident First Name",_xlnm.Database,$A$8),"")</f>
        <v/>
      </c>
      <c r="C350" s="16" t="str">
        <f>IF(PersonId&lt;&gt;"",_xll.mdValue("Resident Last Name",_xlnm.Database,$A$8),"")</f>
        <v/>
      </c>
      <c r="D350" s="16" t="str">
        <f>IF(PersonId&lt;&gt;"",_xll.mdValue("Person Accomodation Code",_xlnm.Database,$A350),"")</f>
        <v/>
      </c>
      <c r="E350" s="28" t="str">
        <f t="shared" si="10"/>
        <v/>
      </c>
      <c r="F350" s="16" t="str">
        <f>IF('Paste Here'!$A344&lt;&gt;"",'Paste Here'!$A344,"")</f>
        <v/>
      </c>
      <c r="G350" s="16" t="str">
        <f>IF('Paste Here'!$B344&lt;&gt;"",'Paste Here'!$B344,"")</f>
        <v/>
      </c>
      <c r="H350" s="16" t="str">
        <f>IF('Paste Here'!$C344&lt;&gt;"",'Paste Here'!$C344,"")</f>
        <v/>
      </c>
      <c r="I350" s="25" t="str">
        <f>IF('Paste Here'!$D344&lt;&gt;"",'Paste Here'!$D344,"")</f>
        <v/>
      </c>
      <c r="J350" s="27" t="str">
        <f>IF('Paste Here'!$E344&lt;&gt;"",'Paste Here'!$E344,"")</f>
        <v/>
      </c>
      <c r="K350" s="16" t="str">
        <f>IF('Paste Here'!$F344&lt;&gt;"",'Paste Here'!$F344,"")</f>
        <v/>
      </c>
      <c r="L350" s="16" t="str">
        <f>IF('Paste Here'!$G344&lt;&gt;"",'Paste Here'!$G344,"")</f>
        <v/>
      </c>
      <c r="M350" s="18" t="str">
        <f t="shared" si="11"/>
        <v/>
      </c>
    </row>
    <row r="351" spans="1:13" s="17" customFormat="1" x14ac:dyDescent="0.25">
      <c r="A351" s="16" t="str">
        <f>IF(URN&lt;&gt;"",_xll.mdValue("Resident",_xlnm.Database,$F351),"")</f>
        <v/>
      </c>
      <c r="B351" s="16" t="str">
        <f>IF(PersonId&lt;&gt;"",_xll.mdValue("Resident First Name",_xlnm.Database,$A$8),"")</f>
        <v/>
      </c>
      <c r="C351" s="16" t="str">
        <f>IF(PersonId&lt;&gt;"",_xll.mdValue("Resident Last Name",_xlnm.Database,$A$8),"")</f>
        <v/>
      </c>
      <c r="D351" s="16" t="str">
        <f>IF(PersonId&lt;&gt;"",_xll.mdValue("Person Accomodation Code",_xlnm.Database,$A351),"")</f>
        <v/>
      </c>
      <c r="E351" s="28" t="str">
        <f t="shared" si="10"/>
        <v/>
      </c>
      <c r="F351" s="16" t="str">
        <f>IF('Paste Here'!$A345&lt;&gt;"",'Paste Here'!$A345,"")</f>
        <v/>
      </c>
      <c r="G351" s="16" t="str">
        <f>IF('Paste Here'!$B345&lt;&gt;"",'Paste Here'!$B345,"")</f>
        <v/>
      </c>
      <c r="H351" s="16" t="str">
        <f>IF('Paste Here'!$C345&lt;&gt;"",'Paste Here'!$C345,"")</f>
        <v/>
      </c>
      <c r="I351" s="25" t="str">
        <f>IF('Paste Here'!$D345&lt;&gt;"",'Paste Here'!$D345,"")</f>
        <v/>
      </c>
      <c r="J351" s="27" t="str">
        <f>IF('Paste Here'!$E345&lt;&gt;"",'Paste Here'!$E345,"")</f>
        <v/>
      </c>
      <c r="K351" s="16" t="str">
        <f>IF('Paste Here'!$F345&lt;&gt;"",'Paste Here'!$F345,"")</f>
        <v/>
      </c>
      <c r="L351" s="16" t="str">
        <f>IF('Paste Here'!$G345&lt;&gt;"",'Paste Here'!$G345,"")</f>
        <v/>
      </c>
      <c r="M351" s="18" t="str">
        <f t="shared" si="11"/>
        <v/>
      </c>
    </row>
    <row r="352" spans="1:13" s="17" customFormat="1" x14ac:dyDescent="0.25">
      <c r="A352" s="16" t="str">
        <f>IF(URN&lt;&gt;"",_xll.mdValue("Resident",_xlnm.Database,$F352),"")</f>
        <v/>
      </c>
      <c r="B352" s="16" t="str">
        <f>IF(PersonId&lt;&gt;"",_xll.mdValue("Resident First Name",_xlnm.Database,$A$8),"")</f>
        <v/>
      </c>
      <c r="C352" s="16" t="str">
        <f>IF(PersonId&lt;&gt;"",_xll.mdValue("Resident Last Name",_xlnm.Database,$A$8),"")</f>
        <v/>
      </c>
      <c r="D352" s="16" t="str">
        <f>IF(PersonId&lt;&gt;"",_xll.mdValue("Person Accomodation Code",_xlnm.Database,$A352),"")</f>
        <v/>
      </c>
      <c r="E352" s="28" t="str">
        <f t="shared" si="10"/>
        <v/>
      </c>
      <c r="F352" s="16" t="str">
        <f>IF('Paste Here'!$A346&lt;&gt;"",'Paste Here'!$A346,"")</f>
        <v/>
      </c>
      <c r="G352" s="16" t="str">
        <f>IF('Paste Here'!$B346&lt;&gt;"",'Paste Here'!$B346,"")</f>
        <v/>
      </c>
      <c r="H352" s="16" t="str">
        <f>IF('Paste Here'!$C346&lt;&gt;"",'Paste Here'!$C346,"")</f>
        <v/>
      </c>
      <c r="I352" s="25" t="str">
        <f>IF('Paste Here'!$D346&lt;&gt;"",'Paste Here'!$D346,"")</f>
        <v/>
      </c>
      <c r="J352" s="27" t="str">
        <f>IF('Paste Here'!$E346&lt;&gt;"",'Paste Here'!$E346,"")</f>
        <v/>
      </c>
      <c r="K352" s="16" t="str">
        <f>IF('Paste Here'!$F346&lt;&gt;"",'Paste Here'!$F346,"")</f>
        <v/>
      </c>
      <c r="L352" s="16" t="str">
        <f>IF('Paste Here'!$G346&lt;&gt;"",'Paste Here'!$G346,"")</f>
        <v/>
      </c>
      <c r="M352" s="18" t="str">
        <f t="shared" si="11"/>
        <v/>
      </c>
    </row>
    <row r="353" spans="1:13" s="17" customFormat="1" x14ac:dyDescent="0.25">
      <c r="A353" s="16" t="str">
        <f>IF(URN&lt;&gt;"",_xll.mdValue("Resident",_xlnm.Database,$F353),"")</f>
        <v/>
      </c>
      <c r="B353" s="16" t="str">
        <f>IF(PersonId&lt;&gt;"",_xll.mdValue("Resident First Name",_xlnm.Database,$A$8),"")</f>
        <v/>
      </c>
      <c r="C353" s="16" t="str">
        <f>IF(PersonId&lt;&gt;"",_xll.mdValue("Resident Last Name",_xlnm.Database,$A$8),"")</f>
        <v/>
      </c>
      <c r="D353" s="16" t="str">
        <f>IF(PersonId&lt;&gt;"",_xll.mdValue("Person Accomodation Code",_xlnm.Database,$A353),"")</f>
        <v/>
      </c>
      <c r="E353" s="28" t="str">
        <f t="shared" si="10"/>
        <v/>
      </c>
      <c r="F353" s="16" t="str">
        <f>IF('Paste Here'!$A347&lt;&gt;"",'Paste Here'!$A347,"")</f>
        <v/>
      </c>
      <c r="G353" s="16" t="str">
        <f>IF('Paste Here'!$B347&lt;&gt;"",'Paste Here'!$B347,"")</f>
        <v/>
      </c>
      <c r="H353" s="16" t="str">
        <f>IF('Paste Here'!$C347&lt;&gt;"",'Paste Here'!$C347,"")</f>
        <v/>
      </c>
      <c r="I353" s="25" t="str">
        <f>IF('Paste Here'!$D347&lt;&gt;"",'Paste Here'!$D347,"")</f>
        <v/>
      </c>
      <c r="J353" s="27" t="str">
        <f>IF('Paste Here'!$E347&lt;&gt;"",'Paste Here'!$E347,"")</f>
        <v/>
      </c>
      <c r="K353" s="16" t="str">
        <f>IF('Paste Here'!$F347&lt;&gt;"",'Paste Here'!$F347,"")</f>
        <v/>
      </c>
      <c r="L353" s="16" t="str">
        <f>IF('Paste Here'!$G347&lt;&gt;"",'Paste Here'!$G347,"")</f>
        <v/>
      </c>
      <c r="M353" s="18" t="str">
        <f t="shared" si="11"/>
        <v/>
      </c>
    </row>
    <row r="354" spans="1:13" s="17" customFormat="1" x14ac:dyDescent="0.25">
      <c r="A354" s="16" t="str">
        <f>IF(URN&lt;&gt;"",_xll.mdValue("Resident",_xlnm.Database,$F354),"")</f>
        <v/>
      </c>
      <c r="B354" s="16" t="str">
        <f>IF(PersonId&lt;&gt;"",_xll.mdValue("Resident First Name",_xlnm.Database,$A$8),"")</f>
        <v/>
      </c>
      <c r="C354" s="16" t="str">
        <f>IF(PersonId&lt;&gt;"",_xll.mdValue("Resident Last Name",_xlnm.Database,$A$8),"")</f>
        <v/>
      </c>
      <c r="D354" s="16" t="str">
        <f>IF(PersonId&lt;&gt;"",_xll.mdValue("Person Accomodation Code",_xlnm.Database,$A354),"")</f>
        <v/>
      </c>
      <c r="E354" s="28" t="str">
        <f t="shared" si="10"/>
        <v/>
      </c>
      <c r="F354" s="16" t="str">
        <f>IF('Paste Here'!$A348&lt;&gt;"",'Paste Here'!$A348,"")</f>
        <v/>
      </c>
      <c r="G354" s="16" t="str">
        <f>IF('Paste Here'!$B348&lt;&gt;"",'Paste Here'!$B348,"")</f>
        <v/>
      </c>
      <c r="H354" s="16" t="str">
        <f>IF('Paste Here'!$C348&lt;&gt;"",'Paste Here'!$C348,"")</f>
        <v/>
      </c>
      <c r="I354" s="25" t="str">
        <f>IF('Paste Here'!$D348&lt;&gt;"",'Paste Here'!$D348,"")</f>
        <v/>
      </c>
      <c r="J354" s="27" t="str">
        <f>IF('Paste Here'!$E348&lt;&gt;"",'Paste Here'!$E348,"")</f>
        <v/>
      </c>
      <c r="K354" s="16" t="str">
        <f>IF('Paste Here'!$F348&lt;&gt;"",'Paste Here'!$F348,"")</f>
        <v/>
      </c>
      <c r="L354" s="16" t="str">
        <f>IF('Paste Here'!$G348&lt;&gt;"",'Paste Here'!$G348,"")</f>
        <v/>
      </c>
      <c r="M354" s="18" t="str">
        <f t="shared" si="11"/>
        <v/>
      </c>
    </row>
    <row r="355" spans="1:13" s="17" customFormat="1" x14ac:dyDescent="0.25">
      <c r="A355" s="16" t="str">
        <f>IF(URN&lt;&gt;"",_xll.mdValue("Resident",_xlnm.Database,$F355),"")</f>
        <v/>
      </c>
      <c r="B355" s="16" t="str">
        <f>IF(PersonId&lt;&gt;"",_xll.mdValue("Resident First Name",_xlnm.Database,$A$8),"")</f>
        <v/>
      </c>
      <c r="C355" s="16" t="str">
        <f>IF(PersonId&lt;&gt;"",_xll.mdValue("Resident Last Name",_xlnm.Database,$A$8),"")</f>
        <v/>
      </c>
      <c r="D355" s="16" t="str">
        <f>IF(PersonId&lt;&gt;"",_xll.mdValue("Person Accomodation Code",_xlnm.Database,$A355),"")</f>
        <v/>
      </c>
      <c r="E355" s="28" t="str">
        <f t="shared" si="10"/>
        <v/>
      </c>
      <c r="F355" s="16" t="str">
        <f>IF('Paste Here'!$A349&lt;&gt;"",'Paste Here'!$A349,"")</f>
        <v/>
      </c>
      <c r="G355" s="16" t="str">
        <f>IF('Paste Here'!$B349&lt;&gt;"",'Paste Here'!$B349,"")</f>
        <v/>
      </c>
      <c r="H355" s="16" t="str">
        <f>IF('Paste Here'!$C349&lt;&gt;"",'Paste Here'!$C349,"")</f>
        <v/>
      </c>
      <c r="I355" s="25" t="str">
        <f>IF('Paste Here'!$D349&lt;&gt;"",'Paste Here'!$D349,"")</f>
        <v/>
      </c>
      <c r="J355" s="27" t="str">
        <f>IF('Paste Here'!$E349&lt;&gt;"",'Paste Here'!$E349,"")</f>
        <v/>
      </c>
      <c r="K355" s="16" t="str">
        <f>IF('Paste Here'!$F349&lt;&gt;"",'Paste Here'!$F349,"")</f>
        <v/>
      </c>
      <c r="L355" s="16" t="str">
        <f>IF('Paste Here'!$G349&lt;&gt;"",'Paste Here'!$G349,"")</f>
        <v/>
      </c>
      <c r="M355" s="18" t="str">
        <f t="shared" si="11"/>
        <v/>
      </c>
    </row>
    <row r="356" spans="1:13" s="17" customFormat="1" x14ac:dyDescent="0.25">
      <c r="A356" s="16" t="str">
        <f>IF(URN&lt;&gt;"",_xll.mdValue("Resident",_xlnm.Database,$F356),"")</f>
        <v/>
      </c>
      <c r="B356" s="16" t="str">
        <f>IF(PersonId&lt;&gt;"",_xll.mdValue("Resident First Name",_xlnm.Database,$A$8),"")</f>
        <v/>
      </c>
      <c r="C356" s="16" t="str">
        <f>IF(PersonId&lt;&gt;"",_xll.mdValue("Resident Last Name",_xlnm.Database,$A$8),"")</f>
        <v/>
      </c>
      <c r="D356" s="16" t="str">
        <f>IF(PersonId&lt;&gt;"",_xll.mdValue("Person Accomodation Code",_xlnm.Database,$A356),"")</f>
        <v/>
      </c>
      <c r="E356" s="28" t="str">
        <f t="shared" si="10"/>
        <v/>
      </c>
      <c r="F356" s="16" t="str">
        <f>IF('Paste Here'!$A350&lt;&gt;"",'Paste Here'!$A350,"")</f>
        <v/>
      </c>
      <c r="G356" s="16" t="str">
        <f>IF('Paste Here'!$B350&lt;&gt;"",'Paste Here'!$B350,"")</f>
        <v/>
      </c>
      <c r="H356" s="16" t="str">
        <f>IF('Paste Here'!$C350&lt;&gt;"",'Paste Here'!$C350,"")</f>
        <v/>
      </c>
      <c r="I356" s="25" t="str">
        <f>IF('Paste Here'!$D350&lt;&gt;"",'Paste Here'!$D350,"")</f>
        <v/>
      </c>
      <c r="J356" s="27" t="str">
        <f>IF('Paste Here'!$E350&lt;&gt;"",'Paste Here'!$E350,"")</f>
        <v/>
      </c>
      <c r="K356" s="16" t="str">
        <f>IF('Paste Here'!$F350&lt;&gt;"",'Paste Here'!$F350,"")</f>
        <v/>
      </c>
      <c r="L356" s="16" t="str">
        <f>IF('Paste Here'!$G350&lt;&gt;"",'Paste Here'!$G350,"")</f>
        <v/>
      </c>
      <c r="M356" s="18" t="str">
        <f t="shared" si="11"/>
        <v/>
      </c>
    </row>
    <row r="357" spans="1:13" s="17" customFormat="1" x14ac:dyDescent="0.25">
      <c r="A357" s="16" t="str">
        <f>IF(URN&lt;&gt;"",_xll.mdValue("Resident",_xlnm.Database,$F357),"")</f>
        <v/>
      </c>
      <c r="B357" s="16" t="str">
        <f>IF(PersonId&lt;&gt;"",_xll.mdValue("Resident First Name",_xlnm.Database,$A$8),"")</f>
        <v/>
      </c>
      <c r="C357" s="16" t="str">
        <f>IF(PersonId&lt;&gt;"",_xll.mdValue("Resident Last Name",_xlnm.Database,$A$8),"")</f>
        <v/>
      </c>
      <c r="D357" s="16" t="str">
        <f>IF(PersonId&lt;&gt;"",_xll.mdValue("Person Accomodation Code",_xlnm.Database,$A357),"")</f>
        <v/>
      </c>
      <c r="E357" s="28" t="str">
        <f t="shared" si="10"/>
        <v/>
      </c>
      <c r="F357" s="16" t="str">
        <f>IF('Paste Here'!$A351&lt;&gt;"",'Paste Here'!$A351,"")</f>
        <v/>
      </c>
      <c r="G357" s="16" t="str">
        <f>IF('Paste Here'!$B351&lt;&gt;"",'Paste Here'!$B351,"")</f>
        <v/>
      </c>
      <c r="H357" s="16" t="str">
        <f>IF('Paste Here'!$C351&lt;&gt;"",'Paste Here'!$C351,"")</f>
        <v/>
      </c>
      <c r="I357" s="25" t="str">
        <f>IF('Paste Here'!$D351&lt;&gt;"",'Paste Here'!$D351,"")</f>
        <v/>
      </c>
      <c r="J357" s="27" t="str">
        <f>IF('Paste Here'!$E351&lt;&gt;"",'Paste Here'!$E351,"")</f>
        <v/>
      </c>
      <c r="K357" s="16" t="str">
        <f>IF('Paste Here'!$F351&lt;&gt;"",'Paste Here'!$F351,"")</f>
        <v/>
      </c>
      <c r="L357" s="16" t="str">
        <f>IF('Paste Here'!$G351&lt;&gt;"",'Paste Here'!$G351,"")</f>
        <v/>
      </c>
      <c r="M357" s="18" t="str">
        <f t="shared" si="11"/>
        <v/>
      </c>
    </row>
    <row r="358" spans="1:13" s="17" customFormat="1" x14ac:dyDescent="0.25">
      <c r="A358" s="16" t="str">
        <f>IF(URN&lt;&gt;"",_xll.mdValue("Resident",_xlnm.Database,$F358),"")</f>
        <v/>
      </c>
      <c r="B358" s="16" t="str">
        <f>IF(PersonId&lt;&gt;"",_xll.mdValue("Resident First Name",_xlnm.Database,$A$8),"")</f>
        <v/>
      </c>
      <c r="C358" s="16" t="str">
        <f>IF(PersonId&lt;&gt;"",_xll.mdValue("Resident Last Name",_xlnm.Database,$A$8),"")</f>
        <v/>
      </c>
      <c r="D358" s="16" t="str">
        <f>IF(PersonId&lt;&gt;"",_xll.mdValue("Person Accomodation Code",_xlnm.Database,$A358),"")</f>
        <v/>
      </c>
      <c r="E358" s="28" t="str">
        <f t="shared" si="10"/>
        <v/>
      </c>
      <c r="F358" s="16" t="str">
        <f>IF('Paste Here'!$A352&lt;&gt;"",'Paste Here'!$A352,"")</f>
        <v/>
      </c>
      <c r="G358" s="16" t="str">
        <f>IF('Paste Here'!$B352&lt;&gt;"",'Paste Here'!$B352,"")</f>
        <v/>
      </c>
      <c r="H358" s="16" t="str">
        <f>IF('Paste Here'!$C352&lt;&gt;"",'Paste Here'!$C352,"")</f>
        <v/>
      </c>
      <c r="I358" s="25" t="str">
        <f>IF('Paste Here'!$D352&lt;&gt;"",'Paste Here'!$D352,"")</f>
        <v/>
      </c>
      <c r="J358" s="27" t="str">
        <f>IF('Paste Here'!$E352&lt;&gt;"",'Paste Here'!$E352,"")</f>
        <v/>
      </c>
      <c r="K358" s="16" t="str">
        <f>IF('Paste Here'!$F352&lt;&gt;"",'Paste Here'!$F352,"")</f>
        <v/>
      </c>
      <c r="L358" s="16" t="str">
        <f>IF('Paste Here'!$G352&lt;&gt;"",'Paste Here'!$G352,"")</f>
        <v/>
      </c>
      <c r="M358" s="18" t="str">
        <f t="shared" si="11"/>
        <v/>
      </c>
    </row>
    <row r="359" spans="1:13" s="17" customFormat="1" x14ac:dyDescent="0.25">
      <c r="A359" s="16" t="str">
        <f>IF(URN&lt;&gt;"",_xll.mdValue("Resident",_xlnm.Database,$F359),"")</f>
        <v/>
      </c>
      <c r="B359" s="16" t="str">
        <f>IF(PersonId&lt;&gt;"",_xll.mdValue("Resident First Name",_xlnm.Database,$A$8),"")</f>
        <v/>
      </c>
      <c r="C359" s="16" t="str">
        <f>IF(PersonId&lt;&gt;"",_xll.mdValue("Resident Last Name",_xlnm.Database,$A$8),"")</f>
        <v/>
      </c>
      <c r="D359" s="16" t="str">
        <f>IF(PersonId&lt;&gt;"",_xll.mdValue("Person Accomodation Code",_xlnm.Database,$A359),"")</f>
        <v/>
      </c>
      <c r="E359" s="28" t="str">
        <f t="shared" si="10"/>
        <v/>
      </c>
      <c r="F359" s="16" t="str">
        <f>IF('Paste Here'!$A353&lt;&gt;"",'Paste Here'!$A353,"")</f>
        <v/>
      </c>
      <c r="G359" s="16" t="str">
        <f>IF('Paste Here'!$B353&lt;&gt;"",'Paste Here'!$B353,"")</f>
        <v/>
      </c>
      <c r="H359" s="16" t="str">
        <f>IF('Paste Here'!$C353&lt;&gt;"",'Paste Here'!$C353,"")</f>
        <v/>
      </c>
      <c r="I359" s="25" t="str">
        <f>IF('Paste Here'!$D353&lt;&gt;"",'Paste Here'!$D353,"")</f>
        <v/>
      </c>
      <c r="J359" s="27" t="str">
        <f>IF('Paste Here'!$E353&lt;&gt;"",'Paste Here'!$E353,"")</f>
        <v/>
      </c>
      <c r="K359" s="16" t="str">
        <f>IF('Paste Here'!$F353&lt;&gt;"",'Paste Here'!$F353,"")</f>
        <v/>
      </c>
      <c r="L359" s="16" t="str">
        <f>IF('Paste Here'!$G353&lt;&gt;"",'Paste Here'!$G353,"")</f>
        <v/>
      </c>
      <c r="M359" s="18" t="str">
        <f t="shared" si="11"/>
        <v/>
      </c>
    </row>
    <row r="360" spans="1:13" s="17" customFormat="1" x14ac:dyDescent="0.25">
      <c r="A360" s="16" t="str">
        <f>IF(URN&lt;&gt;"",_xll.mdValue("Resident",_xlnm.Database,$F360),"")</f>
        <v/>
      </c>
      <c r="B360" s="16" t="str">
        <f>IF(PersonId&lt;&gt;"",_xll.mdValue("Resident First Name",_xlnm.Database,$A$8),"")</f>
        <v/>
      </c>
      <c r="C360" s="16" t="str">
        <f>IF(PersonId&lt;&gt;"",_xll.mdValue("Resident Last Name",_xlnm.Database,$A$8),"")</f>
        <v/>
      </c>
      <c r="D360" s="16" t="str">
        <f>IF(PersonId&lt;&gt;"",_xll.mdValue("Person Accomodation Code",_xlnm.Database,$A360),"")</f>
        <v/>
      </c>
      <c r="E360" s="28" t="str">
        <f t="shared" si="10"/>
        <v/>
      </c>
      <c r="F360" s="16" t="str">
        <f>IF('Paste Here'!$A354&lt;&gt;"",'Paste Here'!$A354,"")</f>
        <v/>
      </c>
      <c r="G360" s="16" t="str">
        <f>IF('Paste Here'!$B354&lt;&gt;"",'Paste Here'!$B354,"")</f>
        <v/>
      </c>
      <c r="H360" s="16" t="str">
        <f>IF('Paste Here'!$C354&lt;&gt;"",'Paste Here'!$C354,"")</f>
        <v/>
      </c>
      <c r="I360" s="25" t="str">
        <f>IF('Paste Here'!$D354&lt;&gt;"",'Paste Here'!$D354,"")</f>
        <v/>
      </c>
      <c r="J360" s="27" t="str">
        <f>IF('Paste Here'!$E354&lt;&gt;"",'Paste Here'!$E354,"")</f>
        <v/>
      </c>
      <c r="K360" s="16" t="str">
        <f>IF('Paste Here'!$F354&lt;&gt;"",'Paste Here'!$F354,"")</f>
        <v/>
      </c>
      <c r="L360" s="16" t="str">
        <f>IF('Paste Here'!$G354&lt;&gt;"",'Paste Here'!$G354,"")</f>
        <v/>
      </c>
      <c r="M360" s="18" t="str">
        <f t="shared" si="11"/>
        <v/>
      </c>
    </row>
    <row r="361" spans="1:13" s="17" customFormat="1" x14ac:dyDescent="0.25">
      <c r="A361" s="16" t="str">
        <f>IF(URN&lt;&gt;"",_xll.mdValue("Resident",_xlnm.Database,$F361),"")</f>
        <v/>
      </c>
      <c r="B361" s="16" t="str">
        <f>IF(PersonId&lt;&gt;"",_xll.mdValue("Resident First Name",_xlnm.Database,$A$8),"")</f>
        <v/>
      </c>
      <c r="C361" s="16" t="str">
        <f>IF(PersonId&lt;&gt;"",_xll.mdValue("Resident Last Name",_xlnm.Database,$A$8),"")</f>
        <v/>
      </c>
      <c r="D361" s="16" t="str">
        <f>IF(PersonId&lt;&gt;"",_xll.mdValue("Person Accomodation Code",_xlnm.Database,$A361),"")</f>
        <v/>
      </c>
      <c r="E361" s="28" t="str">
        <f t="shared" si="10"/>
        <v/>
      </c>
      <c r="F361" s="16" t="str">
        <f>IF('Paste Here'!$A355&lt;&gt;"",'Paste Here'!$A355,"")</f>
        <v/>
      </c>
      <c r="G361" s="16" t="str">
        <f>IF('Paste Here'!$B355&lt;&gt;"",'Paste Here'!$B355,"")</f>
        <v/>
      </c>
      <c r="H361" s="16" t="str">
        <f>IF('Paste Here'!$C355&lt;&gt;"",'Paste Here'!$C355,"")</f>
        <v/>
      </c>
      <c r="I361" s="25" t="str">
        <f>IF('Paste Here'!$D355&lt;&gt;"",'Paste Here'!$D355,"")</f>
        <v/>
      </c>
      <c r="J361" s="27" t="str">
        <f>IF('Paste Here'!$E355&lt;&gt;"",'Paste Here'!$E355,"")</f>
        <v/>
      </c>
      <c r="K361" s="16" t="str">
        <f>IF('Paste Here'!$F355&lt;&gt;"",'Paste Here'!$F355,"")</f>
        <v/>
      </c>
      <c r="L361" s="16" t="str">
        <f>IF('Paste Here'!$G355&lt;&gt;"",'Paste Here'!$G355,"")</f>
        <v/>
      </c>
      <c r="M361" s="18" t="str">
        <f t="shared" si="11"/>
        <v/>
      </c>
    </row>
    <row r="362" spans="1:13" s="17" customFormat="1" x14ac:dyDescent="0.25">
      <c r="A362" s="16" t="str">
        <f>IF(URN&lt;&gt;"",_xll.mdValue("Resident",_xlnm.Database,$F362),"")</f>
        <v/>
      </c>
      <c r="B362" s="16" t="str">
        <f>IF(PersonId&lt;&gt;"",_xll.mdValue("Resident First Name",_xlnm.Database,$A$8),"")</f>
        <v/>
      </c>
      <c r="C362" s="16" t="str">
        <f>IF(PersonId&lt;&gt;"",_xll.mdValue("Resident Last Name",_xlnm.Database,$A$8),"")</f>
        <v/>
      </c>
      <c r="D362" s="16" t="str">
        <f>IF(PersonId&lt;&gt;"",_xll.mdValue("Person Accomodation Code",_xlnm.Database,$A362),"")</f>
        <v/>
      </c>
      <c r="E362" s="28" t="str">
        <f t="shared" si="10"/>
        <v/>
      </c>
      <c r="F362" s="16" t="str">
        <f>IF('Paste Here'!$A356&lt;&gt;"",'Paste Here'!$A356,"")</f>
        <v/>
      </c>
      <c r="G362" s="16" t="str">
        <f>IF('Paste Here'!$B356&lt;&gt;"",'Paste Here'!$B356,"")</f>
        <v/>
      </c>
      <c r="H362" s="16" t="str">
        <f>IF('Paste Here'!$C356&lt;&gt;"",'Paste Here'!$C356,"")</f>
        <v/>
      </c>
      <c r="I362" s="25" t="str">
        <f>IF('Paste Here'!$D356&lt;&gt;"",'Paste Here'!$D356,"")</f>
        <v/>
      </c>
      <c r="J362" s="27" t="str">
        <f>IF('Paste Here'!$E356&lt;&gt;"",'Paste Here'!$E356,"")</f>
        <v/>
      </c>
      <c r="K362" s="16" t="str">
        <f>IF('Paste Here'!$F356&lt;&gt;"",'Paste Here'!$F356,"")</f>
        <v/>
      </c>
      <c r="L362" s="16" t="str">
        <f>IF('Paste Here'!$G356&lt;&gt;"",'Paste Here'!$G356,"")</f>
        <v/>
      </c>
      <c r="M362" s="18" t="str">
        <f t="shared" si="11"/>
        <v/>
      </c>
    </row>
    <row r="363" spans="1:13" s="17" customFormat="1" x14ac:dyDescent="0.25">
      <c r="A363" s="16" t="str">
        <f>IF(URN&lt;&gt;"",_xll.mdValue("Resident",_xlnm.Database,$F363),"")</f>
        <v/>
      </c>
      <c r="B363" s="16" t="str">
        <f>IF(PersonId&lt;&gt;"",_xll.mdValue("Resident First Name",_xlnm.Database,$A$8),"")</f>
        <v/>
      </c>
      <c r="C363" s="16" t="str">
        <f>IF(PersonId&lt;&gt;"",_xll.mdValue("Resident Last Name",_xlnm.Database,$A$8),"")</f>
        <v/>
      </c>
      <c r="D363" s="16" t="str">
        <f>IF(PersonId&lt;&gt;"",_xll.mdValue("Person Accomodation Code",_xlnm.Database,$A363),"")</f>
        <v/>
      </c>
      <c r="E363" s="28" t="str">
        <f t="shared" si="10"/>
        <v/>
      </c>
      <c r="F363" s="16" t="str">
        <f>IF('Paste Here'!$A357&lt;&gt;"",'Paste Here'!$A357,"")</f>
        <v/>
      </c>
      <c r="G363" s="16" t="str">
        <f>IF('Paste Here'!$B357&lt;&gt;"",'Paste Here'!$B357,"")</f>
        <v/>
      </c>
      <c r="H363" s="16" t="str">
        <f>IF('Paste Here'!$C357&lt;&gt;"",'Paste Here'!$C357,"")</f>
        <v/>
      </c>
      <c r="I363" s="25" t="str">
        <f>IF('Paste Here'!$D357&lt;&gt;"",'Paste Here'!$D357,"")</f>
        <v/>
      </c>
      <c r="J363" s="27" t="str">
        <f>IF('Paste Here'!$E357&lt;&gt;"",'Paste Here'!$E357,"")</f>
        <v/>
      </c>
      <c r="K363" s="16" t="str">
        <f>IF('Paste Here'!$F357&lt;&gt;"",'Paste Here'!$F357,"")</f>
        <v/>
      </c>
      <c r="L363" s="16" t="str">
        <f>IF('Paste Here'!$G357&lt;&gt;"",'Paste Here'!$G357,"")</f>
        <v/>
      </c>
      <c r="M363" s="18" t="str">
        <f t="shared" si="11"/>
        <v/>
      </c>
    </row>
    <row r="364" spans="1:13" s="17" customFormat="1" x14ac:dyDescent="0.25">
      <c r="A364" s="16" t="str">
        <f>IF(URN&lt;&gt;"",_xll.mdValue("Resident",_xlnm.Database,$F364),"")</f>
        <v/>
      </c>
      <c r="B364" s="16" t="str">
        <f>IF(PersonId&lt;&gt;"",_xll.mdValue("Resident First Name",_xlnm.Database,$A$8),"")</f>
        <v/>
      </c>
      <c r="C364" s="16" t="str">
        <f>IF(PersonId&lt;&gt;"",_xll.mdValue("Resident Last Name",_xlnm.Database,$A$8),"")</f>
        <v/>
      </c>
      <c r="D364" s="16" t="str">
        <f>IF(PersonId&lt;&gt;"",_xll.mdValue("Person Accomodation Code",_xlnm.Database,$A364),"")</f>
        <v/>
      </c>
      <c r="E364" s="28" t="str">
        <f t="shared" si="10"/>
        <v/>
      </c>
      <c r="F364" s="16" t="str">
        <f>IF('Paste Here'!$A358&lt;&gt;"",'Paste Here'!$A358,"")</f>
        <v/>
      </c>
      <c r="G364" s="16" t="str">
        <f>IF('Paste Here'!$B358&lt;&gt;"",'Paste Here'!$B358,"")</f>
        <v/>
      </c>
      <c r="H364" s="16" t="str">
        <f>IF('Paste Here'!$C358&lt;&gt;"",'Paste Here'!$C358,"")</f>
        <v/>
      </c>
      <c r="I364" s="25" t="str">
        <f>IF('Paste Here'!$D358&lt;&gt;"",'Paste Here'!$D358,"")</f>
        <v/>
      </c>
      <c r="J364" s="27" t="str">
        <f>IF('Paste Here'!$E358&lt;&gt;"",'Paste Here'!$E358,"")</f>
        <v/>
      </c>
      <c r="K364" s="16" t="str">
        <f>IF('Paste Here'!$F358&lt;&gt;"",'Paste Here'!$F358,"")</f>
        <v/>
      </c>
      <c r="L364" s="16" t="str">
        <f>IF('Paste Here'!$G358&lt;&gt;"",'Paste Here'!$G358,"")</f>
        <v/>
      </c>
      <c r="M364" s="18" t="str">
        <f t="shared" si="11"/>
        <v/>
      </c>
    </row>
    <row r="365" spans="1:13" s="17" customFormat="1" x14ac:dyDescent="0.25">
      <c r="A365" s="16" t="str">
        <f>IF(URN&lt;&gt;"",_xll.mdValue("Resident",_xlnm.Database,$F365),"")</f>
        <v/>
      </c>
      <c r="B365" s="16" t="str">
        <f>IF(PersonId&lt;&gt;"",_xll.mdValue("Resident First Name",_xlnm.Database,$A$8),"")</f>
        <v/>
      </c>
      <c r="C365" s="16" t="str">
        <f>IF(PersonId&lt;&gt;"",_xll.mdValue("Resident Last Name",_xlnm.Database,$A$8),"")</f>
        <v/>
      </c>
      <c r="D365" s="16" t="str">
        <f>IF(PersonId&lt;&gt;"",_xll.mdValue("Person Accomodation Code",_xlnm.Database,$A365),"")</f>
        <v/>
      </c>
      <c r="E365" s="28" t="str">
        <f t="shared" si="10"/>
        <v/>
      </c>
      <c r="F365" s="16" t="str">
        <f>IF('Paste Here'!$A359&lt;&gt;"",'Paste Here'!$A359,"")</f>
        <v/>
      </c>
      <c r="G365" s="16" t="str">
        <f>IF('Paste Here'!$B359&lt;&gt;"",'Paste Here'!$B359,"")</f>
        <v/>
      </c>
      <c r="H365" s="16" t="str">
        <f>IF('Paste Here'!$C359&lt;&gt;"",'Paste Here'!$C359,"")</f>
        <v/>
      </c>
      <c r="I365" s="25" t="str">
        <f>IF('Paste Here'!$D359&lt;&gt;"",'Paste Here'!$D359,"")</f>
        <v/>
      </c>
      <c r="J365" s="27" t="str">
        <f>IF('Paste Here'!$E359&lt;&gt;"",'Paste Here'!$E359,"")</f>
        <v/>
      </c>
      <c r="K365" s="16" t="str">
        <f>IF('Paste Here'!$F359&lt;&gt;"",'Paste Here'!$F359,"")</f>
        <v/>
      </c>
      <c r="L365" s="16" t="str">
        <f>IF('Paste Here'!$G359&lt;&gt;"",'Paste Here'!$G359,"")</f>
        <v/>
      </c>
      <c r="M365" s="18" t="str">
        <f t="shared" si="11"/>
        <v/>
      </c>
    </row>
    <row r="366" spans="1:13" s="17" customFormat="1" x14ac:dyDescent="0.25">
      <c r="A366" s="16" t="str">
        <f>IF(URN&lt;&gt;"",_xll.mdValue("Resident",_xlnm.Database,$F366),"")</f>
        <v/>
      </c>
      <c r="B366" s="16" t="str">
        <f>IF(PersonId&lt;&gt;"",_xll.mdValue("Resident First Name",_xlnm.Database,$A$8),"")</f>
        <v/>
      </c>
      <c r="C366" s="16" t="str">
        <f>IF(PersonId&lt;&gt;"",_xll.mdValue("Resident Last Name",_xlnm.Database,$A$8),"")</f>
        <v/>
      </c>
      <c r="D366" s="16" t="str">
        <f>IF(PersonId&lt;&gt;"",_xll.mdValue("Person Accomodation Code",_xlnm.Database,$A366),"")</f>
        <v/>
      </c>
      <c r="E366" s="28" t="str">
        <f t="shared" si="10"/>
        <v/>
      </c>
      <c r="F366" s="16" t="str">
        <f>IF('Paste Here'!$A360&lt;&gt;"",'Paste Here'!$A360,"")</f>
        <v/>
      </c>
      <c r="G366" s="16" t="str">
        <f>IF('Paste Here'!$B360&lt;&gt;"",'Paste Here'!$B360,"")</f>
        <v/>
      </c>
      <c r="H366" s="16" t="str">
        <f>IF('Paste Here'!$C360&lt;&gt;"",'Paste Here'!$C360,"")</f>
        <v/>
      </c>
      <c r="I366" s="25" t="str">
        <f>IF('Paste Here'!$D360&lt;&gt;"",'Paste Here'!$D360,"")</f>
        <v/>
      </c>
      <c r="J366" s="27" t="str">
        <f>IF('Paste Here'!$E360&lt;&gt;"",'Paste Here'!$E360,"")</f>
        <v/>
      </c>
      <c r="K366" s="16" t="str">
        <f>IF('Paste Here'!$F360&lt;&gt;"",'Paste Here'!$F360,"")</f>
        <v/>
      </c>
      <c r="L366" s="16" t="str">
        <f>IF('Paste Here'!$G360&lt;&gt;"",'Paste Here'!$G360,"")</f>
        <v/>
      </c>
      <c r="M366" s="18" t="str">
        <f t="shared" si="11"/>
        <v/>
      </c>
    </row>
    <row r="367" spans="1:13" s="17" customFormat="1" x14ac:dyDescent="0.25">
      <c r="A367" s="16" t="str">
        <f>IF(URN&lt;&gt;"",_xll.mdValue("Resident",_xlnm.Database,$F367),"")</f>
        <v/>
      </c>
      <c r="B367" s="16" t="str">
        <f>IF(PersonId&lt;&gt;"",_xll.mdValue("Resident First Name",_xlnm.Database,$A$8),"")</f>
        <v/>
      </c>
      <c r="C367" s="16" t="str">
        <f>IF(PersonId&lt;&gt;"",_xll.mdValue("Resident Last Name",_xlnm.Database,$A$8),"")</f>
        <v/>
      </c>
      <c r="D367" s="16" t="str">
        <f>IF(PersonId&lt;&gt;"",_xll.mdValue("Person Accomodation Code",_xlnm.Database,$A367),"")</f>
        <v/>
      </c>
      <c r="E367" s="28" t="str">
        <f t="shared" si="10"/>
        <v/>
      </c>
      <c r="F367" s="16" t="str">
        <f>IF('Paste Here'!$A361&lt;&gt;"",'Paste Here'!$A361,"")</f>
        <v/>
      </c>
      <c r="G367" s="16" t="str">
        <f>IF('Paste Here'!$B361&lt;&gt;"",'Paste Here'!$B361,"")</f>
        <v/>
      </c>
      <c r="H367" s="16" t="str">
        <f>IF('Paste Here'!$C361&lt;&gt;"",'Paste Here'!$C361,"")</f>
        <v/>
      </c>
      <c r="I367" s="25" t="str">
        <f>IF('Paste Here'!$D361&lt;&gt;"",'Paste Here'!$D361,"")</f>
        <v/>
      </c>
      <c r="J367" s="27" t="str">
        <f>IF('Paste Here'!$E361&lt;&gt;"",'Paste Here'!$E361,"")</f>
        <v/>
      </c>
      <c r="K367" s="16" t="str">
        <f>IF('Paste Here'!$F361&lt;&gt;"",'Paste Here'!$F361,"")</f>
        <v/>
      </c>
      <c r="L367" s="16" t="str">
        <f>IF('Paste Here'!$G361&lt;&gt;"",'Paste Here'!$G361,"")</f>
        <v/>
      </c>
      <c r="M367" s="18" t="str">
        <f t="shared" si="11"/>
        <v/>
      </c>
    </row>
    <row r="368" spans="1:13" s="17" customFormat="1" x14ac:dyDescent="0.25">
      <c r="A368" s="16" t="str">
        <f>IF(URN&lt;&gt;"",_xll.mdValue("Resident",_xlnm.Database,$F368),"")</f>
        <v/>
      </c>
      <c r="B368" s="16" t="str">
        <f>IF(PersonId&lt;&gt;"",_xll.mdValue("Resident First Name",_xlnm.Database,$A$8),"")</f>
        <v/>
      </c>
      <c r="C368" s="16" t="str">
        <f>IF(PersonId&lt;&gt;"",_xll.mdValue("Resident Last Name",_xlnm.Database,$A$8),"")</f>
        <v/>
      </c>
      <c r="D368" s="16" t="str">
        <f>IF(PersonId&lt;&gt;"",_xll.mdValue("Person Accomodation Code",_xlnm.Database,$A368),"")</f>
        <v/>
      </c>
      <c r="E368" s="28" t="str">
        <f t="shared" si="10"/>
        <v/>
      </c>
      <c r="F368" s="16" t="str">
        <f>IF('Paste Here'!$A362&lt;&gt;"",'Paste Here'!$A362,"")</f>
        <v/>
      </c>
      <c r="G368" s="16" t="str">
        <f>IF('Paste Here'!$B362&lt;&gt;"",'Paste Here'!$B362,"")</f>
        <v/>
      </c>
      <c r="H368" s="16" t="str">
        <f>IF('Paste Here'!$C362&lt;&gt;"",'Paste Here'!$C362,"")</f>
        <v/>
      </c>
      <c r="I368" s="25" t="str">
        <f>IF('Paste Here'!$D362&lt;&gt;"",'Paste Here'!$D362,"")</f>
        <v/>
      </c>
      <c r="J368" s="27" t="str">
        <f>IF('Paste Here'!$E362&lt;&gt;"",'Paste Here'!$E362,"")</f>
        <v/>
      </c>
      <c r="K368" s="16" t="str">
        <f>IF('Paste Here'!$F362&lt;&gt;"",'Paste Here'!$F362,"")</f>
        <v/>
      </c>
      <c r="L368" s="16" t="str">
        <f>IF('Paste Here'!$G362&lt;&gt;"",'Paste Here'!$G362,"")</f>
        <v/>
      </c>
      <c r="M368" s="18" t="str">
        <f t="shared" si="11"/>
        <v/>
      </c>
    </row>
    <row r="369" spans="1:13" s="17" customFormat="1" x14ac:dyDescent="0.25">
      <c r="A369" s="16" t="str">
        <f>IF(URN&lt;&gt;"",_xll.mdValue("Resident",_xlnm.Database,$F369),"")</f>
        <v/>
      </c>
      <c r="B369" s="16" t="str">
        <f>IF(PersonId&lt;&gt;"",_xll.mdValue("Resident First Name",_xlnm.Database,$A$8),"")</f>
        <v/>
      </c>
      <c r="C369" s="16" t="str">
        <f>IF(PersonId&lt;&gt;"",_xll.mdValue("Resident Last Name",_xlnm.Database,$A$8),"")</f>
        <v/>
      </c>
      <c r="D369" s="16" t="str">
        <f>IF(PersonId&lt;&gt;"",_xll.mdValue("Person Accomodation Code",_xlnm.Database,$A369),"")</f>
        <v/>
      </c>
      <c r="E369" s="28" t="str">
        <f t="shared" si="10"/>
        <v/>
      </c>
      <c r="F369" s="16" t="str">
        <f>IF('Paste Here'!$A363&lt;&gt;"",'Paste Here'!$A363,"")</f>
        <v/>
      </c>
      <c r="G369" s="16" t="str">
        <f>IF('Paste Here'!$B363&lt;&gt;"",'Paste Here'!$B363,"")</f>
        <v/>
      </c>
      <c r="H369" s="16" t="str">
        <f>IF('Paste Here'!$C363&lt;&gt;"",'Paste Here'!$C363,"")</f>
        <v/>
      </c>
      <c r="I369" s="25" t="str">
        <f>IF('Paste Here'!$D363&lt;&gt;"",'Paste Here'!$D363,"")</f>
        <v/>
      </c>
      <c r="J369" s="27" t="str">
        <f>IF('Paste Here'!$E363&lt;&gt;"",'Paste Here'!$E363,"")</f>
        <v/>
      </c>
      <c r="K369" s="16" t="str">
        <f>IF('Paste Here'!$F363&lt;&gt;"",'Paste Here'!$F363,"")</f>
        <v/>
      </c>
      <c r="L369" s="16" t="str">
        <f>IF('Paste Here'!$G363&lt;&gt;"",'Paste Here'!$G363,"")</f>
        <v/>
      </c>
      <c r="M369" s="18" t="str">
        <f t="shared" si="11"/>
        <v/>
      </c>
    </row>
    <row r="370" spans="1:13" s="17" customFormat="1" x14ac:dyDescent="0.25">
      <c r="A370" s="16" t="str">
        <f>IF(URN&lt;&gt;"",_xll.mdValue("Resident",_xlnm.Database,$F370),"")</f>
        <v/>
      </c>
      <c r="B370" s="16" t="str">
        <f>IF(PersonId&lt;&gt;"",_xll.mdValue("Resident First Name",_xlnm.Database,$A$8),"")</f>
        <v/>
      </c>
      <c r="C370" s="16" t="str">
        <f>IF(PersonId&lt;&gt;"",_xll.mdValue("Resident Last Name",_xlnm.Database,$A$8),"")</f>
        <v/>
      </c>
      <c r="D370" s="16" t="str">
        <f>IF(PersonId&lt;&gt;"",_xll.mdValue("Person Accomodation Code",_xlnm.Database,$A370),"")</f>
        <v/>
      </c>
      <c r="E370" s="28" t="str">
        <f t="shared" si="10"/>
        <v/>
      </c>
      <c r="F370" s="16" t="str">
        <f>IF('Paste Here'!$A364&lt;&gt;"",'Paste Here'!$A364,"")</f>
        <v/>
      </c>
      <c r="G370" s="16" t="str">
        <f>IF('Paste Here'!$B364&lt;&gt;"",'Paste Here'!$B364,"")</f>
        <v/>
      </c>
      <c r="H370" s="16" t="str">
        <f>IF('Paste Here'!$C364&lt;&gt;"",'Paste Here'!$C364,"")</f>
        <v/>
      </c>
      <c r="I370" s="25" t="str">
        <f>IF('Paste Here'!$D364&lt;&gt;"",'Paste Here'!$D364,"")</f>
        <v/>
      </c>
      <c r="J370" s="27" t="str">
        <f>IF('Paste Here'!$E364&lt;&gt;"",'Paste Here'!$E364,"")</f>
        <v/>
      </c>
      <c r="K370" s="16" t="str">
        <f>IF('Paste Here'!$F364&lt;&gt;"",'Paste Here'!$F364,"")</f>
        <v/>
      </c>
      <c r="L370" s="16" t="str">
        <f>IF('Paste Here'!$G364&lt;&gt;"",'Paste Here'!$G364,"")</f>
        <v/>
      </c>
      <c r="M370" s="18" t="str">
        <f t="shared" si="11"/>
        <v/>
      </c>
    </row>
    <row r="371" spans="1:13" s="17" customFormat="1" x14ac:dyDescent="0.25">
      <c r="A371" s="16" t="str">
        <f>IF(URN&lt;&gt;"",_xll.mdValue("Resident",_xlnm.Database,$F371),"")</f>
        <v/>
      </c>
      <c r="B371" s="16" t="str">
        <f>IF(PersonId&lt;&gt;"",_xll.mdValue("Resident First Name",_xlnm.Database,$A$8),"")</f>
        <v/>
      </c>
      <c r="C371" s="16" t="str">
        <f>IF(PersonId&lt;&gt;"",_xll.mdValue("Resident Last Name",_xlnm.Database,$A$8),"")</f>
        <v/>
      </c>
      <c r="D371" s="16" t="str">
        <f>IF(PersonId&lt;&gt;"",_xll.mdValue("Person Accomodation Code",_xlnm.Database,$A371),"")</f>
        <v/>
      </c>
      <c r="E371" s="28" t="str">
        <f t="shared" si="10"/>
        <v/>
      </c>
      <c r="F371" s="16" t="str">
        <f>IF('Paste Here'!$A365&lt;&gt;"",'Paste Here'!$A365,"")</f>
        <v/>
      </c>
      <c r="G371" s="16" t="str">
        <f>IF('Paste Here'!$B365&lt;&gt;"",'Paste Here'!$B365,"")</f>
        <v/>
      </c>
      <c r="H371" s="16" t="str">
        <f>IF('Paste Here'!$C365&lt;&gt;"",'Paste Here'!$C365,"")</f>
        <v/>
      </c>
      <c r="I371" s="25" t="str">
        <f>IF('Paste Here'!$D365&lt;&gt;"",'Paste Here'!$D365,"")</f>
        <v/>
      </c>
      <c r="J371" s="27" t="str">
        <f>IF('Paste Here'!$E365&lt;&gt;"",'Paste Here'!$E365,"")</f>
        <v/>
      </c>
      <c r="K371" s="16" t="str">
        <f>IF('Paste Here'!$F365&lt;&gt;"",'Paste Here'!$F365,"")</f>
        <v/>
      </c>
      <c r="L371" s="16" t="str">
        <f>IF('Paste Here'!$G365&lt;&gt;"",'Paste Here'!$G365,"")</f>
        <v/>
      </c>
      <c r="M371" s="18" t="str">
        <f t="shared" si="11"/>
        <v/>
      </c>
    </row>
    <row r="372" spans="1:13" s="17" customFormat="1" x14ac:dyDescent="0.25">
      <c r="A372" s="16" t="str">
        <f>IF(URN&lt;&gt;"",_xll.mdValue("Resident",_xlnm.Database,$F372),"")</f>
        <v/>
      </c>
      <c r="B372" s="16" t="str">
        <f>IF(PersonId&lt;&gt;"",_xll.mdValue("Resident First Name",_xlnm.Database,$A$8),"")</f>
        <v/>
      </c>
      <c r="C372" s="16" t="str">
        <f>IF(PersonId&lt;&gt;"",_xll.mdValue("Resident Last Name",_xlnm.Database,$A$8),"")</f>
        <v/>
      </c>
      <c r="D372" s="16" t="str">
        <f>IF(PersonId&lt;&gt;"",_xll.mdValue("Person Accomodation Code",_xlnm.Database,$A372),"")</f>
        <v/>
      </c>
      <c r="E372" s="28" t="str">
        <f t="shared" si="10"/>
        <v/>
      </c>
      <c r="F372" s="16" t="str">
        <f>IF('Paste Here'!$A366&lt;&gt;"",'Paste Here'!$A366,"")</f>
        <v/>
      </c>
      <c r="G372" s="16" t="str">
        <f>IF('Paste Here'!$B366&lt;&gt;"",'Paste Here'!$B366,"")</f>
        <v/>
      </c>
      <c r="H372" s="16" t="str">
        <f>IF('Paste Here'!$C366&lt;&gt;"",'Paste Here'!$C366,"")</f>
        <v/>
      </c>
      <c r="I372" s="25" t="str">
        <f>IF('Paste Here'!$D366&lt;&gt;"",'Paste Here'!$D366,"")</f>
        <v/>
      </c>
      <c r="J372" s="27" t="str">
        <f>IF('Paste Here'!$E366&lt;&gt;"",'Paste Here'!$E366,"")</f>
        <v/>
      </c>
      <c r="K372" s="16" t="str">
        <f>IF('Paste Here'!$F366&lt;&gt;"",'Paste Here'!$F366,"")</f>
        <v/>
      </c>
      <c r="L372" s="16" t="str">
        <f>IF('Paste Here'!$G366&lt;&gt;"",'Paste Here'!$G366,"")</f>
        <v/>
      </c>
      <c r="M372" s="18" t="str">
        <f t="shared" si="11"/>
        <v/>
      </c>
    </row>
    <row r="373" spans="1:13" s="17" customFormat="1" x14ac:dyDescent="0.25">
      <c r="A373" s="16" t="str">
        <f>IF(URN&lt;&gt;"",_xll.mdValue("Resident",_xlnm.Database,$F373),"")</f>
        <v/>
      </c>
      <c r="B373" s="16" t="str">
        <f>IF(PersonId&lt;&gt;"",_xll.mdValue("Resident First Name",_xlnm.Database,$A$8),"")</f>
        <v/>
      </c>
      <c r="C373" s="16" t="str">
        <f>IF(PersonId&lt;&gt;"",_xll.mdValue("Resident Last Name",_xlnm.Database,$A$8),"")</f>
        <v/>
      </c>
      <c r="D373" s="16" t="str">
        <f>IF(PersonId&lt;&gt;"",_xll.mdValue("Person Accomodation Code",_xlnm.Database,$A373),"")</f>
        <v/>
      </c>
      <c r="E373" s="28" t="str">
        <f t="shared" si="10"/>
        <v/>
      </c>
      <c r="F373" s="16" t="str">
        <f>IF('Paste Here'!$A367&lt;&gt;"",'Paste Here'!$A367,"")</f>
        <v/>
      </c>
      <c r="G373" s="16" t="str">
        <f>IF('Paste Here'!$B367&lt;&gt;"",'Paste Here'!$B367,"")</f>
        <v/>
      </c>
      <c r="H373" s="16" t="str">
        <f>IF('Paste Here'!$C367&lt;&gt;"",'Paste Here'!$C367,"")</f>
        <v/>
      </c>
      <c r="I373" s="25" t="str">
        <f>IF('Paste Here'!$D367&lt;&gt;"",'Paste Here'!$D367,"")</f>
        <v/>
      </c>
      <c r="J373" s="27" t="str">
        <f>IF('Paste Here'!$E367&lt;&gt;"",'Paste Here'!$E367,"")</f>
        <v/>
      </c>
      <c r="K373" s="16" t="str">
        <f>IF('Paste Here'!$F367&lt;&gt;"",'Paste Here'!$F367,"")</f>
        <v/>
      </c>
      <c r="L373" s="16" t="str">
        <f>IF('Paste Here'!$G367&lt;&gt;"",'Paste Here'!$G367,"")</f>
        <v/>
      </c>
      <c r="M373" s="18" t="str">
        <f t="shared" si="11"/>
        <v/>
      </c>
    </row>
    <row r="374" spans="1:13" s="17" customFormat="1" x14ac:dyDescent="0.25">
      <c r="A374" s="16" t="str">
        <f>IF(URN&lt;&gt;"",_xll.mdValue("Resident",_xlnm.Database,$F374),"")</f>
        <v/>
      </c>
      <c r="B374" s="16" t="str">
        <f>IF(PersonId&lt;&gt;"",_xll.mdValue("Resident First Name",_xlnm.Database,$A$8),"")</f>
        <v/>
      </c>
      <c r="C374" s="16" t="str">
        <f>IF(PersonId&lt;&gt;"",_xll.mdValue("Resident Last Name",_xlnm.Database,$A$8),"")</f>
        <v/>
      </c>
      <c r="D374" s="16" t="str">
        <f>IF(PersonId&lt;&gt;"",_xll.mdValue("Person Accomodation Code",_xlnm.Database,$A374),"")</f>
        <v/>
      </c>
      <c r="E374" s="28" t="str">
        <f t="shared" si="10"/>
        <v/>
      </c>
      <c r="F374" s="16" t="str">
        <f>IF('Paste Here'!$A368&lt;&gt;"",'Paste Here'!$A368,"")</f>
        <v/>
      </c>
      <c r="G374" s="16" t="str">
        <f>IF('Paste Here'!$B368&lt;&gt;"",'Paste Here'!$B368,"")</f>
        <v/>
      </c>
      <c r="H374" s="16" t="str">
        <f>IF('Paste Here'!$C368&lt;&gt;"",'Paste Here'!$C368,"")</f>
        <v/>
      </c>
      <c r="I374" s="25" t="str">
        <f>IF('Paste Here'!$D368&lt;&gt;"",'Paste Here'!$D368,"")</f>
        <v/>
      </c>
      <c r="J374" s="27" t="str">
        <f>IF('Paste Here'!$E368&lt;&gt;"",'Paste Here'!$E368,"")</f>
        <v/>
      </c>
      <c r="K374" s="16" t="str">
        <f>IF('Paste Here'!$F368&lt;&gt;"",'Paste Here'!$F368,"")</f>
        <v/>
      </c>
      <c r="L374" s="16" t="str">
        <f>IF('Paste Here'!$G368&lt;&gt;"",'Paste Here'!$G368,"")</f>
        <v/>
      </c>
      <c r="M374" s="18" t="str">
        <f t="shared" si="11"/>
        <v/>
      </c>
    </row>
    <row r="375" spans="1:13" s="17" customFormat="1" x14ac:dyDescent="0.25">
      <c r="A375" s="16" t="str">
        <f>IF(URN&lt;&gt;"",_xll.mdValue("Resident",_xlnm.Database,$F375),"")</f>
        <v/>
      </c>
      <c r="B375" s="16" t="str">
        <f>IF(PersonId&lt;&gt;"",_xll.mdValue("Resident First Name",_xlnm.Database,$A$8),"")</f>
        <v/>
      </c>
      <c r="C375" s="16" t="str">
        <f>IF(PersonId&lt;&gt;"",_xll.mdValue("Resident Last Name",_xlnm.Database,$A$8),"")</f>
        <v/>
      </c>
      <c r="D375" s="16" t="str">
        <f>IF(PersonId&lt;&gt;"",_xll.mdValue("Person Accomodation Code",_xlnm.Database,$A375),"")</f>
        <v/>
      </c>
      <c r="E375" s="28" t="str">
        <f t="shared" si="10"/>
        <v/>
      </c>
      <c r="F375" s="16" t="str">
        <f>IF('Paste Here'!$A369&lt;&gt;"",'Paste Here'!$A369,"")</f>
        <v/>
      </c>
      <c r="G375" s="16" t="str">
        <f>IF('Paste Here'!$B369&lt;&gt;"",'Paste Here'!$B369,"")</f>
        <v/>
      </c>
      <c r="H375" s="16" t="str">
        <f>IF('Paste Here'!$C369&lt;&gt;"",'Paste Here'!$C369,"")</f>
        <v/>
      </c>
      <c r="I375" s="25" t="str">
        <f>IF('Paste Here'!$D369&lt;&gt;"",'Paste Here'!$D369,"")</f>
        <v/>
      </c>
      <c r="J375" s="27" t="str">
        <f>IF('Paste Here'!$E369&lt;&gt;"",'Paste Here'!$E369,"")</f>
        <v/>
      </c>
      <c r="K375" s="16" t="str">
        <f>IF('Paste Here'!$F369&lt;&gt;"",'Paste Here'!$F369,"")</f>
        <v/>
      </c>
      <c r="L375" s="16" t="str">
        <f>IF('Paste Here'!$G369&lt;&gt;"",'Paste Here'!$G369,"")</f>
        <v/>
      </c>
      <c r="M375" s="18" t="str">
        <f t="shared" si="11"/>
        <v/>
      </c>
    </row>
    <row r="376" spans="1:13" s="17" customFormat="1" x14ac:dyDescent="0.25">
      <c r="A376" s="16" t="str">
        <f>IF(URN&lt;&gt;"",_xll.mdValue("Resident",_xlnm.Database,$F376),"")</f>
        <v/>
      </c>
      <c r="B376" s="16" t="str">
        <f>IF(PersonId&lt;&gt;"",_xll.mdValue("Resident First Name",_xlnm.Database,$A$8),"")</f>
        <v/>
      </c>
      <c r="C376" s="16" t="str">
        <f>IF(PersonId&lt;&gt;"",_xll.mdValue("Resident Last Name",_xlnm.Database,$A$8),"")</f>
        <v/>
      </c>
      <c r="D376" s="16" t="str">
        <f>IF(PersonId&lt;&gt;"",_xll.mdValue("Person Accomodation Code",_xlnm.Database,$A376),"")</f>
        <v/>
      </c>
      <c r="E376" s="28" t="str">
        <f t="shared" si="10"/>
        <v/>
      </c>
      <c r="F376" s="16" t="str">
        <f>IF('Paste Here'!$A370&lt;&gt;"",'Paste Here'!$A370,"")</f>
        <v/>
      </c>
      <c r="G376" s="16" t="str">
        <f>IF('Paste Here'!$B370&lt;&gt;"",'Paste Here'!$B370,"")</f>
        <v/>
      </c>
      <c r="H376" s="16" t="str">
        <f>IF('Paste Here'!$C370&lt;&gt;"",'Paste Here'!$C370,"")</f>
        <v/>
      </c>
      <c r="I376" s="25" t="str">
        <f>IF('Paste Here'!$D370&lt;&gt;"",'Paste Here'!$D370,"")</f>
        <v/>
      </c>
      <c r="J376" s="27" t="str">
        <f>IF('Paste Here'!$E370&lt;&gt;"",'Paste Here'!$E370,"")</f>
        <v/>
      </c>
      <c r="K376" s="16" t="str">
        <f>IF('Paste Here'!$F370&lt;&gt;"",'Paste Here'!$F370,"")</f>
        <v/>
      </c>
      <c r="L376" s="16" t="str">
        <f>IF('Paste Here'!$G370&lt;&gt;"",'Paste Here'!$G370,"")</f>
        <v/>
      </c>
      <c r="M376" s="18" t="str">
        <f t="shared" si="11"/>
        <v/>
      </c>
    </row>
    <row r="377" spans="1:13" s="17" customFormat="1" x14ac:dyDescent="0.25">
      <c r="A377" s="16" t="str">
        <f>IF(URN&lt;&gt;"",_xll.mdValue("Resident",_xlnm.Database,$F377),"")</f>
        <v/>
      </c>
      <c r="B377" s="16" t="str">
        <f>IF(PersonId&lt;&gt;"",_xll.mdValue("Resident First Name",_xlnm.Database,$A$8),"")</f>
        <v/>
      </c>
      <c r="C377" s="16" t="str">
        <f>IF(PersonId&lt;&gt;"",_xll.mdValue("Resident Last Name",_xlnm.Database,$A$8),"")</f>
        <v/>
      </c>
      <c r="D377" s="16" t="str">
        <f>IF(PersonId&lt;&gt;"",_xll.mdValue("Person Accomodation Code",_xlnm.Database,$A377),"")</f>
        <v/>
      </c>
      <c r="E377" s="28" t="str">
        <f t="shared" si="10"/>
        <v/>
      </c>
      <c r="F377" s="16" t="str">
        <f>IF('Paste Here'!$A371&lt;&gt;"",'Paste Here'!$A371,"")</f>
        <v/>
      </c>
      <c r="G377" s="16" t="str">
        <f>IF('Paste Here'!$B371&lt;&gt;"",'Paste Here'!$B371,"")</f>
        <v/>
      </c>
      <c r="H377" s="16" t="str">
        <f>IF('Paste Here'!$C371&lt;&gt;"",'Paste Here'!$C371,"")</f>
        <v/>
      </c>
      <c r="I377" s="25" t="str">
        <f>IF('Paste Here'!$D371&lt;&gt;"",'Paste Here'!$D371,"")</f>
        <v/>
      </c>
      <c r="J377" s="27" t="str">
        <f>IF('Paste Here'!$E371&lt;&gt;"",'Paste Here'!$E371,"")</f>
        <v/>
      </c>
      <c r="K377" s="16" t="str">
        <f>IF('Paste Here'!$F371&lt;&gt;"",'Paste Here'!$F371,"")</f>
        <v/>
      </c>
      <c r="L377" s="16" t="str">
        <f>IF('Paste Here'!$G371&lt;&gt;"",'Paste Here'!$G371,"")</f>
        <v/>
      </c>
      <c r="M377" s="18" t="str">
        <f t="shared" si="11"/>
        <v/>
      </c>
    </row>
    <row r="378" spans="1:13" s="17" customFormat="1" x14ac:dyDescent="0.25">
      <c r="A378" s="16" t="str">
        <f>IF(URN&lt;&gt;"",_xll.mdValue("Resident",_xlnm.Database,$F378),"")</f>
        <v/>
      </c>
      <c r="B378" s="16" t="str">
        <f>IF(PersonId&lt;&gt;"",_xll.mdValue("Resident First Name",_xlnm.Database,$A$8),"")</f>
        <v/>
      </c>
      <c r="C378" s="16" t="str">
        <f>IF(PersonId&lt;&gt;"",_xll.mdValue("Resident Last Name",_xlnm.Database,$A$8),"")</f>
        <v/>
      </c>
      <c r="D378" s="16" t="str">
        <f>IF(PersonId&lt;&gt;"",_xll.mdValue("Person Accomodation Code",_xlnm.Database,$A378),"")</f>
        <v/>
      </c>
      <c r="E378" s="28" t="str">
        <f t="shared" si="10"/>
        <v/>
      </c>
      <c r="F378" s="16" t="str">
        <f>IF('Paste Here'!$A372&lt;&gt;"",'Paste Here'!$A372,"")</f>
        <v/>
      </c>
      <c r="G378" s="16" t="str">
        <f>IF('Paste Here'!$B372&lt;&gt;"",'Paste Here'!$B372,"")</f>
        <v/>
      </c>
      <c r="H378" s="16" t="str">
        <f>IF('Paste Here'!$C372&lt;&gt;"",'Paste Here'!$C372,"")</f>
        <v/>
      </c>
      <c r="I378" s="25" t="str">
        <f>IF('Paste Here'!$D372&lt;&gt;"",'Paste Here'!$D372,"")</f>
        <v/>
      </c>
      <c r="J378" s="27" t="str">
        <f>IF('Paste Here'!$E372&lt;&gt;"",'Paste Here'!$E372,"")</f>
        <v/>
      </c>
      <c r="K378" s="16" t="str">
        <f>IF('Paste Here'!$F372&lt;&gt;"",'Paste Here'!$F372,"")</f>
        <v/>
      </c>
      <c r="L378" s="16" t="str">
        <f>IF('Paste Here'!$G372&lt;&gt;"",'Paste Here'!$G372,"")</f>
        <v/>
      </c>
      <c r="M378" s="18" t="str">
        <f t="shared" si="11"/>
        <v/>
      </c>
    </row>
    <row r="379" spans="1:13" s="17" customFormat="1" x14ac:dyDescent="0.25">
      <c r="A379" s="16" t="str">
        <f>IF(URN&lt;&gt;"",_xll.mdValue("Resident",_xlnm.Database,$F379),"")</f>
        <v/>
      </c>
      <c r="B379" s="16" t="str">
        <f>IF(PersonId&lt;&gt;"",_xll.mdValue("Resident First Name",_xlnm.Database,$A$8),"")</f>
        <v/>
      </c>
      <c r="C379" s="16" t="str">
        <f>IF(PersonId&lt;&gt;"",_xll.mdValue("Resident Last Name",_xlnm.Database,$A$8),"")</f>
        <v/>
      </c>
      <c r="D379" s="16" t="str">
        <f>IF(PersonId&lt;&gt;"",_xll.mdValue("Person Accomodation Code",_xlnm.Database,$A379),"")</f>
        <v/>
      </c>
      <c r="E379" s="28" t="str">
        <f t="shared" si="10"/>
        <v/>
      </c>
      <c r="F379" s="16" t="str">
        <f>IF('Paste Here'!$A373&lt;&gt;"",'Paste Here'!$A373,"")</f>
        <v/>
      </c>
      <c r="G379" s="16" t="str">
        <f>IF('Paste Here'!$B373&lt;&gt;"",'Paste Here'!$B373,"")</f>
        <v/>
      </c>
      <c r="H379" s="16" t="str">
        <f>IF('Paste Here'!$C373&lt;&gt;"",'Paste Here'!$C373,"")</f>
        <v/>
      </c>
      <c r="I379" s="25" t="str">
        <f>IF('Paste Here'!$D373&lt;&gt;"",'Paste Here'!$D373,"")</f>
        <v/>
      </c>
      <c r="J379" s="27" t="str">
        <f>IF('Paste Here'!$E373&lt;&gt;"",'Paste Here'!$E373,"")</f>
        <v/>
      </c>
      <c r="K379" s="16" t="str">
        <f>IF('Paste Here'!$F373&lt;&gt;"",'Paste Here'!$F373,"")</f>
        <v/>
      </c>
      <c r="L379" s="16" t="str">
        <f>IF('Paste Here'!$G373&lt;&gt;"",'Paste Here'!$G373,"")</f>
        <v/>
      </c>
      <c r="M379" s="18" t="str">
        <f t="shared" si="11"/>
        <v/>
      </c>
    </row>
    <row r="380" spans="1:13" s="17" customFormat="1" x14ac:dyDescent="0.25">
      <c r="A380" s="16" t="str">
        <f>IF(URN&lt;&gt;"",_xll.mdValue("Resident",_xlnm.Database,$F380),"")</f>
        <v/>
      </c>
      <c r="B380" s="16" t="str">
        <f>IF(PersonId&lt;&gt;"",_xll.mdValue("Resident First Name",_xlnm.Database,$A$8),"")</f>
        <v/>
      </c>
      <c r="C380" s="16" t="str">
        <f>IF(PersonId&lt;&gt;"",_xll.mdValue("Resident Last Name",_xlnm.Database,$A$8),"")</f>
        <v/>
      </c>
      <c r="D380" s="16" t="str">
        <f>IF(PersonId&lt;&gt;"",_xll.mdValue("Person Accomodation Code",_xlnm.Database,$A380),"")</f>
        <v/>
      </c>
      <c r="E380" s="28" t="str">
        <f t="shared" si="10"/>
        <v/>
      </c>
      <c r="F380" s="16" t="str">
        <f>IF('Paste Here'!$A374&lt;&gt;"",'Paste Here'!$A374,"")</f>
        <v/>
      </c>
      <c r="G380" s="16" t="str">
        <f>IF('Paste Here'!$B374&lt;&gt;"",'Paste Here'!$B374,"")</f>
        <v/>
      </c>
      <c r="H380" s="16" t="str">
        <f>IF('Paste Here'!$C374&lt;&gt;"",'Paste Here'!$C374,"")</f>
        <v/>
      </c>
      <c r="I380" s="25" t="str">
        <f>IF('Paste Here'!$D374&lt;&gt;"",'Paste Here'!$D374,"")</f>
        <v/>
      </c>
      <c r="J380" s="27" t="str">
        <f>IF('Paste Here'!$E374&lt;&gt;"",'Paste Here'!$E374,"")</f>
        <v/>
      </c>
      <c r="K380" s="16" t="str">
        <f>IF('Paste Here'!$F374&lt;&gt;"",'Paste Here'!$F374,"")</f>
        <v/>
      </c>
      <c r="L380" s="16" t="str">
        <f>IF('Paste Here'!$G374&lt;&gt;"",'Paste Here'!$G374,"")</f>
        <v/>
      </c>
      <c r="M380" s="18" t="str">
        <f t="shared" si="11"/>
        <v/>
      </c>
    </row>
    <row r="381" spans="1:13" s="17" customFormat="1" x14ac:dyDescent="0.25">
      <c r="A381" s="16" t="str">
        <f>IF(URN&lt;&gt;"",_xll.mdValue("Resident",_xlnm.Database,$F381),"")</f>
        <v/>
      </c>
      <c r="B381" s="16" t="str">
        <f>IF(PersonId&lt;&gt;"",_xll.mdValue("Resident First Name",_xlnm.Database,$A$8),"")</f>
        <v/>
      </c>
      <c r="C381" s="16" t="str">
        <f>IF(PersonId&lt;&gt;"",_xll.mdValue("Resident Last Name",_xlnm.Database,$A$8),"")</f>
        <v/>
      </c>
      <c r="D381" s="16" t="str">
        <f>IF(PersonId&lt;&gt;"",_xll.mdValue("Person Accomodation Code",_xlnm.Database,$A381),"")</f>
        <v/>
      </c>
      <c r="E381" s="28" t="str">
        <f t="shared" si="10"/>
        <v/>
      </c>
      <c r="F381" s="16" t="str">
        <f>IF('Paste Here'!$A375&lt;&gt;"",'Paste Here'!$A375,"")</f>
        <v/>
      </c>
      <c r="G381" s="16" t="str">
        <f>IF('Paste Here'!$B375&lt;&gt;"",'Paste Here'!$B375,"")</f>
        <v/>
      </c>
      <c r="H381" s="16" t="str">
        <f>IF('Paste Here'!$C375&lt;&gt;"",'Paste Here'!$C375,"")</f>
        <v/>
      </c>
      <c r="I381" s="25" t="str">
        <f>IF('Paste Here'!$D375&lt;&gt;"",'Paste Here'!$D375,"")</f>
        <v/>
      </c>
      <c r="J381" s="27" t="str">
        <f>IF('Paste Here'!$E375&lt;&gt;"",'Paste Here'!$E375,"")</f>
        <v/>
      </c>
      <c r="K381" s="16" t="str">
        <f>IF('Paste Here'!$F375&lt;&gt;"",'Paste Here'!$F375,"")</f>
        <v/>
      </c>
      <c r="L381" s="16" t="str">
        <f>IF('Paste Here'!$G375&lt;&gt;"",'Paste Here'!$G375,"")</f>
        <v/>
      </c>
      <c r="M381" s="18" t="str">
        <f t="shared" si="11"/>
        <v/>
      </c>
    </row>
    <row r="382" spans="1:13" s="17" customFormat="1" x14ac:dyDescent="0.25">
      <c r="A382" s="16" t="str">
        <f>IF(URN&lt;&gt;"",_xll.mdValue("Resident",_xlnm.Database,$F382),"")</f>
        <v/>
      </c>
      <c r="B382" s="16" t="str">
        <f>IF(PersonId&lt;&gt;"",_xll.mdValue("Resident First Name",_xlnm.Database,$A$8),"")</f>
        <v/>
      </c>
      <c r="C382" s="16" t="str">
        <f>IF(PersonId&lt;&gt;"",_xll.mdValue("Resident Last Name",_xlnm.Database,$A$8),"")</f>
        <v/>
      </c>
      <c r="D382" s="16" t="str">
        <f>IF(PersonId&lt;&gt;"",_xll.mdValue("Person Accomodation Code",_xlnm.Database,$A382),"")</f>
        <v/>
      </c>
      <c r="E382" s="28" t="str">
        <f t="shared" si="10"/>
        <v/>
      </c>
      <c r="F382" s="16" t="str">
        <f>IF('Paste Here'!$A376&lt;&gt;"",'Paste Here'!$A376,"")</f>
        <v/>
      </c>
      <c r="G382" s="16" t="str">
        <f>IF('Paste Here'!$B376&lt;&gt;"",'Paste Here'!$B376,"")</f>
        <v/>
      </c>
      <c r="H382" s="16" t="str">
        <f>IF('Paste Here'!$C376&lt;&gt;"",'Paste Here'!$C376,"")</f>
        <v/>
      </c>
      <c r="I382" s="25" t="str">
        <f>IF('Paste Here'!$D376&lt;&gt;"",'Paste Here'!$D376,"")</f>
        <v/>
      </c>
      <c r="J382" s="27" t="str">
        <f>IF('Paste Here'!$E376&lt;&gt;"",'Paste Here'!$E376,"")</f>
        <v/>
      </c>
      <c r="K382" s="16" t="str">
        <f>IF('Paste Here'!$F376&lt;&gt;"",'Paste Here'!$F376,"")</f>
        <v/>
      </c>
      <c r="L382" s="16" t="str">
        <f>IF('Paste Here'!$G376&lt;&gt;"",'Paste Here'!$G376,"")</f>
        <v/>
      </c>
      <c r="M382" s="18" t="str">
        <f t="shared" si="11"/>
        <v/>
      </c>
    </row>
    <row r="383" spans="1:13" s="17" customFormat="1" x14ac:dyDescent="0.25">
      <c r="A383" s="16" t="str">
        <f>IF(URN&lt;&gt;"",_xll.mdValue("Resident",_xlnm.Database,$F383),"")</f>
        <v/>
      </c>
      <c r="B383" s="16" t="str">
        <f>IF(PersonId&lt;&gt;"",_xll.mdValue("Resident First Name",_xlnm.Database,$A$8),"")</f>
        <v/>
      </c>
      <c r="C383" s="16" t="str">
        <f>IF(PersonId&lt;&gt;"",_xll.mdValue("Resident Last Name",_xlnm.Database,$A$8),"")</f>
        <v/>
      </c>
      <c r="D383" s="16" t="str">
        <f>IF(PersonId&lt;&gt;"",_xll.mdValue("Person Accomodation Code",_xlnm.Database,$A383),"")</f>
        <v/>
      </c>
      <c r="E383" s="28" t="str">
        <f t="shared" si="10"/>
        <v/>
      </c>
      <c r="F383" s="16" t="str">
        <f>IF('Paste Here'!$A377&lt;&gt;"",'Paste Here'!$A377,"")</f>
        <v/>
      </c>
      <c r="G383" s="16" t="str">
        <f>IF('Paste Here'!$B377&lt;&gt;"",'Paste Here'!$B377,"")</f>
        <v/>
      </c>
      <c r="H383" s="16" t="str">
        <f>IF('Paste Here'!$C377&lt;&gt;"",'Paste Here'!$C377,"")</f>
        <v/>
      </c>
      <c r="I383" s="25" t="str">
        <f>IF('Paste Here'!$D377&lt;&gt;"",'Paste Here'!$D377,"")</f>
        <v/>
      </c>
      <c r="J383" s="27" t="str">
        <f>IF('Paste Here'!$E377&lt;&gt;"",'Paste Here'!$E377,"")</f>
        <v/>
      </c>
      <c r="K383" s="16" t="str">
        <f>IF('Paste Here'!$F377&lt;&gt;"",'Paste Here'!$F377,"")</f>
        <v/>
      </c>
      <c r="L383" s="16" t="str">
        <f>IF('Paste Here'!$G377&lt;&gt;"",'Paste Here'!$G377,"")</f>
        <v/>
      </c>
      <c r="M383" s="18" t="str">
        <f t="shared" si="11"/>
        <v/>
      </c>
    </row>
    <row r="384" spans="1:13" s="17" customFormat="1" x14ac:dyDescent="0.25">
      <c r="A384" s="16" t="str">
        <f>IF(URN&lt;&gt;"",_xll.mdValue("Resident",_xlnm.Database,$F384),"")</f>
        <v/>
      </c>
      <c r="B384" s="16" t="str">
        <f>IF(PersonId&lt;&gt;"",_xll.mdValue("Resident First Name",_xlnm.Database,$A$8),"")</f>
        <v/>
      </c>
      <c r="C384" s="16" t="str">
        <f>IF(PersonId&lt;&gt;"",_xll.mdValue("Resident Last Name",_xlnm.Database,$A$8),"")</f>
        <v/>
      </c>
      <c r="D384" s="16" t="str">
        <f>IF(PersonId&lt;&gt;"",_xll.mdValue("Person Accomodation Code",_xlnm.Database,$A384),"")</f>
        <v/>
      </c>
      <c r="E384" s="28" t="str">
        <f t="shared" si="10"/>
        <v/>
      </c>
      <c r="F384" s="16" t="str">
        <f>IF('Paste Here'!$A378&lt;&gt;"",'Paste Here'!$A378,"")</f>
        <v/>
      </c>
      <c r="G384" s="16" t="str">
        <f>IF('Paste Here'!$B378&lt;&gt;"",'Paste Here'!$B378,"")</f>
        <v/>
      </c>
      <c r="H384" s="16" t="str">
        <f>IF('Paste Here'!$C378&lt;&gt;"",'Paste Here'!$C378,"")</f>
        <v/>
      </c>
      <c r="I384" s="25" t="str">
        <f>IF('Paste Here'!$D378&lt;&gt;"",'Paste Here'!$D378,"")</f>
        <v/>
      </c>
      <c r="J384" s="27" t="str">
        <f>IF('Paste Here'!$E378&lt;&gt;"",'Paste Here'!$E378,"")</f>
        <v/>
      </c>
      <c r="K384" s="16" t="str">
        <f>IF('Paste Here'!$F378&lt;&gt;"",'Paste Here'!$F378,"")</f>
        <v/>
      </c>
      <c r="L384" s="16" t="str">
        <f>IF('Paste Here'!$G378&lt;&gt;"",'Paste Here'!$G378,"")</f>
        <v/>
      </c>
      <c r="M384" s="18" t="str">
        <f t="shared" si="11"/>
        <v/>
      </c>
    </row>
    <row r="385" spans="1:13" s="17" customFormat="1" x14ac:dyDescent="0.25">
      <c r="A385" s="16" t="str">
        <f>IF(URN&lt;&gt;"",_xll.mdValue("Resident",_xlnm.Database,$F385),"")</f>
        <v/>
      </c>
      <c r="B385" s="16" t="str">
        <f>IF(PersonId&lt;&gt;"",_xll.mdValue("Resident First Name",_xlnm.Database,$A$8),"")</f>
        <v/>
      </c>
      <c r="C385" s="16" t="str">
        <f>IF(PersonId&lt;&gt;"",_xll.mdValue("Resident Last Name",_xlnm.Database,$A$8),"")</f>
        <v/>
      </c>
      <c r="D385" s="16" t="str">
        <f>IF(PersonId&lt;&gt;"",_xll.mdValue("Person Accomodation Code",_xlnm.Database,$A385),"")</f>
        <v/>
      </c>
      <c r="E385" s="28" t="str">
        <f t="shared" si="10"/>
        <v/>
      </c>
      <c r="F385" s="16" t="str">
        <f>IF('Paste Here'!$A379&lt;&gt;"",'Paste Here'!$A379,"")</f>
        <v/>
      </c>
      <c r="G385" s="16" t="str">
        <f>IF('Paste Here'!$B379&lt;&gt;"",'Paste Here'!$B379,"")</f>
        <v/>
      </c>
      <c r="H385" s="16" t="str">
        <f>IF('Paste Here'!$C379&lt;&gt;"",'Paste Here'!$C379,"")</f>
        <v/>
      </c>
      <c r="I385" s="25" t="str">
        <f>IF('Paste Here'!$D379&lt;&gt;"",'Paste Here'!$D379,"")</f>
        <v/>
      </c>
      <c r="J385" s="27" t="str">
        <f>IF('Paste Here'!$E379&lt;&gt;"",'Paste Here'!$E379,"")</f>
        <v/>
      </c>
      <c r="K385" s="16" t="str">
        <f>IF('Paste Here'!$F379&lt;&gt;"",'Paste Here'!$F379,"")</f>
        <v/>
      </c>
      <c r="L385" s="16" t="str">
        <f>IF('Paste Here'!$G379&lt;&gt;"",'Paste Here'!$G379,"")</f>
        <v/>
      </c>
      <c r="M385" s="18" t="str">
        <f t="shared" si="11"/>
        <v/>
      </c>
    </row>
    <row r="386" spans="1:13" s="17" customFormat="1" x14ac:dyDescent="0.25">
      <c r="A386" s="16" t="str">
        <f>IF(URN&lt;&gt;"",_xll.mdValue("Resident",_xlnm.Database,$F386),"")</f>
        <v/>
      </c>
      <c r="B386" s="16" t="str">
        <f>IF(PersonId&lt;&gt;"",_xll.mdValue("Resident First Name",_xlnm.Database,$A$8),"")</f>
        <v/>
      </c>
      <c r="C386" s="16" t="str">
        <f>IF(PersonId&lt;&gt;"",_xll.mdValue("Resident Last Name",_xlnm.Database,$A$8),"")</f>
        <v/>
      </c>
      <c r="D386" s="16" t="str">
        <f>IF(PersonId&lt;&gt;"",_xll.mdValue("Person Accomodation Code",_xlnm.Database,$A386),"")</f>
        <v/>
      </c>
      <c r="E386" s="28" t="str">
        <f t="shared" si="10"/>
        <v/>
      </c>
      <c r="F386" s="16" t="str">
        <f>IF('Paste Here'!$A380&lt;&gt;"",'Paste Here'!$A380,"")</f>
        <v/>
      </c>
      <c r="G386" s="16" t="str">
        <f>IF('Paste Here'!$B380&lt;&gt;"",'Paste Here'!$B380,"")</f>
        <v/>
      </c>
      <c r="H386" s="16" t="str">
        <f>IF('Paste Here'!$C380&lt;&gt;"",'Paste Here'!$C380,"")</f>
        <v/>
      </c>
      <c r="I386" s="25" t="str">
        <f>IF('Paste Here'!$D380&lt;&gt;"",'Paste Here'!$D380,"")</f>
        <v/>
      </c>
      <c r="J386" s="27" t="str">
        <f>IF('Paste Here'!$E380&lt;&gt;"",'Paste Here'!$E380,"")</f>
        <v/>
      </c>
      <c r="K386" s="16" t="str">
        <f>IF('Paste Here'!$F380&lt;&gt;"",'Paste Here'!$F380,"")</f>
        <v/>
      </c>
      <c r="L386" s="16" t="str">
        <f>IF('Paste Here'!$G380&lt;&gt;"",'Paste Here'!$G380,"")</f>
        <v/>
      </c>
      <c r="M386" s="18" t="str">
        <f t="shared" si="11"/>
        <v/>
      </c>
    </row>
    <row r="387" spans="1:13" s="17" customFormat="1" x14ac:dyDescent="0.25">
      <c r="A387" s="16" t="str">
        <f>IF(URN&lt;&gt;"",_xll.mdValue("Resident",_xlnm.Database,$F387),"")</f>
        <v/>
      </c>
      <c r="B387" s="16" t="str">
        <f>IF(PersonId&lt;&gt;"",_xll.mdValue("Resident First Name",_xlnm.Database,$A$8),"")</f>
        <v/>
      </c>
      <c r="C387" s="16" t="str">
        <f>IF(PersonId&lt;&gt;"",_xll.mdValue("Resident Last Name",_xlnm.Database,$A$8),"")</f>
        <v/>
      </c>
      <c r="D387" s="16" t="str">
        <f>IF(PersonId&lt;&gt;"",_xll.mdValue("Person Accomodation Code",_xlnm.Database,$A387),"")</f>
        <v/>
      </c>
      <c r="E387" s="28" t="str">
        <f t="shared" si="10"/>
        <v/>
      </c>
      <c r="F387" s="16" t="str">
        <f>IF('Paste Here'!$A381&lt;&gt;"",'Paste Here'!$A381,"")</f>
        <v/>
      </c>
      <c r="G387" s="16" t="str">
        <f>IF('Paste Here'!$B381&lt;&gt;"",'Paste Here'!$B381,"")</f>
        <v/>
      </c>
      <c r="H387" s="16" t="str">
        <f>IF('Paste Here'!$C381&lt;&gt;"",'Paste Here'!$C381,"")</f>
        <v/>
      </c>
      <c r="I387" s="25" t="str">
        <f>IF('Paste Here'!$D381&lt;&gt;"",'Paste Here'!$D381,"")</f>
        <v/>
      </c>
      <c r="J387" s="27" t="str">
        <f>IF('Paste Here'!$E381&lt;&gt;"",'Paste Here'!$E381,"")</f>
        <v/>
      </c>
      <c r="K387" s="16" t="str">
        <f>IF('Paste Here'!$F381&lt;&gt;"",'Paste Here'!$F381,"")</f>
        <v/>
      </c>
      <c r="L387" s="16" t="str">
        <f>IF('Paste Here'!$G381&lt;&gt;"",'Paste Here'!$G381,"")</f>
        <v/>
      </c>
      <c r="M387" s="18" t="str">
        <f t="shared" si="11"/>
        <v/>
      </c>
    </row>
    <row r="388" spans="1:13" s="17" customFormat="1" x14ac:dyDescent="0.25">
      <c r="A388" s="16" t="str">
        <f>IF(URN&lt;&gt;"",_xll.mdValue("Resident",_xlnm.Database,$F388),"")</f>
        <v/>
      </c>
      <c r="B388" s="16" t="str">
        <f>IF(PersonId&lt;&gt;"",_xll.mdValue("Resident First Name",_xlnm.Database,$A$8),"")</f>
        <v/>
      </c>
      <c r="C388" s="16" t="str">
        <f>IF(PersonId&lt;&gt;"",_xll.mdValue("Resident Last Name",_xlnm.Database,$A$8),"")</f>
        <v/>
      </c>
      <c r="D388" s="16" t="str">
        <f>IF(PersonId&lt;&gt;"",_xll.mdValue("Person Accomodation Code",_xlnm.Database,$A388),"")</f>
        <v/>
      </c>
      <c r="E388" s="28" t="str">
        <f t="shared" si="10"/>
        <v/>
      </c>
      <c r="F388" s="16" t="str">
        <f>IF('Paste Here'!$A382&lt;&gt;"",'Paste Here'!$A382,"")</f>
        <v/>
      </c>
      <c r="G388" s="16" t="str">
        <f>IF('Paste Here'!$B382&lt;&gt;"",'Paste Here'!$B382,"")</f>
        <v/>
      </c>
      <c r="H388" s="16" t="str">
        <f>IF('Paste Here'!$C382&lt;&gt;"",'Paste Here'!$C382,"")</f>
        <v/>
      </c>
      <c r="I388" s="25" t="str">
        <f>IF('Paste Here'!$D382&lt;&gt;"",'Paste Here'!$D382,"")</f>
        <v/>
      </c>
      <c r="J388" s="27" t="str">
        <f>IF('Paste Here'!$E382&lt;&gt;"",'Paste Here'!$E382,"")</f>
        <v/>
      </c>
      <c r="K388" s="16" t="str">
        <f>IF('Paste Here'!$F382&lt;&gt;"",'Paste Here'!$F382,"")</f>
        <v/>
      </c>
      <c r="L388" s="16" t="str">
        <f>IF('Paste Here'!$G382&lt;&gt;"",'Paste Here'!$G382,"")</f>
        <v/>
      </c>
      <c r="M388" s="18" t="str">
        <f t="shared" si="11"/>
        <v/>
      </c>
    </row>
    <row r="389" spans="1:13" s="17" customFormat="1" x14ac:dyDescent="0.25">
      <c r="A389" s="16" t="str">
        <f>IF(URN&lt;&gt;"",_xll.mdValue("Resident",_xlnm.Database,$F389),"")</f>
        <v/>
      </c>
      <c r="B389" s="16" t="str">
        <f>IF(PersonId&lt;&gt;"",_xll.mdValue("Resident First Name",_xlnm.Database,$A$8),"")</f>
        <v/>
      </c>
      <c r="C389" s="16" t="str">
        <f>IF(PersonId&lt;&gt;"",_xll.mdValue("Resident Last Name",_xlnm.Database,$A$8),"")</f>
        <v/>
      </c>
      <c r="D389" s="16" t="str">
        <f>IF(PersonId&lt;&gt;"",_xll.mdValue("Person Accomodation Code",_xlnm.Database,$A389),"")</f>
        <v/>
      </c>
      <c r="E389" s="28" t="str">
        <f t="shared" si="10"/>
        <v/>
      </c>
      <c r="F389" s="16" t="str">
        <f>IF('Paste Here'!$A383&lt;&gt;"",'Paste Here'!$A383,"")</f>
        <v/>
      </c>
      <c r="G389" s="16" t="str">
        <f>IF('Paste Here'!$B383&lt;&gt;"",'Paste Here'!$B383,"")</f>
        <v/>
      </c>
      <c r="H389" s="16" t="str">
        <f>IF('Paste Here'!$C383&lt;&gt;"",'Paste Here'!$C383,"")</f>
        <v/>
      </c>
      <c r="I389" s="25" t="str">
        <f>IF('Paste Here'!$D383&lt;&gt;"",'Paste Here'!$D383,"")</f>
        <v/>
      </c>
      <c r="J389" s="27" t="str">
        <f>IF('Paste Here'!$E383&lt;&gt;"",'Paste Here'!$E383,"")</f>
        <v/>
      </c>
      <c r="K389" s="16" t="str">
        <f>IF('Paste Here'!$F383&lt;&gt;"",'Paste Here'!$F383,"")</f>
        <v/>
      </c>
      <c r="L389" s="16" t="str">
        <f>IF('Paste Here'!$G383&lt;&gt;"",'Paste Here'!$G383,"")</f>
        <v/>
      </c>
      <c r="M389" s="18" t="str">
        <f t="shared" si="11"/>
        <v/>
      </c>
    </row>
    <row r="390" spans="1:13" s="17" customFormat="1" x14ac:dyDescent="0.25">
      <c r="A390" s="16" t="str">
        <f>IF(URN&lt;&gt;"",_xll.mdValue("Resident",_xlnm.Database,$F390),"")</f>
        <v/>
      </c>
      <c r="B390" s="16" t="str">
        <f>IF(PersonId&lt;&gt;"",_xll.mdValue("Resident First Name",_xlnm.Database,$A$8),"")</f>
        <v/>
      </c>
      <c r="C390" s="16" t="str">
        <f>IF(PersonId&lt;&gt;"",_xll.mdValue("Resident Last Name",_xlnm.Database,$A$8),"")</f>
        <v/>
      </c>
      <c r="D390" s="16" t="str">
        <f>IF(PersonId&lt;&gt;"",_xll.mdValue("Person Accomodation Code",_xlnm.Database,$A390),"")</f>
        <v/>
      </c>
      <c r="E390" s="28" t="str">
        <f t="shared" si="10"/>
        <v/>
      </c>
      <c r="F390" s="16" t="str">
        <f>IF('Paste Here'!$A384&lt;&gt;"",'Paste Here'!$A384,"")</f>
        <v/>
      </c>
      <c r="G390" s="16" t="str">
        <f>IF('Paste Here'!$B384&lt;&gt;"",'Paste Here'!$B384,"")</f>
        <v/>
      </c>
      <c r="H390" s="16" t="str">
        <f>IF('Paste Here'!$C384&lt;&gt;"",'Paste Here'!$C384,"")</f>
        <v/>
      </c>
      <c r="I390" s="25" t="str">
        <f>IF('Paste Here'!$D384&lt;&gt;"",'Paste Here'!$D384,"")</f>
        <v/>
      </c>
      <c r="J390" s="27" t="str">
        <f>IF('Paste Here'!$E384&lt;&gt;"",'Paste Here'!$E384,"")</f>
        <v/>
      </c>
      <c r="K390" s="16" t="str">
        <f>IF('Paste Here'!$F384&lt;&gt;"",'Paste Here'!$F384,"")</f>
        <v/>
      </c>
      <c r="L390" s="16" t="str">
        <f>IF('Paste Here'!$G384&lt;&gt;"",'Paste Here'!$G384,"")</f>
        <v/>
      </c>
      <c r="M390" s="18" t="str">
        <f t="shared" si="11"/>
        <v/>
      </c>
    </row>
    <row r="391" spans="1:13" s="17" customFormat="1" x14ac:dyDescent="0.25">
      <c r="A391" s="16" t="str">
        <f>IF(URN&lt;&gt;"",_xll.mdValue("Resident",_xlnm.Database,$F391),"")</f>
        <v/>
      </c>
      <c r="B391" s="16" t="str">
        <f>IF(PersonId&lt;&gt;"",_xll.mdValue("Resident First Name",_xlnm.Database,$A$8),"")</f>
        <v/>
      </c>
      <c r="C391" s="16" t="str">
        <f>IF(PersonId&lt;&gt;"",_xll.mdValue("Resident Last Name",_xlnm.Database,$A$8),"")</f>
        <v/>
      </c>
      <c r="D391" s="16" t="str">
        <f>IF(PersonId&lt;&gt;"",_xll.mdValue("Person Accomodation Code",_xlnm.Database,$A391),"")</f>
        <v/>
      </c>
      <c r="E391" s="28" t="str">
        <f t="shared" si="10"/>
        <v/>
      </c>
      <c r="F391" s="16" t="str">
        <f>IF('Paste Here'!$A385&lt;&gt;"",'Paste Here'!$A385,"")</f>
        <v/>
      </c>
      <c r="G391" s="16" t="str">
        <f>IF('Paste Here'!$B385&lt;&gt;"",'Paste Here'!$B385,"")</f>
        <v/>
      </c>
      <c r="H391" s="16" t="str">
        <f>IF('Paste Here'!$C385&lt;&gt;"",'Paste Here'!$C385,"")</f>
        <v/>
      </c>
      <c r="I391" s="25" t="str">
        <f>IF('Paste Here'!$D385&lt;&gt;"",'Paste Here'!$D385,"")</f>
        <v/>
      </c>
      <c r="J391" s="27" t="str">
        <f>IF('Paste Here'!$E385&lt;&gt;"",'Paste Here'!$E385,"")</f>
        <v/>
      </c>
      <c r="K391" s="16" t="str">
        <f>IF('Paste Here'!$F385&lt;&gt;"",'Paste Here'!$F385,"")</f>
        <v/>
      </c>
      <c r="L391" s="16" t="str">
        <f>IF('Paste Here'!$G385&lt;&gt;"",'Paste Here'!$G385,"")</f>
        <v/>
      </c>
      <c r="M391" s="18" t="str">
        <f t="shared" si="11"/>
        <v/>
      </c>
    </row>
    <row r="392" spans="1:13" s="17" customFormat="1" x14ac:dyDescent="0.25">
      <c r="A392" s="16" t="str">
        <f>IF(URN&lt;&gt;"",_xll.mdValue("Resident",_xlnm.Database,$F392),"")</f>
        <v/>
      </c>
      <c r="B392" s="16" t="str">
        <f>IF(PersonId&lt;&gt;"",_xll.mdValue("Resident First Name",_xlnm.Database,$A$8),"")</f>
        <v/>
      </c>
      <c r="C392" s="16" t="str">
        <f>IF(PersonId&lt;&gt;"",_xll.mdValue("Resident Last Name",_xlnm.Database,$A$8),"")</f>
        <v/>
      </c>
      <c r="D392" s="16" t="str">
        <f>IF(PersonId&lt;&gt;"",_xll.mdValue("Person Accomodation Code",_xlnm.Database,$A392),"")</f>
        <v/>
      </c>
      <c r="E392" s="28" t="str">
        <f t="shared" ref="E392:E455" si="12">IF(ClientCare_Accommodation&lt;&gt;"",IF(ClientCare_Accommodation&lt;&gt;AccommodationCode,"Missing Accommodation",""),"")</f>
        <v/>
      </c>
      <c r="F392" s="16" t="str">
        <f>IF('Paste Here'!$A386&lt;&gt;"",'Paste Here'!$A386,"")</f>
        <v/>
      </c>
      <c r="G392" s="16" t="str">
        <f>IF('Paste Here'!$B386&lt;&gt;"",'Paste Here'!$B386,"")</f>
        <v/>
      </c>
      <c r="H392" s="16" t="str">
        <f>IF('Paste Here'!$C386&lt;&gt;"",'Paste Here'!$C386,"")</f>
        <v/>
      </c>
      <c r="I392" s="25" t="str">
        <f>IF('Paste Here'!$D386&lt;&gt;"",'Paste Here'!$D386,"")</f>
        <v/>
      </c>
      <c r="J392" s="27" t="str">
        <f>IF('Paste Here'!$E386&lt;&gt;"",'Paste Here'!$E386,"")</f>
        <v/>
      </c>
      <c r="K392" s="16" t="str">
        <f>IF('Paste Here'!$F386&lt;&gt;"",'Paste Here'!$F386,"")</f>
        <v/>
      </c>
      <c r="L392" s="16" t="str">
        <f>IF('Paste Here'!$G386&lt;&gt;"",'Paste Here'!$G386,"")</f>
        <v/>
      </c>
      <c r="M392" s="18" t="str">
        <f t="shared" ref="M392:M455" si="13">IF(PersonId&lt;&gt;"","Normal","")</f>
        <v/>
      </c>
    </row>
    <row r="393" spans="1:13" s="17" customFormat="1" x14ac:dyDescent="0.25">
      <c r="A393" s="16" t="str">
        <f>IF(URN&lt;&gt;"",_xll.mdValue("Resident",_xlnm.Database,$F393),"")</f>
        <v/>
      </c>
      <c r="B393" s="16" t="str">
        <f>IF(PersonId&lt;&gt;"",_xll.mdValue("Resident First Name",_xlnm.Database,$A$8),"")</f>
        <v/>
      </c>
      <c r="C393" s="16" t="str">
        <f>IF(PersonId&lt;&gt;"",_xll.mdValue("Resident Last Name",_xlnm.Database,$A$8),"")</f>
        <v/>
      </c>
      <c r="D393" s="16" t="str">
        <f>IF(PersonId&lt;&gt;"",_xll.mdValue("Person Accomodation Code",_xlnm.Database,$A393),"")</f>
        <v/>
      </c>
      <c r="E393" s="28" t="str">
        <f t="shared" si="12"/>
        <v/>
      </c>
      <c r="F393" s="16" t="str">
        <f>IF('Paste Here'!$A387&lt;&gt;"",'Paste Here'!$A387,"")</f>
        <v/>
      </c>
      <c r="G393" s="16" t="str">
        <f>IF('Paste Here'!$B387&lt;&gt;"",'Paste Here'!$B387,"")</f>
        <v/>
      </c>
      <c r="H393" s="16" t="str">
        <f>IF('Paste Here'!$C387&lt;&gt;"",'Paste Here'!$C387,"")</f>
        <v/>
      </c>
      <c r="I393" s="25" t="str">
        <f>IF('Paste Here'!$D387&lt;&gt;"",'Paste Here'!$D387,"")</f>
        <v/>
      </c>
      <c r="J393" s="27" t="str">
        <f>IF('Paste Here'!$E387&lt;&gt;"",'Paste Here'!$E387,"")</f>
        <v/>
      </c>
      <c r="K393" s="16" t="str">
        <f>IF('Paste Here'!$F387&lt;&gt;"",'Paste Here'!$F387,"")</f>
        <v/>
      </c>
      <c r="L393" s="16" t="str">
        <f>IF('Paste Here'!$G387&lt;&gt;"",'Paste Here'!$G387,"")</f>
        <v/>
      </c>
      <c r="M393" s="18" t="str">
        <f t="shared" si="13"/>
        <v/>
      </c>
    </row>
    <row r="394" spans="1:13" s="17" customFormat="1" x14ac:dyDescent="0.25">
      <c r="A394" s="16" t="str">
        <f>IF(URN&lt;&gt;"",_xll.mdValue("Resident",_xlnm.Database,$F394),"")</f>
        <v/>
      </c>
      <c r="B394" s="16" t="str">
        <f>IF(PersonId&lt;&gt;"",_xll.mdValue("Resident First Name",_xlnm.Database,$A$8),"")</f>
        <v/>
      </c>
      <c r="C394" s="16" t="str">
        <f>IF(PersonId&lt;&gt;"",_xll.mdValue("Resident Last Name",_xlnm.Database,$A$8),"")</f>
        <v/>
      </c>
      <c r="D394" s="16" t="str">
        <f>IF(PersonId&lt;&gt;"",_xll.mdValue("Person Accomodation Code",_xlnm.Database,$A394),"")</f>
        <v/>
      </c>
      <c r="E394" s="28" t="str">
        <f t="shared" si="12"/>
        <v/>
      </c>
      <c r="F394" s="16" t="str">
        <f>IF('Paste Here'!$A388&lt;&gt;"",'Paste Here'!$A388,"")</f>
        <v/>
      </c>
      <c r="G394" s="16" t="str">
        <f>IF('Paste Here'!$B388&lt;&gt;"",'Paste Here'!$B388,"")</f>
        <v/>
      </c>
      <c r="H394" s="16" t="str">
        <f>IF('Paste Here'!$C388&lt;&gt;"",'Paste Here'!$C388,"")</f>
        <v/>
      </c>
      <c r="I394" s="25" t="str">
        <f>IF('Paste Here'!$D388&lt;&gt;"",'Paste Here'!$D388,"")</f>
        <v/>
      </c>
      <c r="J394" s="27" t="str">
        <f>IF('Paste Here'!$E388&lt;&gt;"",'Paste Here'!$E388,"")</f>
        <v/>
      </c>
      <c r="K394" s="16" t="str">
        <f>IF('Paste Here'!$F388&lt;&gt;"",'Paste Here'!$F388,"")</f>
        <v/>
      </c>
      <c r="L394" s="16" t="str">
        <f>IF('Paste Here'!$G388&lt;&gt;"",'Paste Here'!$G388,"")</f>
        <v/>
      </c>
      <c r="M394" s="18" t="str">
        <f t="shared" si="13"/>
        <v/>
      </c>
    </row>
    <row r="395" spans="1:13" s="17" customFormat="1" x14ac:dyDescent="0.25">
      <c r="A395" s="16" t="str">
        <f>IF(URN&lt;&gt;"",_xll.mdValue("Resident",_xlnm.Database,$F395),"")</f>
        <v/>
      </c>
      <c r="B395" s="16" t="str">
        <f>IF(PersonId&lt;&gt;"",_xll.mdValue("Resident First Name",_xlnm.Database,$A$8),"")</f>
        <v/>
      </c>
      <c r="C395" s="16" t="str">
        <f>IF(PersonId&lt;&gt;"",_xll.mdValue("Resident Last Name",_xlnm.Database,$A$8),"")</f>
        <v/>
      </c>
      <c r="D395" s="16" t="str">
        <f>IF(PersonId&lt;&gt;"",_xll.mdValue("Person Accomodation Code",_xlnm.Database,$A395),"")</f>
        <v/>
      </c>
      <c r="E395" s="28" t="str">
        <f t="shared" si="12"/>
        <v/>
      </c>
      <c r="F395" s="16" t="str">
        <f>IF('Paste Here'!$A389&lt;&gt;"",'Paste Here'!$A389,"")</f>
        <v/>
      </c>
      <c r="G395" s="16" t="str">
        <f>IF('Paste Here'!$B389&lt;&gt;"",'Paste Here'!$B389,"")</f>
        <v/>
      </c>
      <c r="H395" s="16" t="str">
        <f>IF('Paste Here'!$C389&lt;&gt;"",'Paste Here'!$C389,"")</f>
        <v/>
      </c>
      <c r="I395" s="25" t="str">
        <f>IF('Paste Here'!$D389&lt;&gt;"",'Paste Here'!$D389,"")</f>
        <v/>
      </c>
      <c r="J395" s="27" t="str">
        <f>IF('Paste Here'!$E389&lt;&gt;"",'Paste Here'!$E389,"")</f>
        <v/>
      </c>
      <c r="K395" s="16" t="str">
        <f>IF('Paste Here'!$F389&lt;&gt;"",'Paste Here'!$F389,"")</f>
        <v/>
      </c>
      <c r="L395" s="16" t="str">
        <f>IF('Paste Here'!$G389&lt;&gt;"",'Paste Here'!$G389,"")</f>
        <v/>
      </c>
      <c r="M395" s="18" t="str">
        <f t="shared" si="13"/>
        <v/>
      </c>
    </row>
    <row r="396" spans="1:13" s="17" customFormat="1" x14ac:dyDescent="0.25">
      <c r="A396" s="16" t="str">
        <f>IF(URN&lt;&gt;"",_xll.mdValue("Resident",_xlnm.Database,$F396),"")</f>
        <v/>
      </c>
      <c r="B396" s="16" t="str">
        <f>IF(PersonId&lt;&gt;"",_xll.mdValue("Resident First Name",_xlnm.Database,$A$8),"")</f>
        <v/>
      </c>
      <c r="C396" s="16" t="str">
        <f>IF(PersonId&lt;&gt;"",_xll.mdValue("Resident Last Name",_xlnm.Database,$A$8),"")</f>
        <v/>
      </c>
      <c r="D396" s="16" t="str">
        <f>IF(PersonId&lt;&gt;"",_xll.mdValue("Person Accomodation Code",_xlnm.Database,$A396),"")</f>
        <v/>
      </c>
      <c r="E396" s="28" t="str">
        <f t="shared" si="12"/>
        <v/>
      </c>
      <c r="F396" s="16" t="str">
        <f>IF('Paste Here'!$A390&lt;&gt;"",'Paste Here'!$A390,"")</f>
        <v/>
      </c>
      <c r="G396" s="16" t="str">
        <f>IF('Paste Here'!$B390&lt;&gt;"",'Paste Here'!$B390,"")</f>
        <v/>
      </c>
      <c r="H396" s="16" t="str">
        <f>IF('Paste Here'!$C390&lt;&gt;"",'Paste Here'!$C390,"")</f>
        <v/>
      </c>
      <c r="I396" s="25" t="str">
        <f>IF('Paste Here'!$D390&lt;&gt;"",'Paste Here'!$D390,"")</f>
        <v/>
      </c>
      <c r="J396" s="27" t="str">
        <f>IF('Paste Here'!$E390&lt;&gt;"",'Paste Here'!$E390,"")</f>
        <v/>
      </c>
      <c r="K396" s="16" t="str">
        <f>IF('Paste Here'!$F390&lt;&gt;"",'Paste Here'!$F390,"")</f>
        <v/>
      </c>
      <c r="L396" s="16" t="str">
        <f>IF('Paste Here'!$G390&lt;&gt;"",'Paste Here'!$G390,"")</f>
        <v/>
      </c>
      <c r="M396" s="18" t="str">
        <f t="shared" si="13"/>
        <v/>
      </c>
    </row>
    <row r="397" spans="1:13" s="17" customFormat="1" x14ac:dyDescent="0.25">
      <c r="A397" s="16" t="str">
        <f>IF(URN&lt;&gt;"",_xll.mdValue("Resident",_xlnm.Database,$F397),"")</f>
        <v/>
      </c>
      <c r="B397" s="16" t="str">
        <f>IF(PersonId&lt;&gt;"",_xll.mdValue("Resident First Name",_xlnm.Database,$A$8),"")</f>
        <v/>
      </c>
      <c r="C397" s="16" t="str">
        <f>IF(PersonId&lt;&gt;"",_xll.mdValue("Resident Last Name",_xlnm.Database,$A$8),"")</f>
        <v/>
      </c>
      <c r="D397" s="16" t="str">
        <f>IF(PersonId&lt;&gt;"",_xll.mdValue("Person Accomodation Code",_xlnm.Database,$A397),"")</f>
        <v/>
      </c>
      <c r="E397" s="28" t="str">
        <f t="shared" si="12"/>
        <v/>
      </c>
      <c r="F397" s="16" t="str">
        <f>IF('Paste Here'!$A391&lt;&gt;"",'Paste Here'!$A391,"")</f>
        <v/>
      </c>
      <c r="G397" s="16" t="str">
        <f>IF('Paste Here'!$B391&lt;&gt;"",'Paste Here'!$B391,"")</f>
        <v/>
      </c>
      <c r="H397" s="16" t="str">
        <f>IF('Paste Here'!$C391&lt;&gt;"",'Paste Here'!$C391,"")</f>
        <v/>
      </c>
      <c r="I397" s="25" t="str">
        <f>IF('Paste Here'!$D391&lt;&gt;"",'Paste Here'!$D391,"")</f>
        <v/>
      </c>
      <c r="J397" s="27" t="str">
        <f>IF('Paste Here'!$E391&lt;&gt;"",'Paste Here'!$E391,"")</f>
        <v/>
      </c>
      <c r="K397" s="16" t="str">
        <f>IF('Paste Here'!$F391&lt;&gt;"",'Paste Here'!$F391,"")</f>
        <v/>
      </c>
      <c r="L397" s="16" t="str">
        <f>IF('Paste Here'!$G391&lt;&gt;"",'Paste Here'!$G391,"")</f>
        <v/>
      </c>
      <c r="M397" s="18" t="str">
        <f t="shared" si="13"/>
        <v/>
      </c>
    </row>
    <row r="398" spans="1:13" s="17" customFormat="1" x14ac:dyDescent="0.25">
      <c r="A398" s="16" t="str">
        <f>IF(URN&lt;&gt;"",_xll.mdValue("Resident",_xlnm.Database,$F398),"")</f>
        <v/>
      </c>
      <c r="B398" s="16" t="str">
        <f>IF(PersonId&lt;&gt;"",_xll.mdValue("Resident First Name",_xlnm.Database,$A$8),"")</f>
        <v/>
      </c>
      <c r="C398" s="16" t="str">
        <f>IF(PersonId&lt;&gt;"",_xll.mdValue("Resident Last Name",_xlnm.Database,$A$8),"")</f>
        <v/>
      </c>
      <c r="D398" s="16" t="str">
        <f>IF(PersonId&lt;&gt;"",_xll.mdValue("Person Accomodation Code",_xlnm.Database,$A398),"")</f>
        <v/>
      </c>
      <c r="E398" s="28" t="str">
        <f t="shared" si="12"/>
        <v/>
      </c>
      <c r="F398" s="16" t="str">
        <f>IF('Paste Here'!$A392&lt;&gt;"",'Paste Here'!$A392,"")</f>
        <v/>
      </c>
      <c r="G398" s="16" t="str">
        <f>IF('Paste Here'!$B392&lt;&gt;"",'Paste Here'!$B392,"")</f>
        <v/>
      </c>
      <c r="H398" s="16" t="str">
        <f>IF('Paste Here'!$C392&lt;&gt;"",'Paste Here'!$C392,"")</f>
        <v/>
      </c>
      <c r="I398" s="25" t="str">
        <f>IF('Paste Here'!$D392&lt;&gt;"",'Paste Here'!$D392,"")</f>
        <v/>
      </c>
      <c r="J398" s="27" t="str">
        <f>IF('Paste Here'!$E392&lt;&gt;"",'Paste Here'!$E392,"")</f>
        <v/>
      </c>
      <c r="K398" s="16" t="str">
        <f>IF('Paste Here'!$F392&lt;&gt;"",'Paste Here'!$F392,"")</f>
        <v/>
      </c>
      <c r="L398" s="16" t="str">
        <f>IF('Paste Here'!$G392&lt;&gt;"",'Paste Here'!$G392,"")</f>
        <v/>
      </c>
      <c r="M398" s="18" t="str">
        <f t="shared" si="13"/>
        <v/>
      </c>
    </row>
    <row r="399" spans="1:13" s="17" customFormat="1" x14ac:dyDescent="0.25">
      <c r="A399" s="16" t="str">
        <f>IF(URN&lt;&gt;"",_xll.mdValue("Resident",_xlnm.Database,$F399),"")</f>
        <v/>
      </c>
      <c r="B399" s="16" t="str">
        <f>IF(PersonId&lt;&gt;"",_xll.mdValue("Resident First Name",_xlnm.Database,$A$8),"")</f>
        <v/>
      </c>
      <c r="C399" s="16" t="str">
        <f>IF(PersonId&lt;&gt;"",_xll.mdValue("Resident Last Name",_xlnm.Database,$A$8),"")</f>
        <v/>
      </c>
      <c r="D399" s="16" t="str">
        <f>IF(PersonId&lt;&gt;"",_xll.mdValue("Person Accomodation Code",_xlnm.Database,$A399),"")</f>
        <v/>
      </c>
      <c r="E399" s="28" t="str">
        <f t="shared" si="12"/>
        <v/>
      </c>
      <c r="F399" s="16" t="str">
        <f>IF('Paste Here'!$A393&lt;&gt;"",'Paste Here'!$A393,"")</f>
        <v/>
      </c>
      <c r="G399" s="16" t="str">
        <f>IF('Paste Here'!$B393&lt;&gt;"",'Paste Here'!$B393,"")</f>
        <v/>
      </c>
      <c r="H399" s="16" t="str">
        <f>IF('Paste Here'!$C393&lt;&gt;"",'Paste Here'!$C393,"")</f>
        <v/>
      </c>
      <c r="I399" s="25" t="str">
        <f>IF('Paste Here'!$D393&lt;&gt;"",'Paste Here'!$D393,"")</f>
        <v/>
      </c>
      <c r="J399" s="27" t="str">
        <f>IF('Paste Here'!$E393&lt;&gt;"",'Paste Here'!$E393,"")</f>
        <v/>
      </c>
      <c r="K399" s="16" t="str">
        <f>IF('Paste Here'!$F393&lt;&gt;"",'Paste Here'!$F393,"")</f>
        <v/>
      </c>
      <c r="L399" s="16" t="str">
        <f>IF('Paste Here'!$G393&lt;&gt;"",'Paste Here'!$G393,"")</f>
        <v/>
      </c>
      <c r="M399" s="18" t="str">
        <f t="shared" si="13"/>
        <v/>
      </c>
    </row>
    <row r="400" spans="1:13" s="17" customFormat="1" x14ac:dyDescent="0.25">
      <c r="A400" s="16" t="str">
        <f>IF(URN&lt;&gt;"",_xll.mdValue("Resident",_xlnm.Database,$F400),"")</f>
        <v/>
      </c>
      <c r="B400" s="16" t="str">
        <f>IF(PersonId&lt;&gt;"",_xll.mdValue("Resident First Name",_xlnm.Database,$A$8),"")</f>
        <v/>
      </c>
      <c r="C400" s="16" t="str">
        <f>IF(PersonId&lt;&gt;"",_xll.mdValue("Resident Last Name",_xlnm.Database,$A$8),"")</f>
        <v/>
      </c>
      <c r="D400" s="16" t="str">
        <f>IF(PersonId&lt;&gt;"",_xll.mdValue("Person Accomodation Code",_xlnm.Database,$A400),"")</f>
        <v/>
      </c>
      <c r="E400" s="28" t="str">
        <f t="shared" si="12"/>
        <v/>
      </c>
      <c r="F400" s="16" t="str">
        <f>IF('Paste Here'!$A394&lt;&gt;"",'Paste Here'!$A394,"")</f>
        <v/>
      </c>
      <c r="G400" s="16" t="str">
        <f>IF('Paste Here'!$B394&lt;&gt;"",'Paste Here'!$B394,"")</f>
        <v/>
      </c>
      <c r="H400" s="16" t="str">
        <f>IF('Paste Here'!$C394&lt;&gt;"",'Paste Here'!$C394,"")</f>
        <v/>
      </c>
      <c r="I400" s="25" t="str">
        <f>IF('Paste Here'!$D394&lt;&gt;"",'Paste Here'!$D394,"")</f>
        <v/>
      </c>
      <c r="J400" s="27" t="str">
        <f>IF('Paste Here'!$E394&lt;&gt;"",'Paste Here'!$E394,"")</f>
        <v/>
      </c>
      <c r="K400" s="16" t="str">
        <f>IF('Paste Here'!$F394&lt;&gt;"",'Paste Here'!$F394,"")</f>
        <v/>
      </c>
      <c r="L400" s="16" t="str">
        <f>IF('Paste Here'!$G394&lt;&gt;"",'Paste Here'!$G394,"")</f>
        <v/>
      </c>
      <c r="M400" s="18" t="str">
        <f t="shared" si="13"/>
        <v/>
      </c>
    </row>
    <row r="401" spans="1:13" s="17" customFormat="1" x14ac:dyDescent="0.25">
      <c r="A401" s="16" t="str">
        <f>IF(URN&lt;&gt;"",_xll.mdValue("Resident",_xlnm.Database,$F401),"")</f>
        <v/>
      </c>
      <c r="B401" s="16" t="str">
        <f>IF(PersonId&lt;&gt;"",_xll.mdValue("Resident First Name",_xlnm.Database,$A$8),"")</f>
        <v/>
      </c>
      <c r="C401" s="16" t="str">
        <f>IF(PersonId&lt;&gt;"",_xll.mdValue("Resident Last Name",_xlnm.Database,$A$8),"")</f>
        <v/>
      </c>
      <c r="D401" s="16" t="str">
        <f>IF(PersonId&lt;&gt;"",_xll.mdValue("Person Accomodation Code",_xlnm.Database,$A401),"")</f>
        <v/>
      </c>
      <c r="E401" s="28" t="str">
        <f t="shared" si="12"/>
        <v/>
      </c>
      <c r="F401" s="16" t="str">
        <f>IF('Paste Here'!$A395&lt;&gt;"",'Paste Here'!$A395,"")</f>
        <v/>
      </c>
      <c r="G401" s="16" t="str">
        <f>IF('Paste Here'!$B395&lt;&gt;"",'Paste Here'!$B395,"")</f>
        <v/>
      </c>
      <c r="H401" s="16" t="str">
        <f>IF('Paste Here'!$C395&lt;&gt;"",'Paste Here'!$C395,"")</f>
        <v/>
      </c>
      <c r="I401" s="25" t="str">
        <f>IF('Paste Here'!$D395&lt;&gt;"",'Paste Here'!$D395,"")</f>
        <v/>
      </c>
      <c r="J401" s="27" t="str">
        <f>IF('Paste Here'!$E395&lt;&gt;"",'Paste Here'!$E395,"")</f>
        <v/>
      </c>
      <c r="K401" s="16" t="str">
        <f>IF('Paste Here'!$F395&lt;&gt;"",'Paste Here'!$F395,"")</f>
        <v/>
      </c>
      <c r="L401" s="16" t="str">
        <f>IF('Paste Here'!$G395&lt;&gt;"",'Paste Here'!$G395,"")</f>
        <v/>
      </c>
      <c r="M401" s="18" t="str">
        <f t="shared" si="13"/>
        <v/>
      </c>
    </row>
    <row r="402" spans="1:13" s="17" customFormat="1" x14ac:dyDescent="0.25">
      <c r="A402" s="16" t="str">
        <f>IF(URN&lt;&gt;"",_xll.mdValue("Resident",_xlnm.Database,$F402),"")</f>
        <v/>
      </c>
      <c r="B402" s="16" t="str">
        <f>IF(PersonId&lt;&gt;"",_xll.mdValue("Resident First Name",_xlnm.Database,$A$8),"")</f>
        <v/>
      </c>
      <c r="C402" s="16" t="str">
        <f>IF(PersonId&lt;&gt;"",_xll.mdValue("Resident Last Name",_xlnm.Database,$A$8),"")</f>
        <v/>
      </c>
      <c r="D402" s="16" t="str">
        <f>IF(PersonId&lt;&gt;"",_xll.mdValue("Person Accomodation Code",_xlnm.Database,$A402),"")</f>
        <v/>
      </c>
      <c r="E402" s="28" t="str">
        <f t="shared" si="12"/>
        <v/>
      </c>
      <c r="F402" s="16" t="str">
        <f>IF('Paste Here'!$A396&lt;&gt;"",'Paste Here'!$A396,"")</f>
        <v/>
      </c>
      <c r="G402" s="16" t="str">
        <f>IF('Paste Here'!$B396&lt;&gt;"",'Paste Here'!$B396,"")</f>
        <v/>
      </c>
      <c r="H402" s="16" t="str">
        <f>IF('Paste Here'!$C396&lt;&gt;"",'Paste Here'!$C396,"")</f>
        <v/>
      </c>
      <c r="I402" s="25" t="str">
        <f>IF('Paste Here'!$D396&lt;&gt;"",'Paste Here'!$D396,"")</f>
        <v/>
      </c>
      <c r="J402" s="27" t="str">
        <f>IF('Paste Here'!$E396&lt;&gt;"",'Paste Here'!$E396,"")</f>
        <v/>
      </c>
      <c r="K402" s="16" t="str">
        <f>IF('Paste Here'!$F396&lt;&gt;"",'Paste Here'!$F396,"")</f>
        <v/>
      </c>
      <c r="L402" s="16" t="str">
        <f>IF('Paste Here'!$G396&lt;&gt;"",'Paste Here'!$G396,"")</f>
        <v/>
      </c>
      <c r="M402" s="18" t="str">
        <f t="shared" si="13"/>
        <v/>
      </c>
    </row>
    <row r="403" spans="1:13" s="17" customFormat="1" x14ac:dyDescent="0.25">
      <c r="A403" s="16" t="str">
        <f>IF(URN&lt;&gt;"",_xll.mdValue("Resident",_xlnm.Database,$F403),"")</f>
        <v/>
      </c>
      <c r="B403" s="16" t="str">
        <f>IF(PersonId&lt;&gt;"",_xll.mdValue("Resident First Name",_xlnm.Database,$A$8),"")</f>
        <v/>
      </c>
      <c r="C403" s="16" t="str">
        <f>IF(PersonId&lt;&gt;"",_xll.mdValue("Resident Last Name",_xlnm.Database,$A$8),"")</f>
        <v/>
      </c>
      <c r="D403" s="16" t="str">
        <f>IF(PersonId&lt;&gt;"",_xll.mdValue("Person Accomodation Code",_xlnm.Database,$A403),"")</f>
        <v/>
      </c>
      <c r="E403" s="28" t="str">
        <f t="shared" si="12"/>
        <v/>
      </c>
      <c r="F403" s="16" t="str">
        <f>IF('Paste Here'!$A397&lt;&gt;"",'Paste Here'!$A397,"")</f>
        <v/>
      </c>
      <c r="G403" s="16" t="str">
        <f>IF('Paste Here'!$B397&lt;&gt;"",'Paste Here'!$B397,"")</f>
        <v/>
      </c>
      <c r="H403" s="16" t="str">
        <f>IF('Paste Here'!$C397&lt;&gt;"",'Paste Here'!$C397,"")</f>
        <v/>
      </c>
      <c r="I403" s="25" t="str">
        <f>IF('Paste Here'!$D397&lt;&gt;"",'Paste Here'!$D397,"")</f>
        <v/>
      </c>
      <c r="J403" s="27" t="str">
        <f>IF('Paste Here'!$E397&lt;&gt;"",'Paste Here'!$E397,"")</f>
        <v/>
      </c>
      <c r="K403" s="16" t="str">
        <f>IF('Paste Here'!$F397&lt;&gt;"",'Paste Here'!$F397,"")</f>
        <v/>
      </c>
      <c r="L403" s="16" t="str">
        <f>IF('Paste Here'!$G397&lt;&gt;"",'Paste Here'!$G397,"")</f>
        <v/>
      </c>
      <c r="M403" s="18" t="str">
        <f t="shared" si="13"/>
        <v/>
      </c>
    </row>
    <row r="404" spans="1:13" s="17" customFormat="1" x14ac:dyDescent="0.25">
      <c r="A404" s="16" t="str">
        <f>IF(URN&lt;&gt;"",_xll.mdValue("Resident",_xlnm.Database,$F404),"")</f>
        <v/>
      </c>
      <c r="B404" s="16" t="str">
        <f>IF(PersonId&lt;&gt;"",_xll.mdValue("Resident First Name",_xlnm.Database,$A$8),"")</f>
        <v/>
      </c>
      <c r="C404" s="16" t="str">
        <f>IF(PersonId&lt;&gt;"",_xll.mdValue("Resident Last Name",_xlnm.Database,$A$8),"")</f>
        <v/>
      </c>
      <c r="D404" s="16" t="str">
        <f>IF(PersonId&lt;&gt;"",_xll.mdValue("Person Accomodation Code",_xlnm.Database,$A404),"")</f>
        <v/>
      </c>
      <c r="E404" s="28" t="str">
        <f t="shared" si="12"/>
        <v/>
      </c>
      <c r="F404" s="16" t="str">
        <f>IF('Paste Here'!$A398&lt;&gt;"",'Paste Here'!$A398,"")</f>
        <v/>
      </c>
      <c r="G404" s="16" t="str">
        <f>IF('Paste Here'!$B398&lt;&gt;"",'Paste Here'!$B398,"")</f>
        <v/>
      </c>
      <c r="H404" s="16" t="str">
        <f>IF('Paste Here'!$C398&lt;&gt;"",'Paste Here'!$C398,"")</f>
        <v/>
      </c>
      <c r="I404" s="25" t="str">
        <f>IF('Paste Here'!$D398&lt;&gt;"",'Paste Here'!$D398,"")</f>
        <v/>
      </c>
      <c r="J404" s="27" t="str">
        <f>IF('Paste Here'!$E398&lt;&gt;"",'Paste Here'!$E398,"")</f>
        <v/>
      </c>
      <c r="K404" s="16" t="str">
        <f>IF('Paste Here'!$F398&lt;&gt;"",'Paste Here'!$F398,"")</f>
        <v/>
      </c>
      <c r="L404" s="16" t="str">
        <f>IF('Paste Here'!$G398&lt;&gt;"",'Paste Here'!$G398,"")</f>
        <v/>
      </c>
      <c r="M404" s="18" t="str">
        <f t="shared" si="13"/>
        <v/>
      </c>
    </row>
    <row r="405" spans="1:13" s="17" customFormat="1" x14ac:dyDescent="0.25">
      <c r="A405" s="16" t="str">
        <f>IF(URN&lt;&gt;"",_xll.mdValue("Resident",_xlnm.Database,$F405),"")</f>
        <v/>
      </c>
      <c r="B405" s="16" t="str">
        <f>IF(PersonId&lt;&gt;"",_xll.mdValue("Resident First Name",_xlnm.Database,$A$8),"")</f>
        <v/>
      </c>
      <c r="C405" s="16" t="str">
        <f>IF(PersonId&lt;&gt;"",_xll.mdValue("Resident Last Name",_xlnm.Database,$A$8),"")</f>
        <v/>
      </c>
      <c r="D405" s="16" t="str">
        <f>IF(PersonId&lt;&gt;"",_xll.mdValue("Person Accomodation Code",_xlnm.Database,$A405),"")</f>
        <v/>
      </c>
      <c r="E405" s="28" t="str">
        <f t="shared" si="12"/>
        <v/>
      </c>
      <c r="F405" s="16" t="str">
        <f>IF('Paste Here'!$A399&lt;&gt;"",'Paste Here'!$A399,"")</f>
        <v/>
      </c>
      <c r="G405" s="16" t="str">
        <f>IF('Paste Here'!$B399&lt;&gt;"",'Paste Here'!$B399,"")</f>
        <v/>
      </c>
      <c r="H405" s="16" t="str">
        <f>IF('Paste Here'!$C399&lt;&gt;"",'Paste Here'!$C399,"")</f>
        <v/>
      </c>
      <c r="I405" s="25" t="str">
        <f>IF('Paste Here'!$D399&lt;&gt;"",'Paste Here'!$D399,"")</f>
        <v/>
      </c>
      <c r="J405" s="27" t="str">
        <f>IF('Paste Here'!$E399&lt;&gt;"",'Paste Here'!$E399,"")</f>
        <v/>
      </c>
      <c r="K405" s="16" t="str">
        <f>IF('Paste Here'!$F399&lt;&gt;"",'Paste Here'!$F399,"")</f>
        <v/>
      </c>
      <c r="L405" s="16" t="str">
        <f>IF('Paste Here'!$G399&lt;&gt;"",'Paste Here'!$G399,"")</f>
        <v/>
      </c>
      <c r="M405" s="18" t="str">
        <f t="shared" si="13"/>
        <v/>
      </c>
    </row>
    <row r="406" spans="1:13" s="17" customFormat="1" x14ac:dyDescent="0.25">
      <c r="A406" s="16" t="str">
        <f>IF(URN&lt;&gt;"",_xll.mdValue("Resident",_xlnm.Database,$F406),"")</f>
        <v/>
      </c>
      <c r="B406" s="16" t="str">
        <f>IF(PersonId&lt;&gt;"",_xll.mdValue("Resident First Name",_xlnm.Database,$A$8),"")</f>
        <v/>
      </c>
      <c r="C406" s="16" t="str">
        <f>IF(PersonId&lt;&gt;"",_xll.mdValue("Resident Last Name",_xlnm.Database,$A$8),"")</f>
        <v/>
      </c>
      <c r="D406" s="16" t="str">
        <f>IF(PersonId&lt;&gt;"",_xll.mdValue("Person Accomodation Code",_xlnm.Database,$A406),"")</f>
        <v/>
      </c>
      <c r="E406" s="28" t="str">
        <f t="shared" si="12"/>
        <v/>
      </c>
      <c r="F406" s="16" t="str">
        <f>IF('Paste Here'!$A400&lt;&gt;"",'Paste Here'!$A400,"")</f>
        <v/>
      </c>
      <c r="G406" s="16" t="str">
        <f>IF('Paste Here'!$B400&lt;&gt;"",'Paste Here'!$B400,"")</f>
        <v/>
      </c>
      <c r="H406" s="16" t="str">
        <f>IF('Paste Here'!$C400&lt;&gt;"",'Paste Here'!$C400,"")</f>
        <v/>
      </c>
      <c r="I406" s="25" t="str">
        <f>IF('Paste Here'!$D400&lt;&gt;"",'Paste Here'!$D400,"")</f>
        <v/>
      </c>
      <c r="J406" s="27" t="str">
        <f>IF('Paste Here'!$E400&lt;&gt;"",'Paste Here'!$E400,"")</f>
        <v/>
      </c>
      <c r="K406" s="16" t="str">
        <f>IF('Paste Here'!$F400&lt;&gt;"",'Paste Here'!$F400,"")</f>
        <v/>
      </c>
      <c r="L406" s="16" t="str">
        <f>IF('Paste Here'!$G400&lt;&gt;"",'Paste Here'!$G400,"")</f>
        <v/>
      </c>
      <c r="M406" s="18" t="str">
        <f t="shared" si="13"/>
        <v/>
      </c>
    </row>
    <row r="407" spans="1:13" s="17" customFormat="1" x14ac:dyDescent="0.25">
      <c r="A407" s="16" t="str">
        <f>IF(URN&lt;&gt;"",_xll.mdValue("Resident",_xlnm.Database,$F407),"")</f>
        <v/>
      </c>
      <c r="B407" s="16" t="str">
        <f>IF(PersonId&lt;&gt;"",_xll.mdValue("Resident First Name",_xlnm.Database,$A$8),"")</f>
        <v/>
      </c>
      <c r="C407" s="16" t="str">
        <f>IF(PersonId&lt;&gt;"",_xll.mdValue("Resident Last Name",_xlnm.Database,$A$8),"")</f>
        <v/>
      </c>
      <c r="D407" s="16" t="str">
        <f>IF(PersonId&lt;&gt;"",_xll.mdValue("Person Accomodation Code",_xlnm.Database,$A407),"")</f>
        <v/>
      </c>
      <c r="E407" s="28" t="str">
        <f t="shared" si="12"/>
        <v/>
      </c>
      <c r="F407" s="16" t="str">
        <f>IF('Paste Here'!$A401&lt;&gt;"",'Paste Here'!$A401,"")</f>
        <v/>
      </c>
      <c r="G407" s="16" t="str">
        <f>IF('Paste Here'!$B401&lt;&gt;"",'Paste Here'!$B401,"")</f>
        <v/>
      </c>
      <c r="H407" s="16" t="str">
        <f>IF('Paste Here'!$C401&lt;&gt;"",'Paste Here'!$C401,"")</f>
        <v/>
      </c>
      <c r="I407" s="25" t="str">
        <f>IF('Paste Here'!$D401&lt;&gt;"",'Paste Here'!$D401,"")</f>
        <v/>
      </c>
      <c r="J407" s="27" t="str">
        <f>IF('Paste Here'!$E401&lt;&gt;"",'Paste Here'!$E401,"")</f>
        <v/>
      </c>
      <c r="K407" s="16" t="str">
        <f>IF('Paste Here'!$F401&lt;&gt;"",'Paste Here'!$F401,"")</f>
        <v/>
      </c>
      <c r="L407" s="16" t="str">
        <f>IF('Paste Here'!$G401&lt;&gt;"",'Paste Here'!$G401,"")</f>
        <v/>
      </c>
      <c r="M407" s="18" t="str">
        <f t="shared" si="13"/>
        <v/>
      </c>
    </row>
    <row r="408" spans="1:13" s="17" customFormat="1" x14ac:dyDescent="0.25">
      <c r="A408" s="16" t="str">
        <f>IF(URN&lt;&gt;"",_xll.mdValue("Resident",_xlnm.Database,$F408),"")</f>
        <v/>
      </c>
      <c r="B408" s="16" t="str">
        <f>IF(PersonId&lt;&gt;"",_xll.mdValue("Resident First Name",_xlnm.Database,$A$8),"")</f>
        <v/>
      </c>
      <c r="C408" s="16" t="str">
        <f>IF(PersonId&lt;&gt;"",_xll.mdValue("Resident Last Name",_xlnm.Database,$A$8),"")</f>
        <v/>
      </c>
      <c r="D408" s="16" t="str">
        <f>IF(PersonId&lt;&gt;"",_xll.mdValue("Person Accomodation Code",_xlnm.Database,$A408),"")</f>
        <v/>
      </c>
      <c r="E408" s="28" t="str">
        <f t="shared" si="12"/>
        <v/>
      </c>
      <c r="F408" s="16" t="str">
        <f>IF('Paste Here'!$A402&lt;&gt;"",'Paste Here'!$A402,"")</f>
        <v/>
      </c>
      <c r="G408" s="16" t="str">
        <f>IF('Paste Here'!$B402&lt;&gt;"",'Paste Here'!$B402,"")</f>
        <v/>
      </c>
      <c r="H408" s="16" t="str">
        <f>IF('Paste Here'!$C402&lt;&gt;"",'Paste Here'!$C402,"")</f>
        <v/>
      </c>
      <c r="I408" s="25" t="str">
        <f>IF('Paste Here'!$D402&lt;&gt;"",'Paste Here'!$D402,"")</f>
        <v/>
      </c>
      <c r="J408" s="27" t="str">
        <f>IF('Paste Here'!$E402&lt;&gt;"",'Paste Here'!$E402,"")</f>
        <v/>
      </c>
      <c r="K408" s="16" t="str">
        <f>IF('Paste Here'!$F402&lt;&gt;"",'Paste Here'!$F402,"")</f>
        <v/>
      </c>
      <c r="L408" s="16" t="str">
        <f>IF('Paste Here'!$G402&lt;&gt;"",'Paste Here'!$G402,"")</f>
        <v/>
      </c>
      <c r="M408" s="18" t="str">
        <f t="shared" si="13"/>
        <v/>
      </c>
    </row>
    <row r="409" spans="1:13" s="17" customFormat="1" x14ac:dyDescent="0.25">
      <c r="A409" s="16" t="str">
        <f>IF(URN&lt;&gt;"",_xll.mdValue("Resident",_xlnm.Database,$F409),"")</f>
        <v/>
      </c>
      <c r="B409" s="16" t="str">
        <f>IF(PersonId&lt;&gt;"",_xll.mdValue("Resident First Name",_xlnm.Database,$A$8),"")</f>
        <v/>
      </c>
      <c r="C409" s="16" t="str">
        <f>IF(PersonId&lt;&gt;"",_xll.mdValue("Resident Last Name",_xlnm.Database,$A$8),"")</f>
        <v/>
      </c>
      <c r="D409" s="16" t="str">
        <f>IF(PersonId&lt;&gt;"",_xll.mdValue("Person Accomodation Code",_xlnm.Database,$A409),"")</f>
        <v/>
      </c>
      <c r="E409" s="28" t="str">
        <f t="shared" si="12"/>
        <v/>
      </c>
      <c r="F409" s="16" t="str">
        <f>IF('Paste Here'!$A403&lt;&gt;"",'Paste Here'!$A403,"")</f>
        <v/>
      </c>
      <c r="G409" s="16" t="str">
        <f>IF('Paste Here'!$B403&lt;&gt;"",'Paste Here'!$B403,"")</f>
        <v/>
      </c>
      <c r="H409" s="16" t="str">
        <f>IF('Paste Here'!$C403&lt;&gt;"",'Paste Here'!$C403,"")</f>
        <v/>
      </c>
      <c r="I409" s="25" t="str">
        <f>IF('Paste Here'!$D403&lt;&gt;"",'Paste Here'!$D403,"")</f>
        <v/>
      </c>
      <c r="J409" s="27" t="str">
        <f>IF('Paste Here'!$E403&lt;&gt;"",'Paste Here'!$E403,"")</f>
        <v/>
      </c>
      <c r="K409" s="16" t="str">
        <f>IF('Paste Here'!$F403&lt;&gt;"",'Paste Here'!$F403,"")</f>
        <v/>
      </c>
      <c r="L409" s="16" t="str">
        <f>IF('Paste Here'!$G403&lt;&gt;"",'Paste Here'!$G403,"")</f>
        <v/>
      </c>
      <c r="M409" s="18" t="str">
        <f t="shared" si="13"/>
        <v/>
      </c>
    </row>
    <row r="410" spans="1:13" s="17" customFormat="1" x14ac:dyDescent="0.25">
      <c r="A410" s="16" t="str">
        <f>IF(URN&lt;&gt;"",_xll.mdValue("Resident",_xlnm.Database,$F410),"")</f>
        <v/>
      </c>
      <c r="B410" s="16" t="str">
        <f>IF(PersonId&lt;&gt;"",_xll.mdValue("Resident First Name",_xlnm.Database,$A$8),"")</f>
        <v/>
      </c>
      <c r="C410" s="16" t="str">
        <f>IF(PersonId&lt;&gt;"",_xll.mdValue("Resident Last Name",_xlnm.Database,$A$8),"")</f>
        <v/>
      </c>
      <c r="D410" s="16" t="str">
        <f>IF(PersonId&lt;&gt;"",_xll.mdValue("Person Accomodation Code",_xlnm.Database,$A410),"")</f>
        <v/>
      </c>
      <c r="E410" s="28" t="str">
        <f t="shared" si="12"/>
        <v/>
      </c>
      <c r="F410" s="16" t="str">
        <f>IF('Paste Here'!$A404&lt;&gt;"",'Paste Here'!$A404,"")</f>
        <v/>
      </c>
      <c r="G410" s="16" t="str">
        <f>IF('Paste Here'!$B404&lt;&gt;"",'Paste Here'!$B404,"")</f>
        <v/>
      </c>
      <c r="H410" s="16" t="str">
        <f>IF('Paste Here'!$C404&lt;&gt;"",'Paste Here'!$C404,"")</f>
        <v/>
      </c>
      <c r="I410" s="25" t="str">
        <f>IF('Paste Here'!$D404&lt;&gt;"",'Paste Here'!$D404,"")</f>
        <v/>
      </c>
      <c r="J410" s="27" t="str">
        <f>IF('Paste Here'!$E404&lt;&gt;"",'Paste Here'!$E404,"")</f>
        <v/>
      </c>
      <c r="K410" s="16" t="str">
        <f>IF('Paste Here'!$F404&lt;&gt;"",'Paste Here'!$F404,"")</f>
        <v/>
      </c>
      <c r="L410" s="16" t="str">
        <f>IF('Paste Here'!$G404&lt;&gt;"",'Paste Here'!$G404,"")</f>
        <v/>
      </c>
      <c r="M410" s="18" t="str">
        <f t="shared" si="13"/>
        <v/>
      </c>
    </row>
    <row r="411" spans="1:13" s="17" customFormat="1" x14ac:dyDescent="0.25">
      <c r="A411" s="16" t="str">
        <f>IF(URN&lt;&gt;"",_xll.mdValue("Resident",_xlnm.Database,$F411),"")</f>
        <v/>
      </c>
      <c r="B411" s="16" t="str">
        <f>IF(PersonId&lt;&gt;"",_xll.mdValue("Resident First Name",_xlnm.Database,$A$8),"")</f>
        <v/>
      </c>
      <c r="C411" s="16" t="str">
        <f>IF(PersonId&lt;&gt;"",_xll.mdValue("Resident Last Name",_xlnm.Database,$A$8),"")</f>
        <v/>
      </c>
      <c r="D411" s="16" t="str">
        <f>IF(PersonId&lt;&gt;"",_xll.mdValue("Person Accomodation Code",_xlnm.Database,$A411),"")</f>
        <v/>
      </c>
      <c r="E411" s="28" t="str">
        <f t="shared" si="12"/>
        <v/>
      </c>
      <c r="F411" s="16" t="str">
        <f>IF('Paste Here'!$A405&lt;&gt;"",'Paste Here'!$A405,"")</f>
        <v/>
      </c>
      <c r="G411" s="16" t="str">
        <f>IF('Paste Here'!$B405&lt;&gt;"",'Paste Here'!$B405,"")</f>
        <v/>
      </c>
      <c r="H411" s="16" t="str">
        <f>IF('Paste Here'!$C405&lt;&gt;"",'Paste Here'!$C405,"")</f>
        <v/>
      </c>
      <c r="I411" s="25" t="str">
        <f>IF('Paste Here'!$D405&lt;&gt;"",'Paste Here'!$D405,"")</f>
        <v/>
      </c>
      <c r="J411" s="27" t="str">
        <f>IF('Paste Here'!$E405&lt;&gt;"",'Paste Here'!$E405,"")</f>
        <v/>
      </c>
      <c r="K411" s="16" t="str">
        <f>IF('Paste Here'!$F405&lt;&gt;"",'Paste Here'!$F405,"")</f>
        <v/>
      </c>
      <c r="L411" s="16" t="str">
        <f>IF('Paste Here'!$G405&lt;&gt;"",'Paste Here'!$G405,"")</f>
        <v/>
      </c>
      <c r="M411" s="18" t="str">
        <f t="shared" si="13"/>
        <v/>
      </c>
    </row>
    <row r="412" spans="1:13" s="17" customFormat="1" x14ac:dyDescent="0.25">
      <c r="A412" s="16" t="str">
        <f>IF(URN&lt;&gt;"",_xll.mdValue("Resident",_xlnm.Database,$F412),"")</f>
        <v/>
      </c>
      <c r="B412" s="16" t="str">
        <f>IF(PersonId&lt;&gt;"",_xll.mdValue("Resident First Name",_xlnm.Database,$A$8),"")</f>
        <v/>
      </c>
      <c r="C412" s="16" t="str">
        <f>IF(PersonId&lt;&gt;"",_xll.mdValue("Resident Last Name",_xlnm.Database,$A$8),"")</f>
        <v/>
      </c>
      <c r="D412" s="16" t="str">
        <f>IF(PersonId&lt;&gt;"",_xll.mdValue("Person Accomodation Code",_xlnm.Database,$A412),"")</f>
        <v/>
      </c>
      <c r="E412" s="28" t="str">
        <f t="shared" si="12"/>
        <v/>
      </c>
      <c r="F412" s="16" t="str">
        <f>IF('Paste Here'!$A406&lt;&gt;"",'Paste Here'!$A406,"")</f>
        <v/>
      </c>
      <c r="G412" s="16" t="str">
        <f>IF('Paste Here'!$B406&lt;&gt;"",'Paste Here'!$B406,"")</f>
        <v/>
      </c>
      <c r="H412" s="16" t="str">
        <f>IF('Paste Here'!$C406&lt;&gt;"",'Paste Here'!$C406,"")</f>
        <v/>
      </c>
      <c r="I412" s="25" t="str">
        <f>IF('Paste Here'!$D406&lt;&gt;"",'Paste Here'!$D406,"")</f>
        <v/>
      </c>
      <c r="J412" s="27" t="str">
        <f>IF('Paste Here'!$E406&lt;&gt;"",'Paste Here'!$E406,"")</f>
        <v/>
      </c>
      <c r="K412" s="16" t="str">
        <f>IF('Paste Here'!$F406&lt;&gt;"",'Paste Here'!$F406,"")</f>
        <v/>
      </c>
      <c r="L412" s="16" t="str">
        <f>IF('Paste Here'!$G406&lt;&gt;"",'Paste Here'!$G406,"")</f>
        <v/>
      </c>
      <c r="M412" s="18" t="str">
        <f t="shared" si="13"/>
        <v/>
      </c>
    </row>
    <row r="413" spans="1:13" s="17" customFormat="1" x14ac:dyDescent="0.25">
      <c r="A413" s="16" t="str">
        <f>IF(URN&lt;&gt;"",_xll.mdValue("Resident",_xlnm.Database,$F413),"")</f>
        <v/>
      </c>
      <c r="B413" s="16" t="str">
        <f>IF(PersonId&lt;&gt;"",_xll.mdValue("Resident First Name",_xlnm.Database,$A$8),"")</f>
        <v/>
      </c>
      <c r="C413" s="16" t="str">
        <f>IF(PersonId&lt;&gt;"",_xll.mdValue("Resident Last Name",_xlnm.Database,$A$8),"")</f>
        <v/>
      </c>
      <c r="D413" s="16" t="str">
        <f>IF(PersonId&lt;&gt;"",_xll.mdValue("Person Accomodation Code",_xlnm.Database,$A413),"")</f>
        <v/>
      </c>
      <c r="E413" s="28" t="str">
        <f t="shared" si="12"/>
        <v/>
      </c>
      <c r="F413" s="16" t="str">
        <f>IF('Paste Here'!$A407&lt;&gt;"",'Paste Here'!$A407,"")</f>
        <v/>
      </c>
      <c r="G413" s="16" t="str">
        <f>IF('Paste Here'!$B407&lt;&gt;"",'Paste Here'!$B407,"")</f>
        <v/>
      </c>
      <c r="H413" s="16" t="str">
        <f>IF('Paste Here'!$C407&lt;&gt;"",'Paste Here'!$C407,"")</f>
        <v/>
      </c>
      <c r="I413" s="25" t="str">
        <f>IF('Paste Here'!$D407&lt;&gt;"",'Paste Here'!$D407,"")</f>
        <v/>
      </c>
      <c r="J413" s="27" t="str">
        <f>IF('Paste Here'!$E407&lt;&gt;"",'Paste Here'!$E407,"")</f>
        <v/>
      </c>
      <c r="K413" s="16" t="str">
        <f>IF('Paste Here'!$F407&lt;&gt;"",'Paste Here'!$F407,"")</f>
        <v/>
      </c>
      <c r="L413" s="16" t="str">
        <f>IF('Paste Here'!$G407&lt;&gt;"",'Paste Here'!$G407,"")</f>
        <v/>
      </c>
      <c r="M413" s="18" t="str">
        <f t="shared" si="13"/>
        <v/>
      </c>
    </row>
    <row r="414" spans="1:13" s="17" customFormat="1" x14ac:dyDescent="0.25">
      <c r="A414" s="16" t="str">
        <f>IF(URN&lt;&gt;"",_xll.mdValue("Resident",_xlnm.Database,$F414),"")</f>
        <v/>
      </c>
      <c r="B414" s="16" t="str">
        <f>IF(PersonId&lt;&gt;"",_xll.mdValue("Resident First Name",_xlnm.Database,$A$8),"")</f>
        <v/>
      </c>
      <c r="C414" s="16" t="str">
        <f>IF(PersonId&lt;&gt;"",_xll.mdValue("Resident Last Name",_xlnm.Database,$A$8),"")</f>
        <v/>
      </c>
      <c r="D414" s="16" t="str">
        <f>IF(PersonId&lt;&gt;"",_xll.mdValue("Person Accomodation Code",_xlnm.Database,$A414),"")</f>
        <v/>
      </c>
      <c r="E414" s="28" t="str">
        <f t="shared" si="12"/>
        <v/>
      </c>
      <c r="F414" s="16" t="str">
        <f>IF('Paste Here'!$A408&lt;&gt;"",'Paste Here'!$A408,"")</f>
        <v/>
      </c>
      <c r="G414" s="16" t="str">
        <f>IF('Paste Here'!$B408&lt;&gt;"",'Paste Here'!$B408,"")</f>
        <v/>
      </c>
      <c r="H414" s="16" t="str">
        <f>IF('Paste Here'!$C408&lt;&gt;"",'Paste Here'!$C408,"")</f>
        <v/>
      </c>
      <c r="I414" s="25" t="str">
        <f>IF('Paste Here'!$D408&lt;&gt;"",'Paste Here'!$D408,"")</f>
        <v/>
      </c>
      <c r="J414" s="27" t="str">
        <f>IF('Paste Here'!$E408&lt;&gt;"",'Paste Here'!$E408,"")</f>
        <v/>
      </c>
      <c r="K414" s="16" t="str">
        <f>IF('Paste Here'!$F408&lt;&gt;"",'Paste Here'!$F408,"")</f>
        <v/>
      </c>
      <c r="L414" s="16" t="str">
        <f>IF('Paste Here'!$G408&lt;&gt;"",'Paste Here'!$G408,"")</f>
        <v/>
      </c>
      <c r="M414" s="18" t="str">
        <f t="shared" si="13"/>
        <v/>
      </c>
    </row>
    <row r="415" spans="1:13" s="17" customFormat="1" x14ac:dyDescent="0.25">
      <c r="A415" s="16" t="str">
        <f>IF(URN&lt;&gt;"",_xll.mdValue("Resident",_xlnm.Database,$F415),"")</f>
        <v/>
      </c>
      <c r="B415" s="16" t="str">
        <f>IF(PersonId&lt;&gt;"",_xll.mdValue("Resident First Name",_xlnm.Database,$A$8),"")</f>
        <v/>
      </c>
      <c r="C415" s="16" t="str">
        <f>IF(PersonId&lt;&gt;"",_xll.mdValue("Resident Last Name",_xlnm.Database,$A$8),"")</f>
        <v/>
      </c>
      <c r="D415" s="16" t="str">
        <f>IF(PersonId&lt;&gt;"",_xll.mdValue("Person Accomodation Code",_xlnm.Database,$A415),"")</f>
        <v/>
      </c>
      <c r="E415" s="28" t="str">
        <f t="shared" si="12"/>
        <v/>
      </c>
      <c r="F415" s="16" t="str">
        <f>IF('Paste Here'!$A409&lt;&gt;"",'Paste Here'!$A409,"")</f>
        <v/>
      </c>
      <c r="G415" s="16" t="str">
        <f>IF('Paste Here'!$B409&lt;&gt;"",'Paste Here'!$B409,"")</f>
        <v/>
      </c>
      <c r="H415" s="16" t="str">
        <f>IF('Paste Here'!$C409&lt;&gt;"",'Paste Here'!$C409,"")</f>
        <v/>
      </c>
      <c r="I415" s="25" t="str">
        <f>IF('Paste Here'!$D409&lt;&gt;"",'Paste Here'!$D409,"")</f>
        <v/>
      </c>
      <c r="J415" s="27" t="str">
        <f>IF('Paste Here'!$E409&lt;&gt;"",'Paste Here'!$E409,"")</f>
        <v/>
      </c>
      <c r="K415" s="16" t="str">
        <f>IF('Paste Here'!$F409&lt;&gt;"",'Paste Here'!$F409,"")</f>
        <v/>
      </c>
      <c r="L415" s="16" t="str">
        <f>IF('Paste Here'!$G409&lt;&gt;"",'Paste Here'!$G409,"")</f>
        <v/>
      </c>
      <c r="M415" s="18" t="str">
        <f t="shared" si="13"/>
        <v/>
      </c>
    </row>
    <row r="416" spans="1:13" s="17" customFormat="1" x14ac:dyDescent="0.25">
      <c r="A416" s="16" t="str">
        <f>IF(URN&lt;&gt;"",_xll.mdValue("Resident",_xlnm.Database,$F416),"")</f>
        <v/>
      </c>
      <c r="B416" s="16" t="str">
        <f>IF(PersonId&lt;&gt;"",_xll.mdValue("Resident First Name",_xlnm.Database,$A$8),"")</f>
        <v/>
      </c>
      <c r="C416" s="16" t="str">
        <f>IF(PersonId&lt;&gt;"",_xll.mdValue("Resident Last Name",_xlnm.Database,$A$8),"")</f>
        <v/>
      </c>
      <c r="D416" s="16" t="str">
        <f>IF(PersonId&lt;&gt;"",_xll.mdValue("Person Accomodation Code",_xlnm.Database,$A416),"")</f>
        <v/>
      </c>
      <c r="E416" s="28" t="str">
        <f t="shared" si="12"/>
        <v/>
      </c>
      <c r="F416" s="16" t="str">
        <f>IF('Paste Here'!$A410&lt;&gt;"",'Paste Here'!$A410,"")</f>
        <v/>
      </c>
      <c r="G416" s="16" t="str">
        <f>IF('Paste Here'!$B410&lt;&gt;"",'Paste Here'!$B410,"")</f>
        <v/>
      </c>
      <c r="H416" s="16" t="str">
        <f>IF('Paste Here'!$C410&lt;&gt;"",'Paste Here'!$C410,"")</f>
        <v/>
      </c>
      <c r="I416" s="25" t="str">
        <f>IF('Paste Here'!$D410&lt;&gt;"",'Paste Here'!$D410,"")</f>
        <v/>
      </c>
      <c r="J416" s="27" t="str">
        <f>IF('Paste Here'!$E410&lt;&gt;"",'Paste Here'!$E410,"")</f>
        <v/>
      </c>
      <c r="K416" s="16" t="str">
        <f>IF('Paste Here'!$F410&lt;&gt;"",'Paste Here'!$F410,"")</f>
        <v/>
      </c>
      <c r="L416" s="16" t="str">
        <f>IF('Paste Here'!$G410&lt;&gt;"",'Paste Here'!$G410,"")</f>
        <v/>
      </c>
      <c r="M416" s="18" t="str">
        <f t="shared" si="13"/>
        <v/>
      </c>
    </row>
    <row r="417" spans="1:13" s="17" customFormat="1" x14ac:dyDescent="0.25">
      <c r="A417" s="16" t="str">
        <f>IF(URN&lt;&gt;"",_xll.mdValue("Resident",_xlnm.Database,$F417),"")</f>
        <v/>
      </c>
      <c r="B417" s="16" t="str">
        <f>IF(PersonId&lt;&gt;"",_xll.mdValue("Resident First Name",_xlnm.Database,$A$8),"")</f>
        <v/>
      </c>
      <c r="C417" s="16" t="str">
        <f>IF(PersonId&lt;&gt;"",_xll.mdValue("Resident Last Name",_xlnm.Database,$A$8),"")</f>
        <v/>
      </c>
      <c r="D417" s="16" t="str">
        <f>IF(PersonId&lt;&gt;"",_xll.mdValue("Person Accomodation Code",_xlnm.Database,$A417),"")</f>
        <v/>
      </c>
      <c r="E417" s="28" t="str">
        <f t="shared" si="12"/>
        <v/>
      </c>
      <c r="F417" s="16" t="str">
        <f>IF('Paste Here'!$A411&lt;&gt;"",'Paste Here'!$A411,"")</f>
        <v/>
      </c>
      <c r="G417" s="16" t="str">
        <f>IF('Paste Here'!$B411&lt;&gt;"",'Paste Here'!$B411,"")</f>
        <v/>
      </c>
      <c r="H417" s="16" t="str">
        <f>IF('Paste Here'!$C411&lt;&gt;"",'Paste Here'!$C411,"")</f>
        <v/>
      </c>
      <c r="I417" s="25" t="str">
        <f>IF('Paste Here'!$D411&lt;&gt;"",'Paste Here'!$D411,"")</f>
        <v/>
      </c>
      <c r="J417" s="27" t="str">
        <f>IF('Paste Here'!$E411&lt;&gt;"",'Paste Here'!$E411,"")</f>
        <v/>
      </c>
      <c r="K417" s="16" t="str">
        <f>IF('Paste Here'!$F411&lt;&gt;"",'Paste Here'!$F411,"")</f>
        <v/>
      </c>
      <c r="L417" s="16" t="str">
        <f>IF('Paste Here'!$G411&lt;&gt;"",'Paste Here'!$G411,"")</f>
        <v/>
      </c>
      <c r="M417" s="18" t="str">
        <f t="shared" si="13"/>
        <v/>
      </c>
    </row>
    <row r="418" spans="1:13" s="17" customFormat="1" x14ac:dyDescent="0.25">
      <c r="A418" s="16" t="str">
        <f>IF(URN&lt;&gt;"",_xll.mdValue("Resident",_xlnm.Database,$F418),"")</f>
        <v/>
      </c>
      <c r="B418" s="16" t="str">
        <f>IF(PersonId&lt;&gt;"",_xll.mdValue("Resident First Name",_xlnm.Database,$A$8),"")</f>
        <v/>
      </c>
      <c r="C418" s="16" t="str">
        <f>IF(PersonId&lt;&gt;"",_xll.mdValue("Resident Last Name",_xlnm.Database,$A$8),"")</f>
        <v/>
      </c>
      <c r="D418" s="16" t="str">
        <f>IF(PersonId&lt;&gt;"",_xll.mdValue("Person Accomodation Code",_xlnm.Database,$A418),"")</f>
        <v/>
      </c>
      <c r="E418" s="28" t="str">
        <f t="shared" si="12"/>
        <v/>
      </c>
      <c r="F418" s="16" t="str">
        <f>IF('Paste Here'!$A412&lt;&gt;"",'Paste Here'!$A412,"")</f>
        <v/>
      </c>
      <c r="G418" s="16" t="str">
        <f>IF('Paste Here'!$B412&lt;&gt;"",'Paste Here'!$B412,"")</f>
        <v/>
      </c>
      <c r="H418" s="16" t="str">
        <f>IF('Paste Here'!$C412&lt;&gt;"",'Paste Here'!$C412,"")</f>
        <v/>
      </c>
      <c r="I418" s="25" t="str">
        <f>IF('Paste Here'!$D412&lt;&gt;"",'Paste Here'!$D412,"")</f>
        <v/>
      </c>
      <c r="J418" s="27" t="str">
        <f>IF('Paste Here'!$E412&lt;&gt;"",'Paste Here'!$E412,"")</f>
        <v/>
      </c>
      <c r="K418" s="16" t="str">
        <f>IF('Paste Here'!$F412&lt;&gt;"",'Paste Here'!$F412,"")</f>
        <v/>
      </c>
      <c r="L418" s="16" t="str">
        <f>IF('Paste Here'!$G412&lt;&gt;"",'Paste Here'!$G412,"")</f>
        <v/>
      </c>
      <c r="M418" s="18" t="str">
        <f t="shared" si="13"/>
        <v/>
      </c>
    </row>
    <row r="419" spans="1:13" s="17" customFormat="1" x14ac:dyDescent="0.25">
      <c r="A419" s="16" t="str">
        <f>IF(URN&lt;&gt;"",_xll.mdValue("Resident",_xlnm.Database,$F419),"")</f>
        <v/>
      </c>
      <c r="B419" s="16" t="str">
        <f>IF(PersonId&lt;&gt;"",_xll.mdValue("Resident First Name",_xlnm.Database,$A$8),"")</f>
        <v/>
      </c>
      <c r="C419" s="16" t="str">
        <f>IF(PersonId&lt;&gt;"",_xll.mdValue("Resident Last Name",_xlnm.Database,$A$8),"")</f>
        <v/>
      </c>
      <c r="D419" s="16" t="str">
        <f>IF(PersonId&lt;&gt;"",_xll.mdValue("Person Accomodation Code",_xlnm.Database,$A419),"")</f>
        <v/>
      </c>
      <c r="E419" s="28" t="str">
        <f t="shared" si="12"/>
        <v/>
      </c>
      <c r="F419" s="16" t="str">
        <f>IF('Paste Here'!$A413&lt;&gt;"",'Paste Here'!$A413,"")</f>
        <v/>
      </c>
      <c r="G419" s="16" t="str">
        <f>IF('Paste Here'!$B413&lt;&gt;"",'Paste Here'!$B413,"")</f>
        <v/>
      </c>
      <c r="H419" s="16" t="str">
        <f>IF('Paste Here'!$C413&lt;&gt;"",'Paste Here'!$C413,"")</f>
        <v/>
      </c>
      <c r="I419" s="25" t="str">
        <f>IF('Paste Here'!$D413&lt;&gt;"",'Paste Here'!$D413,"")</f>
        <v/>
      </c>
      <c r="J419" s="27" t="str">
        <f>IF('Paste Here'!$E413&lt;&gt;"",'Paste Here'!$E413,"")</f>
        <v/>
      </c>
      <c r="K419" s="16" t="str">
        <f>IF('Paste Here'!$F413&lt;&gt;"",'Paste Here'!$F413,"")</f>
        <v/>
      </c>
      <c r="L419" s="16" t="str">
        <f>IF('Paste Here'!$G413&lt;&gt;"",'Paste Here'!$G413,"")</f>
        <v/>
      </c>
      <c r="M419" s="18" t="str">
        <f t="shared" si="13"/>
        <v/>
      </c>
    </row>
    <row r="420" spans="1:13" s="17" customFormat="1" x14ac:dyDescent="0.25">
      <c r="A420" s="16" t="str">
        <f>IF(URN&lt;&gt;"",_xll.mdValue("Resident",_xlnm.Database,$F420),"")</f>
        <v/>
      </c>
      <c r="B420" s="16" t="str">
        <f>IF(PersonId&lt;&gt;"",_xll.mdValue("Resident First Name",_xlnm.Database,$A$8),"")</f>
        <v/>
      </c>
      <c r="C420" s="16" t="str">
        <f>IF(PersonId&lt;&gt;"",_xll.mdValue("Resident Last Name",_xlnm.Database,$A$8),"")</f>
        <v/>
      </c>
      <c r="D420" s="16" t="str">
        <f>IF(PersonId&lt;&gt;"",_xll.mdValue("Person Accomodation Code",_xlnm.Database,$A420),"")</f>
        <v/>
      </c>
      <c r="E420" s="28" t="str">
        <f t="shared" si="12"/>
        <v/>
      </c>
      <c r="F420" s="16" t="str">
        <f>IF('Paste Here'!$A414&lt;&gt;"",'Paste Here'!$A414,"")</f>
        <v/>
      </c>
      <c r="G420" s="16" t="str">
        <f>IF('Paste Here'!$B414&lt;&gt;"",'Paste Here'!$B414,"")</f>
        <v/>
      </c>
      <c r="H420" s="16" t="str">
        <f>IF('Paste Here'!$C414&lt;&gt;"",'Paste Here'!$C414,"")</f>
        <v/>
      </c>
      <c r="I420" s="25" t="str">
        <f>IF('Paste Here'!$D414&lt;&gt;"",'Paste Here'!$D414,"")</f>
        <v/>
      </c>
      <c r="J420" s="27" t="str">
        <f>IF('Paste Here'!$E414&lt;&gt;"",'Paste Here'!$E414,"")</f>
        <v/>
      </c>
      <c r="K420" s="16" t="str">
        <f>IF('Paste Here'!$F414&lt;&gt;"",'Paste Here'!$F414,"")</f>
        <v/>
      </c>
      <c r="L420" s="16" t="str">
        <f>IF('Paste Here'!$G414&lt;&gt;"",'Paste Here'!$G414,"")</f>
        <v/>
      </c>
      <c r="M420" s="18" t="str">
        <f t="shared" si="13"/>
        <v/>
      </c>
    </row>
    <row r="421" spans="1:13" s="17" customFormat="1" x14ac:dyDescent="0.25">
      <c r="A421" s="16" t="str">
        <f>IF(URN&lt;&gt;"",_xll.mdValue("Resident",_xlnm.Database,$F421),"")</f>
        <v/>
      </c>
      <c r="B421" s="16" t="str">
        <f>IF(PersonId&lt;&gt;"",_xll.mdValue("Resident First Name",_xlnm.Database,$A$8),"")</f>
        <v/>
      </c>
      <c r="C421" s="16" t="str">
        <f>IF(PersonId&lt;&gt;"",_xll.mdValue("Resident Last Name",_xlnm.Database,$A$8),"")</f>
        <v/>
      </c>
      <c r="D421" s="16" t="str">
        <f>IF(PersonId&lt;&gt;"",_xll.mdValue("Person Accomodation Code",_xlnm.Database,$A421),"")</f>
        <v/>
      </c>
      <c r="E421" s="28" t="str">
        <f t="shared" si="12"/>
        <v/>
      </c>
      <c r="F421" s="16" t="str">
        <f>IF('Paste Here'!$A415&lt;&gt;"",'Paste Here'!$A415,"")</f>
        <v/>
      </c>
      <c r="G421" s="16" t="str">
        <f>IF('Paste Here'!$B415&lt;&gt;"",'Paste Here'!$B415,"")</f>
        <v/>
      </c>
      <c r="H421" s="16" t="str">
        <f>IF('Paste Here'!$C415&lt;&gt;"",'Paste Here'!$C415,"")</f>
        <v/>
      </c>
      <c r="I421" s="25" t="str">
        <f>IF('Paste Here'!$D415&lt;&gt;"",'Paste Here'!$D415,"")</f>
        <v/>
      </c>
      <c r="J421" s="27" t="str">
        <f>IF('Paste Here'!$E415&lt;&gt;"",'Paste Here'!$E415,"")</f>
        <v/>
      </c>
      <c r="K421" s="16" t="str">
        <f>IF('Paste Here'!$F415&lt;&gt;"",'Paste Here'!$F415,"")</f>
        <v/>
      </c>
      <c r="L421" s="16" t="str">
        <f>IF('Paste Here'!$G415&lt;&gt;"",'Paste Here'!$G415,"")</f>
        <v/>
      </c>
      <c r="M421" s="18" t="str">
        <f t="shared" si="13"/>
        <v/>
      </c>
    </row>
    <row r="422" spans="1:13" s="17" customFormat="1" x14ac:dyDescent="0.25">
      <c r="A422" s="16" t="str">
        <f>IF(URN&lt;&gt;"",_xll.mdValue("Resident",_xlnm.Database,$F422),"")</f>
        <v/>
      </c>
      <c r="B422" s="16" t="str">
        <f>IF(PersonId&lt;&gt;"",_xll.mdValue("Resident First Name",_xlnm.Database,$A$8),"")</f>
        <v/>
      </c>
      <c r="C422" s="16" t="str">
        <f>IF(PersonId&lt;&gt;"",_xll.mdValue("Resident Last Name",_xlnm.Database,$A$8),"")</f>
        <v/>
      </c>
      <c r="D422" s="16" t="str">
        <f>IF(PersonId&lt;&gt;"",_xll.mdValue("Person Accomodation Code",_xlnm.Database,$A422),"")</f>
        <v/>
      </c>
      <c r="E422" s="28" t="str">
        <f t="shared" si="12"/>
        <v/>
      </c>
      <c r="F422" s="16" t="str">
        <f>IF('Paste Here'!$A416&lt;&gt;"",'Paste Here'!$A416,"")</f>
        <v/>
      </c>
      <c r="G422" s="16" t="str">
        <f>IF('Paste Here'!$B416&lt;&gt;"",'Paste Here'!$B416,"")</f>
        <v/>
      </c>
      <c r="H422" s="16" t="str">
        <f>IF('Paste Here'!$C416&lt;&gt;"",'Paste Here'!$C416,"")</f>
        <v/>
      </c>
      <c r="I422" s="25" t="str">
        <f>IF('Paste Here'!$D416&lt;&gt;"",'Paste Here'!$D416,"")</f>
        <v/>
      </c>
      <c r="J422" s="27" t="str">
        <f>IF('Paste Here'!$E416&lt;&gt;"",'Paste Here'!$E416,"")</f>
        <v/>
      </c>
      <c r="K422" s="16" t="str">
        <f>IF('Paste Here'!$F416&lt;&gt;"",'Paste Here'!$F416,"")</f>
        <v/>
      </c>
      <c r="L422" s="16" t="str">
        <f>IF('Paste Here'!$G416&lt;&gt;"",'Paste Here'!$G416,"")</f>
        <v/>
      </c>
      <c r="M422" s="18" t="str">
        <f t="shared" si="13"/>
        <v/>
      </c>
    </row>
    <row r="423" spans="1:13" s="17" customFormat="1" x14ac:dyDescent="0.25">
      <c r="A423" s="16" t="str">
        <f>IF(URN&lt;&gt;"",_xll.mdValue("Resident",_xlnm.Database,$F423),"")</f>
        <v/>
      </c>
      <c r="B423" s="16" t="str">
        <f>IF(PersonId&lt;&gt;"",_xll.mdValue("Resident First Name",_xlnm.Database,$A$8),"")</f>
        <v/>
      </c>
      <c r="C423" s="16" t="str">
        <f>IF(PersonId&lt;&gt;"",_xll.mdValue("Resident Last Name",_xlnm.Database,$A$8),"")</f>
        <v/>
      </c>
      <c r="D423" s="16" t="str">
        <f>IF(PersonId&lt;&gt;"",_xll.mdValue("Person Accomodation Code",_xlnm.Database,$A423),"")</f>
        <v/>
      </c>
      <c r="E423" s="28" t="str">
        <f t="shared" si="12"/>
        <v/>
      </c>
      <c r="F423" s="16" t="str">
        <f>IF('Paste Here'!$A417&lt;&gt;"",'Paste Here'!$A417,"")</f>
        <v/>
      </c>
      <c r="G423" s="16" t="str">
        <f>IF('Paste Here'!$B417&lt;&gt;"",'Paste Here'!$B417,"")</f>
        <v/>
      </c>
      <c r="H423" s="16" t="str">
        <f>IF('Paste Here'!$C417&lt;&gt;"",'Paste Here'!$C417,"")</f>
        <v/>
      </c>
      <c r="I423" s="25" t="str">
        <f>IF('Paste Here'!$D417&lt;&gt;"",'Paste Here'!$D417,"")</f>
        <v/>
      </c>
      <c r="J423" s="27" t="str">
        <f>IF('Paste Here'!$E417&lt;&gt;"",'Paste Here'!$E417,"")</f>
        <v/>
      </c>
      <c r="K423" s="16" t="str">
        <f>IF('Paste Here'!$F417&lt;&gt;"",'Paste Here'!$F417,"")</f>
        <v/>
      </c>
      <c r="L423" s="16" t="str">
        <f>IF('Paste Here'!$G417&lt;&gt;"",'Paste Here'!$G417,"")</f>
        <v/>
      </c>
      <c r="M423" s="18" t="str">
        <f t="shared" si="13"/>
        <v/>
      </c>
    </row>
    <row r="424" spans="1:13" s="17" customFormat="1" x14ac:dyDescent="0.25">
      <c r="A424" s="16" t="str">
        <f>IF(URN&lt;&gt;"",_xll.mdValue("Resident",_xlnm.Database,$F424),"")</f>
        <v/>
      </c>
      <c r="B424" s="16" t="str">
        <f>IF(PersonId&lt;&gt;"",_xll.mdValue("Resident First Name",_xlnm.Database,$A$8),"")</f>
        <v/>
      </c>
      <c r="C424" s="16" t="str">
        <f>IF(PersonId&lt;&gt;"",_xll.mdValue("Resident Last Name",_xlnm.Database,$A$8),"")</f>
        <v/>
      </c>
      <c r="D424" s="16" t="str">
        <f>IF(PersonId&lt;&gt;"",_xll.mdValue("Person Accomodation Code",_xlnm.Database,$A424),"")</f>
        <v/>
      </c>
      <c r="E424" s="28" t="str">
        <f t="shared" si="12"/>
        <v/>
      </c>
      <c r="F424" s="16" t="str">
        <f>IF('Paste Here'!$A418&lt;&gt;"",'Paste Here'!$A418,"")</f>
        <v/>
      </c>
      <c r="G424" s="16" t="str">
        <f>IF('Paste Here'!$B418&lt;&gt;"",'Paste Here'!$B418,"")</f>
        <v/>
      </c>
      <c r="H424" s="16" t="str">
        <f>IF('Paste Here'!$C418&lt;&gt;"",'Paste Here'!$C418,"")</f>
        <v/>
      </c>
      <c r="I424" s="25" t="str">
        <f>IF('Paste Here'!$D418&lt;&gt;"",'Paste Here'!$D418,"")</f>
        <v/>
      </c>
      <c r="J424" s="27" t="str">
        <f>IF('Paste Here'!$E418&lt;&gt;"",'Paste Here'!$E418,"")</f>
        <v/>
      </c>
      <c r="K424" s="16" t="str">
        <f>IF('Paste Here'!$F418&lt;&gt;"",'Paste Here'!$F418,"")</f>
        <v/>
      </c>
      <c r="L424" s="16" t="str">
        <f>IF('Paste Here'!$G418&lt;&gt;"",'Paste Here'!$G418,"")</f>
        <v/>
      </c>
      <c r="M424" s="18" t="str">
        <f t="shared" si="13"/>
        <v/>
      </c>
    </row>
    <row r="425" spans="1:13" s="17" customFormat="1" x14ac:dyDescent="0.25">
      <c r="A425" s="16" t="str">
        <f>IF(URN&lt;&gt;"",_xll.mdValue("Resident",_xlnm.Database,$F425),"")</f>
        <v/>
      </c>
      <c r="B425" s="16" t="str">
        <f>IF(PersonId&lt;&gt;"",_xll.mdValue("Resident First Name",_xlnm.Database,$A$8),"")</f>
        <v/>
      </c>
      <c r="C425" s="16" t="str">
        <f>IF(PersonId&lt;&gt;"",_xll.mdValue("Resident Last Name",_xlnm.Database,$A$8),"")</f>
        <v/>
      </c>
      <c r="D425" s="16" t="str">
        <f>IF(PersonId&lt;&gt;"",_xll.mdValue("Person Accomodation Code",_xlnm.Database,$A425),"")</f>
        <v/>
      </c>
      <c r="E425" s="28" t="str">
        <f t="shared" si="12"/>
        <v/>
      </c>
      <c r="F425" s="16" t="str">
        <f>IF('Paste Here'!$A419&lt;&gt;"",'Paste Here'!$A419,"")</f>
        <v/>
      </c>
      <c r="G425" s="16" t="str">
        <f>IF('Paste Here'!$B419&lt;&gt;"",'Paste Here'!$B419,"")</f>
        <v/>
      </c>
      <c r="H425" s="16" t="str">
        <f>IF('Paste Here'!$C419&lt;&gt;"",'Paste Here'!$C419,"")</f>
        <v/>
      </c>
      <c r="I425" s="25" t="str">
        <f>IF('Paste Here'!$D419&lt;&gt;"",'Paste Here'!$D419,"")</f>
        <v/>
      </c>
      <c r="J425" s="27" t="str">
        <f>IF('Paste Here'!$E419&lt;&gt;"",'Paste Here'!$E419,"")</f>
        <v/>
      </c>
      <c r="K425" s="16" t="str">
        <f>IF('Paste Here'!$F419&lt;&gt;"",'Paste Here'!$F419,"")</f>
        <v/>
      </c>
      <c r="L425" s="16" t="str">
        <f>IF('Paste Here'!$G419&lt;&gt;"",'Paste Here'!$G419,"")</f>
        <v/>
      </c>
      <c r="M425" s="18" t="str">
        <f t="shared" si="13"/>
        <v/>
      </c>
    </row>
    <row r="426" spans="1:13" s="17" customFormat="1" x14ac:dyDescent="0.25">
      <c r="A426" s="16" t="str">
        <f>IF(URN&lt;&gt;"",_xll.mdValue("Resident",_xlnm.Database,$F426),"")</f>
        <v/>
      </c>
      <c r="B426" s="16" t="str">
        <f>IF(PersonId&lt;&gt;"",_xll.mdValue("Resident First Name",_xlnm.Database,$A$8),"")</f>
        <v/>
      </c>
      <c r="C426" s="16" t="str">
        <f>IF(PersonId&lt;&gt;"",_xll.mdValue("Resident Last Name",_xlnm.Database,$A$8),"")</f>
        <v/>
      </c>
      <c r="D426" s="16" t="str">
        <f>IF(PersonId&lt;&gt;"",_xll.mdValue("Person Accomodation Code",_xlnm.Database,$A426),"")</f>
        <v/>
      </c>
      <c r="E426" s="28" t="str">
        <f t="shared" si="12"/>
        <v/>
      </c>
      <c r="F426" s="16" t="str">
        <f>IF('Paste Here'!$A420&lt;&gt;"",'Paste Here'!$A420,"")</f>
        <v/>
      </c>
      <c r="G426" s="16" t="str">
        <f>IF('Paste Here'!$B420&lt;&gt;"",'Paste Here'!$B420,"")</f>
        <v/>
      </c>
      <c r="H426" s="16" t="str">
        <f>IF('Paste Here'!$C420&lt;&gt;"",'Paste Here'!$C420,"")</f>
        <v/>
      </c>
      <c r="I426" s="25" t="str">
        <f>IF('Paste Here'!$D420&lt;&gt;"",'Paste Here'!$D420,"")</f>
        <v/>
      </c>
      <c r="J426" s="27" t="str">
        <f>IF('Paste Here'!$E420&lt;&gt;"",'Paste Here'!$E420,"")</f>
        <v/>
      </c>
      <c r="K426" s="16" t="str">
        <f>IF('Paste Here'!$F420&lt;&gt;"",'Paste Here'!$F420,"")</f>
        <v/>
      </c>
      <c r="L426" s="16" t="str">
        <f>IF('Paste Here'!$G420&lt;&gt;"",'Paste Here'!$G420,"")</f>
        <v/>
      </c>
      <c r="M426" s="18" t="str">
        <f t="shared" si="13"/>
        <v/>
      </c>
    </row>
    <row r="427" spans="1:13" s="17" customFormat="1" x14ac:dyDescent="0.25">
      <c r="A427" s="16" t="str">
        <f>IF(URN&lt;&gt;"",_xll.mdValue("Resident",_xlnm.Database,$F427),"")</f>
        <v/>
      </c>
      <c r="B427" s="16" t="str">
        <f>IF(PersonId&lt;&gt;"",_xll.mdValue("Resident First Name",_xlnm.Database,$A$8),"")</f>
        <v/>
      </c>
      <c r="C427" s="16" t="str">
        <f>IF(PersonId&lt;&gt;"",_xll.mdValue("Resident Last Name",_xlnm.Database,$A$8),"")</f>
        <v/>
      </c>
      <c r="D427" s="16" t="str">
        <f>IF(PersonId&lt;&gt;"",_xll.mdValue("Person Accomodation Code",_xlnm.Database,$A427),"")</f>
        <v/>
      </c>
      <c r="E427" s="28" t="str">
        <f t="shared" si="12"/>
        <v/>
      </c>
      <c r="F427" s="16" t="str">
        <f>IF('Paste Here'!$A421&lt;&gt;"",'Paste Here'!$A421,"")</f>
        <v/>
      </c>
      <c r="G427" s="16" t="str">
        <f>IF('Paste Here'!$B421&lt;&gt;"",'Paste Here'!$B421,"")</f>
        <v/>
      </c>
      <c r="H427" s="16" t="str">
        <f>IF('Paste Here'!$C421&lt;&gt;"",'Paste Here'!$C421,"")</f>
        <v/>
      </c>
      <c r="I427" s="25" t="str">
        <f>IF('Paste Here'!$D421&lt;&gt;"",'Paste Here'!$D421,"")</f>
        <v/>
      </c>
      <c r="J427" s="27" t="str">
        <f>IF('Paste Here'!$E421&lt;&gt;"",'Paste Here'!$E421,"")</f>
        <v/>
      </c>
      <c r="K427" s="16" t="str">
        <f>IF('Paste Here'!$F421&lt;&gt;"",'Paste Here'!$F421,"")</f>
        <v/>
      </c>
      <c r="L427" s="16" t="str">
        <f>IF('Paste Here'!$G421&lt;&gt;"",'Paste Here'!$G421,"")</f>
        <v/>
      </c>
      <c r="M427" s="18" t="str">
        <f t="shared" si="13"/>
        <v/>
      </c>
    </row>
    <row r="428" spans="1:13" s="17" customFormat="1" x14ac:dyDescent="0.25">
      <c r="A428" s="16" t="str">
        <f>IF(URN&lt;&gt;"",_xll.mdValue("Resident",_xlnm.Database,$F428),"")</f>
        <v/>
      </c>
      <c r="B428" s="16" t="str">
        <f>IF(PersonId&lt;&gt;"",_xll.mdValue("Resident First Name",_xlnm.Database,$A$8),"")</f>
        <v/>
      </c>
      <c r="C428" s="16" t="str">
        <f>IF(PersonId&lt;&gt;"",_xll.mdValue("Resident Last Name",_xlnm.Database,$A$8),"")</f>
        <v/>
      </c>
      <c r="D428" s="16" t="str">
        <f>IF(PersonId&lt;&gt;"",_xll.mdValue("Person Accomodation Code",_xlnm.Database,$A428),"")</f>
        <v/>
      </c>
      <c r="E428" s="28" t="str">
        <f t="shared" si="12"/>
        <v/>
      </c>
      <c r="F428" s="16" t="str">
        <f>IF('Paste Here'!$A422&lt;&gt;"",'Paste Here'!$A422,"")</f>
        <v/>
      </c>
      <c r="G428" s="16" t="str">
        <f>IF('Paste Here'!$B422&lt;&gt;"",'Paste Here'!$B422,"")</f>
        <v/>
      </c>
      <c r="H428" s="16" t="str">
        <f>IF('Paste Here'!$C422&lt;&gt;"",'Paste Here'!$C422,"")</f>
        <v/>
      </c>
      <c r="I428" s="25" t="str">
        <f>IF('Paste Here'!$D422&lt;&gt;"",'Paste Here'!$D422,"")</f>
        <v/>
      </c>
      <c r="J428" s="27" t="str">
        <f>IF('Paste Here'!$E422&lt;&gt;"",'Paste Here'!$E422,"")</f>
        <v/>
      </c>
      <c r="K428" s="16" t="str">
        <f>IF('Paste Here'!$F422&lt;&gt;"",'Paste Here'!$F422,"")</f>
        <v/>
      </c>
      <c r="L428" s="16" t="str">
        <f>IF('Paste Here'!$G422&lt;&gt;"",'Paste Here'!$G422,"")</f>
        <v/>
      </c>
      <c r="M428" s="18" t="str">
        <f t="shared" si="13"/>
        <v/>
      </c>
    </row>
    <row r="429" spans="1:13" s="17" customFormat="1" x14ac:dyDescent="0.25">
      <c r="A429" s="16" t="str">
        <f>IF(URN&lt;&gt;"",_xll.mdValue("Resident",_xlnm.Database,$F429),"")</f>
        <v/>
      </c>
      <c r="B429" s="16" t="str">
        <f>IF(PersonId&lt;&gt;"",_xll.mdValue("Resident First Name",_xlnm.Database,$A$8),"")</f>
        <v/>
      </c>
      <c r="C429" s="16" t="str">
        <f>IF(PersonId&lt;&gt;"",_xll.mdValue("Resident Last Name",_xlnm.Database,$A$8),"")</f>
        <v/>
      </c>
      <c r="D429" s="16" t="str">
        <f>IF(PersonId&lt;&gt;"",_xll.mdValue("Person Accomodation Code",_xlnm.Database,$A429),"")</f>
        <v/>
      </c>
      <c r="E429" s="28" t="str">
        <f t="shared" si="12"/>
        <v/>
      </c>
      <c r="F429" s="16" t="str">
        <f>IF('Paste Here'!$A423&lt;&gt;"",'Paste Here'!$A423,"")</f>
        <v/>
      </c>
      <c r="G429" s="16" t="str">
        <f>IF('Paste Here'!$B423&lt;&gt;"",'Paste Here'!$B423,"")</f>
        <v/>
      </c>
      <c r="H429" s="16" t="str">
        <f>IF('Paste Here'!$C423&lt;&gt;"",'Paste Here'!$C423,"")</f>
        <v/>
      </c>
      <c r="I429" s="25" t="str">
        <f>IF('Paste Here'!$D423&lt;&gt;"",'Paste Here'!$D423,"")</f>
        <v/>
      </c>
      <c r="J429" s="27" t="str">
        <f>IF('Paste Here'!$E423&lt;&gt;"",'Paste Here'!$E423,"")</f>
        <v/>
      </c>
      <c r="K429" s="16" t="str">
        <f>IF('Paste Here'!$F423&lt;&gt;"",'Paste Here'!$F423,"")</f>
        <v/>
      </c>
      <c r="L429" s="16" t="str">
        <f>IF('Paste Here'!$G423&lt;&gt;"",'Paste Here'!$G423,"")</f>
        <v/>
      </c>
      <c r="M429" s="18" t="str">
        <f t="shared" si="13"/>
        <v/>
      </c>
    </row>
    <row r="430" spans="1:13" s="17" customFormat="1" x14ac:dyDescent="0.25">
      <c r="A430" s="16" t="str">
        <f>IF(URN&lt;&gt;"",_xll.mdValue("Resident",_xlnm.Database,$F430),"")</f>
        <v/>
      </c>
      <c r="B430" s="16" t="str">
        <f>IF(PersonId&lt;&gt;"",_xll.mdValue("Resident First Name",_xlnm.Database,$A$8),"")</f>
        <v/>
      </c>
      <c r="C430" s="16" t="str">
        <f>IF(PersonId&lt;&gt;"",_xll.mdValue("Resident Last Name",_xlnm.Database,$A$8),"")</f>
        <v/>
      </c>
      <c r="D430" s="16" t="str">
        <f>IF(PersonId&lt;&gt;"",_xll.mdValue("Person Accomodation Code",_xlnm.Database,$A430),"")</f>
        <v/>
      </c>
      <c r="E430" s="28" t="str">
        <f t="shared" si="12"/>
        <v/>
      </c>
      <c r="F430" s="16" t="str">
        <f>IF('Paste Here'!$A424&lt;&gt;"",'Paste Here'!$A424,"")</f>
        <v/>
      </c>
      <c r="G430" s="16" t="str">
        <f>IF('Paste Here'!$B424&lt;&gt;"",'Paste Here'!$B424,"")</f>
        <v/>
      </c>
      <c r="H430" s="16" t="str">
        <f>IF('Paste Here'!$C424&lt;&gt;"",'Paste Here'!$C424,"")</f>
        <v/>
      </c>
      <c r="I430" s="25" t="str">
        <f>IF('Paste Here'!$D424&lt;&gt;"",'Paste Here'!$D424,"")</f>
        <v/>
      </c>
      <c r="J430" s="27" t="str">
        <f>IF('Paste Here'!$E424&lt;&gt;"",'Paste Here'!$E424,"")</f>
        <v/>
      </c>
      <c r="K430" s="16" t="str">
        <f>IF('Paste Here'!$F424&lt;&gt;"",'Paste Here'!$F424,"")</f>
        <v/>
      </c>
      <c r="L430" s="16" t="str">
        <f>IF('Paste Here'!$G424&lt;&gt;"",'Paste Here'!$G424,"")</f>
        <v/>
      </c>
      <c r="M430" s="18" t="str">
        <f t="shared" si="13"/>
        <v/>
      </c>
    </row>
    <row r="431" spans="1:13" s="17" customFormat="1" x14ac:dyDescent="0.25">
      <c r="A431" s="16" t="str">
        <f>IF(URN&lt;&gt;"",_xll.mdValue("Resident",_xlnm.Database,$F431),"")</f>
        <v/>
      </c>
      <c r="B431" s="16" t="str">
        <f>IF(PersonId&lt;&gt;"",_xll.mdValue("Resident First Name",_xlnm.Database,$A$8),"")</f>
        <v/>
      </c>
      <c r="C431" s="16" t="str">
        <f>IF(PersonId&lt;&gt;"",_xll.mdValue("Resident Last Name",_xlnm.Database,$A$8),"")</f>
        <v/>
      </c>
      <c r="D431" s="16" t="str">
        <f>IF(PersonId&lt;&gt;"",_xll.mdValue("Person Accomodation Code",_xlnm.Database,$A431),"")</f>
        <v/>
      </c>
      <c r="E431" s="28" t="str">
        <f t="shared" si="12"/>
        <v/>
      </c>
      <c r="F431" s="16" t="str">
        <f>IF('Paste Here'!$A425&lt;&gt;"",'Paste Here'!$A425,"")</f>
        <v/>
      </c>
      <c r="G431" s="16" t="str">
        <f>IF('Paste Here'!$B425&lt;&gt;"",'Paste Here'!$B425,"")</f>
        <v/>
      </c>
      <c r="H431" s="16" t="str">
        <f>IF('Paste Here'!$C425&lt;&gt;"",'Paste Here'!$C425,"")</f>
        <v/>
      </c>
      <c r="I431" s="25" t="str">
        <f>IF('Paste Here'!$D425&lt;&gt;"",'Paste Here'!$D425,"")</f>
        <v/>
      </c>
      <c r="J431" s="27" t="str">
        <f>IF('Paste Here'!$E425&lt;&gt;"",'Paste Here'!$E425,"")</f>
        <v/>
      </c>
      <c r="K431" s="16" t="str">
        <f>IF('Paste Here'!$F425&lt;&gt;"",'Paste Here'!$F425,"")</f>
        <v/>
      </c>
      <c r="L431" s="16" t="str">
        <f>IF('Paste Here'!$G425&lt;&gt;"",'Paste Here'!$G425,"")</f>
        <v/>
      </c>
      <c r="M431" s="18" t="str">
        <f t="shared" si="13"/>
        <v/>
      </c>
    </row>
    <row r="432" spans="1:13" s="17" customFormat="1" x14ac:dyDescent="0.25">
      <c r="A432" s="16" t="str">
        <f>IF(URN&lt;&gt;"",_xll.mdValue("Resident",_xlnm.Database,$F432),"")</f>
        <v/>
      </c>
      <c r="B432" s="16" t="str">
        <f>IF(PersonId&lt;&gt;"",_xll.mdValue("Resident First Name",_xlnm.Database,$A$8),"")</f>
        <v/>
      </c>
      <c r="C432" s="16" t="str">
        <f>IF(PersonId&lt;&gt;"",_xll.mdValue("Resident Last Name",_xlnm.Database,$A$8),"")</f>
        <v/>
      </c>
      <c r="D432" s="16" t="str">
        <f>IF(PersonId&lt;&gt;"",_xll.mdValue("Person Accomodation Code",_xlnm.Database,$A432),"")</f>
        <v/>
      </c>
      <c r="E432" s="28" t="str">
        <f t="shared" si="12"/>
        <v/>
      </c>
      <c r="F432" s="16" t="str">
        <f>IF('Paste Here'!$A426&lt;&gt;"",'Paste Here'!$A426,"")</f>
        <v/>
      </c>
      <c r="G432" s="16" t="str">
        <f>IF('Paste Here'!$B426&lt;&gt;"",'Paste Here'!$B426,"")</f>
        <v/>
      </c>
      <c r="H432" s="16" t="str">
        <f>IF('Paste Here'!$C426&lt;&gt;"",'Paste Here'!$C426,"")</f>
        <v/>
      </c>
      <c r="I432" s="25" t="str">
        <f>IF('Paste Here'!$D426&lt;&gt;"",'Paste Here'!$D426,"")</f>
        <v/>
      </c>
      <c r="J432" s="27" t="str">
        <f>IF('Paste Here'!$E426&lt;&gt;"",'Paste Here'!$E426,"")</f>
        <v/>
      </c>
      <c r="K432" s="16" t="str">
        <f>IF('Paste Here'!$F426&lt;&gt;"",'Paste Here'!$F426,"")</f>
        <v/>
      </c>
      <c r="L432" s="16" t="str">
        <f>IF('Paste Here'!$G426&lt;&gt;"",'Paste Here'!$G426,"")</f>
        <v/>
      </c>
      <c r="M432" s="18" t="str">
        <f t="shared" si="13"/>
        <v/>
      </c>
    </row>
    <row r="433" spans="1:13" s="17" customFormat="1" x14ac:dyDescent="0.25">
      <c r="A433" s="16" t="str">
        <f>IF(URN&lt;&gt;"",_xll.mdValue("Resident",_xlnm.Database,$F433),"")</f>
        <v/>
      </c>
      <c r="B433" s="16" t="str">
        <f>IF(PersonId&lt;&gt;"",_xll.mdValue("Resident First Name",_xlnm.Database,$A$8),"")</f>
        <v/>
      </c>
      <c r="C433" s="16" t="str">
        <f>IF(PersonId&lt;&gt;"",_xll.mdValue("Resident Last Name",_xlnm.Database,$A$8),"")</f>
        <v/>
      </c>
      <c r="D433" s="16" t="str">
        <f>IF(PersonId&lt;&gt;"",_xll.mdValue("Person Accomodation Code",_xlnm.Database,$A433),"")</f>
        <v/>
      </c>
      <c r="E433" s="28" t="str">
        <f t="shared" si="12"/>
        <v/>
      </c>
      <c r="F433" s="16" t="str">
        <f>IF('Paste Here'!$A427&lt;&gt;"",'Paste Here'!$A427,"")</f>
        <v/>
      </c>
      <c r="G433" s="16" t="str">
        <f>IF('Paste Here'!$B427&lt;&gt;"",'Paste Here'!$B427,"")</f>
        <v/>
      </c>
      <c r="H433" s="16" t="str">
        <f>IF('Paste Here'!$C427&lt;&gt;"",'Paste Here'!$C427,"")</f>
        <v/>
      </c>
      <c r="I433" s="25" t="str">
        <f>IF('Paste Here'!$D427&lt;&gt;"",'Paste Here'!$D427,"")</f>
        <v/>
      </c>
      <c r="J433" s="27" t="str">
        <f>IF('Paste Here'!$E427&lt;&gt;"",'Paste Here'!$E427,"")</f>
        <v/>
      </c>
      <c r="K433" s="16" t="str">
        <f>IF('Paste Here'!$F427&lt;&gt;"",'Paste Here'!$F427,"")</f>
        <v/>
      </c>
      <c r="L433" s="16" t="str">
        <f>IF('Paste Here'!$G427&lt;&gt;"",'Paste Here'!$G427,"")</f>
        <v/>
      </c>
      <c r="M433" s="18" t="str">
        <f t="shared" si="13"/>
        <v/>
      </c>
    </row>
    <row r="434" spans="1:13" s="17" customFormat="1" x14ac:dyDescent="0.25">
      <c r="A434" s="16" t="str">
        <f>IF(URN&lt;&gt;"",_xll.mdValue("Resident",_xlnm.Database,$F434),"")</f>
        <v/>
      </c>
      <c r="B434" s="16" t="str">
        <f>IF(PersonId&lt;&gt;"",_xll.mdValue("Resident First Name",_xlnm.Database,$A$8),"")</f>
        <v/>
      </c>
      <c r="C434" s="16" t="str">
        <f>IF(PersonId&lt;&gt;"",_xll.mdValue("Resident Last Name",_xlnm.Database,$A$8),"")</f>
        <v/>
      </c>
      <c r="D434" s="16" t="str">
        <f>IF(PersonId&lt;&gt;"",_xll.mdValue("Person Accomodation Code",_xlnm.Database,$A434),"")</f>
        <v/>
      </c>
      <c r="E434" s="28" t="str">
        <f t="shared" si="12"/>
        <v/>
      </c>
      <c r="F434" s="16" t="str">
        <f>IF('Paste Here'!$A428&lt;&gt;"",'Paste Here'!$A428,"")</f>
        <v/>
      </c>
      <c r="G434" s="16" t="str">
        <f>IF('Paste Here'!$B428&lt;&gt;"",'Paste Here'!$B428,"")</f>
        <v/>
      </c>
      <c r="H434" s="16" t="str">
        <f>IF('Paste Here'!$C428&lt;&gt;"",'Paste Here'!$C428,"")</f>
        <v/>
      </c>
      <c r="I434" s="25" t="str">
        <f>IF('Paste Here'!$D428&lt;&gt;"",'Paste Here'!$D428,"")</f>
        <v/>
      </c>
      <c r="J434" s="27" t="str">
        <f>IF('Paste Here'!$E428&lt;&gt;"",'Paste Here'!$E428,"")</f>
        <v/>
      </c>
      <c r="K434" s="16" t="str">
        <f>IF('Paste Here'!$F428&lt;&gt;"",'Paste Here'!$F428,"")</f>
        <v/>
      </c>
      <c r="L434" s="16" t="str">
        <f>IF('Paste Here'!$G428&lt;&gt;"",'Paste Here'!$G428,"")</f>
        <v/>
      </c>
      <c r="M434" s="18" t="str">
        <f t="shared" si="13"/>
        <v/>
      </c>
    </row>
    <row r="435" spans="1:13" s="17" customFormat="1" x14ac:dyDescent="0.25">
      <c r="A435" s="16" t="str">
        <f>IF(URN&lt;&gt;"",_xll.mdValue("Resident",_xlnm.Database,$F435),"")</f>
        <v/>
      </c>
      <c r="B435" s="16" t="str">
        <f>IF(PersonId&lt;&gt;"",_xll.mdValue("Resident First Name",_xlnm.Database,$A$8),"")</f>
        <v/>
      </c>
      <c r="C435" s="16" t="str">
        <f>IF(PersonId&lt;&gt;"",_xll.mdValue("Resident Last Name",_xlnm.Database,$A$8),"")</f>
        <v/>
      </c>
      <c r="D435" s="16" t="str">
        <f>IF(PersonId&lt;&gt;"",_xll.mdValue("Person Accomodation Code",_xlnm.Database,$A435),"")</f>
        <v/>
      </c>
      <c r="E435" s="28" t="str">
        <f t="shared" si="12"/>
        <v/>
      </c>
      <c r="F435" s="16" t="str">
        <f>IF('Paste Here'!$A429&lt;&gt;"",'Paste Here'!$A429,"")</f>
        <v/>
      </c>
      <c r="G435" s="16" t="str">
        <f>IF('Paste Here'!$B429&lt;&gt;"",'Paste Here'!$B429,"")</f>
        <v/>
      </c>
      <c r="H435" s="16" t="str">
        <f>IF('Paste Here'!$C429&lt;&gt;"",'Paste Here'!$C429,"")</f>
        <v/>
      </c>
      <c r="I435" s="25" t="str">
        <f>IF('Paste Here'!$D429&lt;&gt;"",'Paste Here'!$D429,"")</f>
        <v/>
      </c>
      <c r="J435" s="27" t="str">
        <f>IF('Paste Here'!$E429&lt;&gt;"",'Paste Here'!$E429,"")</f>
        <v/>
      </c>
      <c r="K435" s="16" t="str">
        <f>IF('Paste Here'!$F429&lt;&gt;"",'Paste Here'!$F429,"")</f>
        <v/>
      </c>
      <c r="L435" s="16" t="str">
        <f>IF('Paste Here'!$G429&lt;&gt;"",'Paste Here'!$G429,"")</f>
        <v/>
      </c>
      <c r="M435" s="18" t="str">
        <f t="shared" si="13"/>
        <v/>
      </c>
    </row>
    <row r="436" spans="1:13" s="17" customFormat="1" x14ac:dyDescent="0.25">
      <c r="A436" s="16" t="str">
        <f>IF(URN&lt;&gt;"",_xll.mdValue("Resident",_xlnm.Database,$F436),"")</f>
        <v/>
      </c>
      <c r="B436" s="16" t="str">
        <f>IF(PersonId&lt;&gt;"",_xll.mdValue("Resident First Name",_xlnm.Database,$A$8),"")</f>
        <v/>
      </c>
      <c r="C436" s="16" t="str">
        <f>IF(PersonId&lt;&gt;"",_xll.mdValue("Resident Last Name",_xlnm.Database,$A$8),"")</f>
        <v/>
      </c>
      <c r="D436" s="16" t="str">
        <f>IF(PersonId&lt;&gt;"",_xll.mdValue("Person Accomodation Code",_xlnm.Database,$A436),"")</f>
        <v/>
      </c>
      <c r="E436" s="28" t="str">
        <f t="shared" si="12"/>
        <v/>
      </c>
      <c r="F436" s="16" t="str">
        <f>IF('Paste Here'!$A430&lt;&gt;"",'Paste Here'!$A430,"")</f>
        <v/>
      </c>
      <c r="G436" s="16" t="str">
        <f>IF('Paste Here'!$B430&lt;&gt;"",'Paste Here'!$B430,"")</f>
        <v/>
      </c>
      <c r="H436" s="16" t="str">
        <f>IF('Paste Here'!$C430&lt;&gt;"",'Paste Here'!$C430,"")</f>
        <v/>
      </c>
      <c r="I436" s="25" t="str">
        <f>IF('Paste Here'!$D430&lt;&gt;"",'Paste Here'!$D430,"")</f>
        <v/>
      </c>
      <c r="J436" s="27" t="str">
        <f>IF('Paste Here'!$E430&lt;&gt;"",'Paste Here'!$E430,"")</f>
        <v/>
      </c>
      <c r="K436" s="16" t="str">
        <f>IF('Paste Here'!$F430&lt;&gt;"",'Paste Here'!$F430,"")</f>
        <v/>
      </c>
      <c r="L436" s="16" t="str">
        <f>IF('Paste Here'!$G430&lt;&gt;"",'Paste Here'!$G430,"")</f>
        <v/>
      </c>
      <c r="M436" s="18" t="str">
        <f t="shared" si="13"/>
        <v/>
      </c>
    </row>
    <row r="437" spans="1:13" s="17" customFormat="1" x14ac:dyDescent="0.25">
      <c r="A437" s="16" t="str">
        <f>IF(URN&lt;&gt;"",_xll.mdValue("Resident",_xlnm.Database,$F437),"")</f>
        <v/>
      </c>
      <c r="B437" s="16" t="str">
        <f>IF(PersonId&lt;&gt;"",_xll.mdValue("Resident First Name",_xlnm.Database,$A$8),"")</f>
        <v/>
      </c>
      <c r="C437" s="16" t="str">
        <f>IF(PersonId&lt;&gt;"",_xll.mdValue("Resident Last Name",_xlnm.Database,$A$8),"")</f>
        <v/>
      </c>
      <c r="D437" s="16" t="str">
        <f>IF(PersonId&lt;&gt;"",_xll.mdValue("Person Accomodation Code",_xlnm.Database,$A437),"")</f>
        <v/>
      </c>
      <c r="E437" s="28" t="str">
        <f t="shared" si="12"/>
        <v/>
      </c>
      <c r="F437" s="16" t="str">
        <f>IF('Paste Here'!$A431&lt;&gt;"",'Paste Here'!$A431,"")</f>
        <v/>
      </c>
      <c r="G437" s="16" t="str">
        <f>IF('Paste Here'!$B431&lt;&gt;"",'Paste Here'!$B431,"")</f>
        <v/>
      </c>
      <c r="H437" s="16" t="str">
        <f>IF('Paste Here'!$C431&lt;&gt;"",'Paste Here'!$C431,"")</f>
        <v/>
      </c>
      <c r="I437" s="25" t="str">
        <f>IF('Paste Here'!$D431&lt;&gt;"",'Paste Here'!$D431,"")</f>
        <v/>
      </c>
      <c r="J437" s="27" t="str">
        <f>IF('Paste Here'!$E431&lt;&gt;"",'Paste Here'!$E431,"")</f>
        <v/>
      </c>
      <c r="K437" s="16" t="str">
        <f>IF('Paste Here'!$F431&lt;&gt;"",'Paste Here'!$F431,"")</f>
        <v/>
      </c>
      <c r="L437" s="16" t="str">
        <f>IF('Paste Here'!$G431&lt;&gt;"",'Paste Here'!$G431,"")</f>
        <v/>
      </c>
      <c r="M437" s="18" t="str">
        <f t="shared" si="13"/>
        <v/>
      </c>
    </row>
    <row r="438" spans="1:13" s="17" customFormat="1" x14ac:dyDescent="0.25">
      <c r="A438" s="16" t="str">
        <f>IF(URN&lt;&gt;"",_xll.mdValue("Resident",_xlnm.Database,$F438),"")</f>
        <v/>
      </c>
      <c r="B438" s="16" t="str">
        <f>IF(PersonId&lt;&gt;"",_xll.mdValue("Resident First Name",_xlnm.Database,$A$8),"")</f>
        <v/>
      </c>
      <c r="C438" s="16" t="str">
        <f>IF(PersonId&lt;&gt;"",_xll.mdValue("Resident Last Name",_xlnm.Database,$A$8),"")</f>
        <v/>
      </c>
      <c r="D438" s="16" t="str">
        <f>IF(PersonId&lt;&gt;"",_xll.mdValue("Person Accomodation Code",_xlnm.Database,$A438),"")</f>
        <v/>
      </c>
      <c r="E438" s="28" t="str">
        <f t="shared" si="12"/>
        <v/>
      </c>
      <c r="F438" s="16" t="str">
        <f>IF('Paste Here'!$A432&lt;&gt;"",'Paste Here'!$A432,"")</f>
        <v/>
      </c>
      <c r="G438" s="16" t="str">
        <f>IF('Paste Here'!$B432&lt;&gt;"",'Paste Here'!$B432,"")</f>
        <v/>
      </c>
      <c r="H438" s="16" t="str">
        <f>IF('Paste Here'!$C432&lt;&gt;"",'Paste Here'!$C432,"")</f>
        <v/>
      </c>
      <c r="I438" s="25" t="str">
        <f>IF('Paste Here'!$D432&lt;&gt;"",'Paste Here'!$D432,"")</f>
        <v/>
      </c>
      <c r="J438" s="27" t="str">
        <f>IF('Paste Here'!$E432&lt;&gt;"",'Paste Here'!$E432,"")</f>
        <v/>
      </c>
      <c r="K438" s="16" t="str">
        <f>IF('Paste Here'!$F432&lt;&gt;"",'Paste Here'!$F432,"")</f>
        <v/>
      </c>
      <c r="L438" s="16" t="str">
        <f>IF('Paste Here'!$G432&lt;&gt;"",'Paste Here'!$G432,"")</f>
        <v/>
      </c>
      <c r="M438" s="18" t="str">
        <f t="shared" si="13"/>
        <v/>
      </c>
    </row>
    <row r="439" spans="1:13" s="17" customFormat="1" x14ac:dyDescent="0.25">
      <c r="A439" s="16" t="str">
        <f>IF(URN&lt;&gt;"",_xll.mdValue("Resident",_xlnm.Database,$F439),"")</f>
        <v/>
      </c>
      <c r="B439" s="16" t="str">
        <f>IF(PersonId&lt;&gt;"",_xll.mdValue("Resident First Name",_xlnm.Database,$A$8),"")</f>
        <v/>
      </c>
      <c r="C439" s="16" t="str">
        <f>IF(PersonId&lt;&gt;"",_xll.mdValue("Resident Last Name",_xlnm.Database,$A$8),"")</f>
        <v/>
      </c>
      <c r="D439" s="16" t="str">
        <f>IF(PersonId&lt;&gt;"",_xll.mdValue("Person Accomodation Code",_xlnm.Database,$A439),"")</f>
        <v/>
      </c>
      <c r="E439" s="28" t="str">
        <f t="shared" si="12"/>
        <v/>
      </c>
      <c r="F439" s="16" t="str">
        <f>IF('Paste Here'!$A433&lt;&gt;"",'Paste Here'!$A433,"")</f>
        <v/>
      </c>
      <c r="G439" s="16" t="str">
        <f>IF('Paste Here'!$B433&lt;&gt;"",'Paste Here'!$B433,"")</f>
        <v/>
      </c>
      <c r="H439" s="16" t="str">
        <f>IF('Paste Here'!$C433&lt;&gt;"",'Paste Here'!$C433,"")</f>
        <v/>
      </c>
      <c r="I439" s="25" t="str">
        <f>IF('Paste Here'!$D433&lt;&gt;"",'Paste Here'!$D433,"")</f>
        <v/>
      </c>
      <c r="J439" s="27" t="str">
        <f>IF('Paste Here'!$E433&lt;&gt;"",'Paste Here'!$E433,"")</f>
        <v/>
      </c>
      <c r="K439" s="16" t="str">
        <f>IF('Paste Here'!$F433&lt;&gt;"",'Paste Here'!$F433,"")</f>
        <v/>
      </c>
      <c r="L439" s="16" t="str">
        <f>IF('Paste Here'!$G433&lt;&gt;"",'Paste Here'!$G433,"")</f>
        <v/>
      </c>
      <c r="M439" s="18" t="str">
        <f t="shared" si="13"/>
        <v/>
      </c>
    </row>
    <row r="440" spans="1:13" s="17" customFormat="1" x14ac:dyDescent="0.25">
      <c r="A440" s="16" t="str">
        <f>IF(URN&lt;&gt;"",_xll.mdValue("Resident",_xlnm.Database,$F440),"")</f>
        <v/>
      </c>
      <c r="B440" s="16" t="str">
        <f>IF(PersonId&lt;&gt;"",_xll.mdValue("Resident First Name",_xlnm.Database,$A$8),"")</f>
        <v/>
      </c>
      <c r="C440" s="16" t="str">
        <f>IF(PersonId&lt;&gt;"",_xll.mdValue("Resident Last Name",_xlnm.Database,$A$8),"")</f>
        <v/>
      </c>
      <c r="D440" s="16" t="str">
        <f>IF(PersonId&lt;&gt;"",_xll.mdValue("Person Accomodation Code",_xlnm.Database,$A440),"")</f>
        <v/>
      </c>
      <c r="E440" s="28" t="str">
        <f t="shared" si="12"/>
        <v/>
      </c>
      <c r="F440" s="16" t="str">
        <f>IF('Paste Here'!$A434&lt;&gt;"",'Paste Here'!$A434,"")</f>
        <v/>
      </c>
      <c r="G440" s="16" t="str">
        <f>IF('Paste Here'!$B434&lt;&gt;"",'Paste Here'!$B434,"")</f>
        <v/>
      </c>
      <c r="H440" s="16" t="str">
        <f>IF('Paste Here'!$C434&lt;&gt;"",'Paste Here'!$C434,"")</f>
        <v/>
      </c>
      <c r="I440" s="25" t="str">
        <f>IF('Paste Here'!$D434&lt;&gt;"",'Paste Here'!$D434,"")</f>
        <v/>
      </c>
      <c r="J440" s="27" t="str">
        <f>IF('Paste Here'!$E434&lt;&gt;"",'Paste Here'!$E434,"")</f>
        <v/>
      </c>
      <c r="K440" s="16" t="str">
        <f>IF('Paste Here'!$F434&lt;&gt;"",'Paste Here'!$F434,"")</f>
        <v/>
      </c>
      <c r="L440" s="16" t="str">
        <f>IF('Paste Here'!$G434&lt;&gt;"",'Paste Here'!$G434,"")</f>
        <v/>
      </c>
      <c r="M440" s="18" t="str">
        <f t="shared" si="13"/>
        <v/>
      </c>
    </row>
    <row r="441" spans="1:13" s="17" customFormat="1" x14ac:dyDescent="0.25">
      <c r="A441" s="16" t="str">
        <f>IF(URN&lt;&gt;"",_xll.mdValue("Resident",_xlnm.Database,$F441),"")</f>
        <v/>
      </c>
      <c r="B441" s="16" t="str">
        <f>IF(PersonId&lt;&gt;"",_xll.mdValue("Resident First Name",_xlnm.Database,$A$8),"")</f>
        <v/>
      </c>
      <c r="C441" s="16" t="str">
        <f>IF(PersonId&lt;&gt;"",_xll.mdValue("Resident Last Name",_xlnm.Database,$A$8),"")</f>
        <v/>
      </c>
      <c r="D441" s="16" t="str">
        <f>IF(PersonId&lt;&gt;"",_xll.mdValue("Person Accomodation Code",_xlnm.Database,$A441),"")</f>
        <v/>
      </c>
      <c r="E441" s="28" t="str">
        <f t="shared" si="12"/>
        <v/>
      </c>
      <c r="F441" s="16" t="str">
        <f>IF('Paste Here'!$A435&lt;&gt;"",'Paste Here'!$A435,"")</f>
        <v/>
      </c>
      <c r="G441" s="16" t="str">
        <f>IF('Paste Here'!$B435&lt;&gt;"",'Paste Here'!$B435,"")</f>
        <v/>
      </c>
      <c r="H441" s="16" t="str">
        <f>IF('Paste Here'!$C435&lt;&gt;"",'Paste Here'!$C435,"")</f>
        <v/>
      </c>
      <c r="I441" s="25" t="str">
        <f>IF('Paste Here'!$D435&lt;&gt;"",'Paste Here'!$D435,"")</f>
        <v/>
      </c>
      <c r="J441" s="27" t="str">
        <f>IF('Paste Here'!$E435&lt;&gt;"",'Paste Here'!$E435,"")</f>
        <v/>
      </c>
      <c r="K441" s="16" t="str">
        <f>IF('Paste Here'!$F435&lt;&gt;"",'Paste Here'!$F435,"")</f>
        <v/>
      </c>
      <c r="L441" s="16" t="str">
        <f>IF('Paste Here'!$G435&lt;&gt;"",'Paste Here'!$G435,"")</f>
        <v/>
      </c>
      <c r="M441" s="18" t="str">
        <f t="shared" si="13"/>
        <v/>
      </c>
    </row>
    <row r="442" spans="1:13" s="17" customFormat="1" x14ac:dyDescent="0.25">
      <c r="A442" s="16" t="str">
        <f>IF(URN&lt;&gt;"",_xll.mdValue("Resident",_xlnm.Database,$F442),"")</f>
        <v/>
      </c>
      <c r="B442" s="16" t="str">
        <f>IF(PersonId&lt;&gt;"",_xll.mdValue("Resident First Name",_xlnm.Database,$A$8),"")</f>
        <v/>
      </c>
      <c r="C442" s="16" t="str">
        <f>IF(PersonId&lt;&gt;"",_xll.mdValue("Resident Last Name",_xlnm.Database,$A$8),"")</f>
        <v/>
      </c>
      <c r="D442" s="16" t="str">
        <f>IF(PersonId&lt;&gt;"",_xll.mdValue("Person Accomodation Code",_xlnm.Database,$A442),"")</f>
        <v/>
      </c>
      <c r="E442" s="28" t="str">
        <f t="shared" si="12"/>
        <v/>
      </c>
      <c r="F442" s="16" t="str">
        <f>IF('Paste Here'!$A436&lt;&gt;"",'Paste Here'!$A436,"")</f>
        <v/>
      </c>
      <c r="G442" s="16" t="str">
        <f>IF('Paste Here'!$B436&lt;&gt;"",'Paste Here'!$B436,"")</f>
        <v/>
      </c>
      <c r="H442" s="16" t="str">
        <f>IF('Paste Here'!$C436&lt;&gt;"",'Paste Here'!$C436,"")</f>
        <v/>
      </c>
      <c r="I442" s="25" t="str">
        <f>IF('Paste Here'!$D436&lt;&gt;"",'Paste Here'!$D436,"")</f>
        <v/>
      </c>
      <c r="J442" s="27" t="str">
        <f>IF('Paste Here'!$E436&lt;&gt;"",'Paste Here'!$E436,"")</f>
        <v/>
      </c>
      <c r="K442" s="16" t="str">
        <f>IF('Paste Here'!$F436&lt;&gt;"",'Paste Here'!$F436,"")</f>
        <v/>
      </c>
      <c r="L442" s="16" t="str">
        <f>IF('Paste Here'!$G436&lt;&gt;"",'Paste Here'!$G436,"")</f>
        <v/>
      </c>
      <c r="M442" s="18" t="str">
        <f t="shared" si="13"/>
        <v/>
      </c>
    </row>
    <row r="443" spans="1:13" s="17" customFormat="1" x14ac:dyDescent="0.25">
      <c r="A443" s="16" t="str">
        <f>IF(URN&lt;&gt;"",_xll.mdValue("Resident",_xlnm.Database,$F443),"")</f>
        <v/>
      </c>
      <c r="B443" s="16" t="str">
        <f>IF(PersonId&lt;&gt;"",_xll.mdValue("Resident First Name",_xlnm.Database,$A$8),"")</f>
        <v/>
      </c>
      <c r="C443" s="16" t="str">
        <f>IF(PersonId&lt;&gt;"",_xll.mdValue("Resident Last Name",_xlnm.Database,$A$8),"")</f>
        <v/>
      </c>
      <c r="D443" s="16" t="str">
        <f>IF(PersonId&lt;&gt;"",_xll.mdValue("Person Accomodation Code",_xlnm.Database,$A443),"")</f>
        <v/>
      </c>
      <c r="E443" s="28" t="str">
        <f t="shared" si="12"/>
        <v/>
      </c>
      <c r="F443" s="16" t="str">
        <f>IF('Paste Here'!$A437&lt;&gt;"",'Paste Here'!$A437,"")</f>
        <v/>
      </c>
      <c r="G443" s="16" t="str">
        <f>IF('Paste Here'!$B437&lt;&gt;"",'Paste Here'!$B437,"")</f>
        <v/>
      </c>
      <c r="H443" s="16" t="str">
        <f>IF('Paste Here'!$C437&lt;&gt;"",'Paste Here'!$C437,"")</f>
        <v/>
      </c>
      <c r="I443" s="25" t="str">
        <f>IF('Paste Here'!$D437&lt;&gt;"",'Paste Here'!$D437,"")</f>
        <v/>
      </c>
      <c r="J443" s="27" t="str">
        <f>IF('Paste Here'!$E437&lt;&gt;"",'Paste Here'!$E437,"")</f>
        <v/>
      </c>
      <c r="K443" s="16" t="str">
        <f>IF('Paste Here'!$F437&lt;&gt;"",'Paste Here'!$F437,"")</f>
        <v/>
      </c>
      <c r="L443" s="16" t="str">
        <f>IF('Paste Here'!$G437&lt;&gt;"",'Paste Here'!$G437,"")</f>
        <v/>
      </c>
      <c r="M443" s="18" t="str">
        <f t="shared" si="13"/>
        <v/>
      </c>
    </row>
    <row r="444" spans="1:13" s="17" customFormat="1" x14ac:dyDescent="0.25">
      <c r="A444" s="16" t="str">
        <f>IF(URN&lt;&gt;"",_xll.mdValue("Resident",_xlnm.Database,$F444),"")</f>
        <v/>
      </c>
      <c r="B444" s="16" t="str">
        <f>IF(PersonId&lt;&gt;"",_xll.mdValue("Resident First Name",_xlnm.Database,$A$8),"")</f>
        <v/>
      </c>
      <c r="C444" s="16" t="str">
        <f>IF(PersonId&lt;&gt;"",_xll.mdValue("Resident Last Name",_xlnm.Database,$A$8),"")</f>
        <v/>
      </c>
      <c r="D444" s="16" t="str">
        <f>IF(PersonId&lt;&gt;"",_xll.mdValue("Person Accomodation Code",_xlnm.Database,$A444),"")</f>
        <v/>
      </c>
      <c r="E444" s="28" t="str">
        <f t="shared" si="12"/>
        <v/>
      </c>
      <c r="F444" s="16" t="str">
        <f>IF('Paste Here'!$A438&lt;&gt;"",'Paste Here'!$A438,"")</f>
        <v/>
      </c>
      <c r="G444" s="16" t="str">
        <f>IF('Paste Here'!$B438&lt;&gt;"",'Paste Here'!$B438,"")</f>
        <v/>
      </c>
      <c r="H444" s="16" t="str">
        <f>IF('Paste Here'!$C438&lt;&gt;"",'Paste Here'!$C438,"")</f>
        <v/>
      </c>
      <c r="I444" s="25" t="str">
        <f>IF('Paste Here'!$D438&lt;&gt;"",'Paste Here'!$D438,"")</f>
        <v/>
      </c>
      <c r="J444" s="27" t="str">
        <f>IF('Paste Here'!$E438&lt;&gt;"",'Paste Here'!$E438,"")</f>
        <v/>
      </c>
      <c r="K444" s="16" t="str">
        <f>IF('Paste Here'!$F438&lt;&gt;"",'Paste Here'!$F438,"")</f>
        <v/>
      </c>
      <c r="L444" s="16" t="str">
        <f>IF('Paste Here'!$G438&lt;&gt;"",'Paste Here'!$G438,"")</f>
        <v/>
      </c>
      <c r="M444" s="18" t="str">
        <f t="shared" si="13"/>
        <v/>
      </c>
    </row>
    <row r="445" spans="1:13" s="17" customFormat="1" x14ac:dyDescent="0.25">
      <c r="A445" s="16" t="str">
        <f>IF(URN&lt;&gt;"",_xll.mdValue("Resident",_xlnm.Database,$F445),"")</f>
        <v/>
      </c>
      <c r="B445" s="16" t="str">
        <f>IF(PersonId&lt;&gt;"",_xll.mdValue("Resident First Name",_xlnm.Database,$A$8),"")</f>
        <v/>
      </c>
      <c r="C445" s="16" t="str">
        <f>IF(PersonId&lt;&gt;"",_xll.mdValue("Resident Last Name",_xlnm.Database,$A$8),"")</f>
        <v/>
      </c>
      <c r="D445" s="16" t="str">
        <f>IF(PersonId&lt;&gt;"",_xll.mdValue("Person Accomodation Code",_xlnm.Database,$A445),"")</f>
        <v/>
      </c>
      <c r="E445" s="28" t="str">
        <f t="shared" si="12"/>
        <v/>
      </c>
      <c r="F445" s="16" t="str">
        <f>IF('Paste Here'!$A439&lt;&gt;"",'Paste Here'!$A439,"")</f>
        <v/>
      </c>
      <c r="G445" s="16" t="str">
        <f>IF('Paste Here'!$B439&lt;&gt;"",'Paste Here'!$B439,"")</f>
        <v/>
      </c>
      <c r="H445" s="16" t="str">
        <f>IF('Paste Here'!$C439&lt;&gt;"",'Paste Here'!$C439,"")</f>
        <v/>
      </c>
      <c r="I445" s="25" t="str">
        <f>IF('Paste Here'!$D439&lt;&gt;"",'Paste Here'!$D439,"")</f>
        <v/>
      </c>
      <c r="J445" s="27" t="str">
        <f>IF('Paste Here'!$E439&lt;&gt;"",'Paste Here'!$E439,"")</f>
        <v/>
      </c>
      <c r="K445" s="16" t="str">
        <f>IF('Paste Here'!$F439&lt;&gt;"",'Paste Here'!$F439,"")</f>
        <v/>
      </c>
      <c r="L445" s="16" t="str">
        <f>IF('Paste Here'!$G439&lt;&gt;"",'Paste Here'!$G439,"")</f>
        <v/>
      </c>
      <c r="M445" s="18" t="str">
        <f t="shared" si="13"/>
        <v/>
      </c>
    </row>
    <row r="446" spans="1:13" s="17" customFormat="1" x14ac:dyDescent="0.25">
      <c r="A446" s="16" t="str">
        <f>IF(URN&lt;&gt;"",_xll.mdValue("Resident",_xlnm.Database,$F446),"")</f>
        <v/>
      </c>
      <c r="B446" s="16" t="str">
        <f>IF(PersonId&lt;&gt;"",_xll.mdValue("Resident First Name",_xlnm.Database,$A$8),"")</f>
        <v/>
      </c>
      <c r="C446" s="16" t="str">
        <f>IF(PersonId&lt;&gt;"",_xll.mdValue("Resident Last Name",_xlnm.Database,$A$8),"")</f>
        <v/>
      </c>
      <c r="D446" s="16" t="str">
        <f>IF(PersonId&lt;&gt;"",_xll.mdValue("Person Accomodation Code",_xlnm.Database,$A446),"")</f>
        <v/>
      </c>
      <c r="E446" s="28" t="str">
        <f t="shared" si="12"/>
        <v/>
      </c>
      <c r="F446" s="16" t="str">
        <f>IF('Paste Here'!$A440&lt;&gt;"",'Paste Here'!$A440,"")</f>
        <v/>
      </c>
      <c r="G446" s="16" t="str">
        <f>IF('Paste Here'!$B440&lt;&gt;"",'Paste Here'!$B440,"")</f>
        <v/>
      </c>
      <c r="H446" s="16" t="str">
        <f>IF('Paste Here'!$C440&lt;&gt;"",'Paste Here'!$C440,"")</f>
        <v/>
      </c>
      <c r="I446" s="25" t="str">
        <f>IF('Paste Here'!$D440&lt;&gt;"",'Paste Here'!$D440,"")</f>
        <v/>
      </c>
      <c r="J446" s="27" t="str">
        <f>IF('Paste Here'!$E440&lt;&gt;"",'Paste Here'!$E440,"")</f>
        <v/>
      </c>
      <c r="K446" s="16" t="str">
        <f>IF('Paste Here'!$F440&lt;&gt;"",'Paste Here'!$F440,"")</f>
        <v/>
      </c>
      <c r="L446" s="16" t="str">
        <f>IF('Paste Here'!$G440&lt;&gt;"",'Paste Here'!$G440,"")</f>
        <v/>
      </c>
      <c r="M446" s="18" t="str">
        <f t="shared" si="13"/>
        <v/>
      </c>
    </row>
    <row r="447" spans="1:13" s="17" customFormat="1" x14ac:dyDescent="0.25">
      <c r="A447" s="16" t="str">
        <f>IF(URN&lt;&gt;"",_xll.mdValue("Resident",_xlnm.Database,$F447),"")</f>
        <v/>
      </c>
      <c r="B447" s="16" t="str">
        <f>IF(PersonId&lt;&gt;"",_xll.mdValue("Resident First Name",_xlnm.Database,$A$8),"")</f>
        <v/>
      </c>
      <c r="C447" s="16" t="str">
        <f>IF(PersonId&lt;&gt;"",_xll.mdValue("Resident Last Name",_xlnm.Database,$A$8),"")</f>
        <v/>
      </c>
      <c r="D447" s="16" t="str">
        <f>IF(PersonId&lt;&gt;"",_xll.mdValue("Person Accomodation Code",_xlnm.Database,$A447),"")</f>
        <v/>
      </c>
      <c r="E447" s="28" t="str">
        <f t="shared" si="12"/>
        <v/>
      </c>
      <c r="F447" s="16" t="str">
        <f>IF('Paste Here'!$A441&lt;&gt;"",'Paste Here'!$A441,"")</f>
        <v/>
      </c>
      <c r="G447" s="16" t="str">
        <f>IF('Paste Here'!$B441&lt;&gt;"",'Paste Here'!$B441,"")</f>
        <v/>
      </c>
      <c r="H447" s="16" t="str">
        <f>IF('Paste Here'!$C441&lt;&gt;"",'Paste Here'!$C441,"")</f>
        <v/>
      </c>
      <c r="I447" s="25" t="str">
        <f>IF('Paste Here'!$D441&lt;&gt;"",'Paste Here'!$D441,"")</f>
        <v/>
      </c>
      <c r="J447" s="27" t="str">
        <f>IF('Paste Here'!$E441&lt;&gt;"",'Paste Here'!$E441,"")</f>
        <v/>
      </c>
      <c r="K447" s="16" t="str">
        <f>IF('Paste Here'!$F441&lt;&gt;"",'Paste Here'!$F441,"")</f>
        <v/>
      </c>
      <c r="L447" s="16" t="str">
        <f>IF('Paste Here'!$G441&lt;&gt;"",'Paste Here'!$G441,"")</f>
        <v/>
      </c>
      <c r="M447" s="18" t="str">
        <f t="shared" si="13"/>
        <v/>
      </c>
    </row>
    <row r="448" spans="1:13" s="17" customFormat="1" x14ac:dyDescent="0.25">
      <c r="A448" s="16" t="str">
        <f>IF(URN&lt;&gt;"",_xll.mdValue("Resident",_xlnm.Database,$F448),"")</f>
        <v/>
      </c>
      <c r="B448" s="16" t="str">
        <f>IF(PersonId&lt;&gt;"",_xll.mdValue("Resident First Name",_xlnm.Database,$A$8),"")</f>
        <v/>
      </c>
      <c r="C448" s="16" t="str">
        <f>IF(PersonId&lt;&gt;"",_xll.mdValue("Resident Last Name",_xlnm.Database,$A$8),"")</f>
        <v/>
      </c>
      <c r="D448" s="16" t="str">
        <f>IF(PersonId&lt;&gt;"",_xll.mdValue("Person Accomodation Code",_xlnm.Database,$A448),"")</f>
        <v/>
      </c>
      <c r="E448" s="28" t="str">
        <f t="shared" si="12"/>
        <v/>
      </c>
      <c r="F448" s="16" t="str">
        <f>IF('Paste Here'!$A442&lt;&gt;"",'Paste Here'!$A442,"")</f>
        <v/>
      </c>
      <c r="G448" s="16" t="str">
        <f>IF('Paste Here'!$B442&lt;&gt;"",'Paste Here'!$B442,"")</f>
        <v/>
      </c>
      <c r="H448" s="16" t="str">
        <f>IF('Paste Here'!$C442&lt;&gt;"",'Paste Here'!$C442,"")</f>
        <v/>
      </c>
      <c r="I448" s="25" t="str">
        <f>IF('Paste Here'!$D442&lt;&gt;"",'Paste Here'!$D442,"")</f>
        <v/>
      </c>
      <c r="J448" s="27" t="str">
        <f>IF('Paste Here'!$E442&lt;&gt;"",'Paste Here'!$E442,"")</f>
        <v/>
      </c>
      <c r="K448" s="16" t="str">
        <f>IF('Paste Here'!$F442&lt;&gt;"",'Paste Here'!$F442,"")</f>
        <v/>
      </c>
      <c r="L448" s="16" t="str">
        <f>IF('Paste Here'!$G442&lt;&gt;"",'Paste Here'!$G442,"")</f>
        <v/>
      </c>
      <c r="M448" s="18" t="str">
        <f t="shared" si="13"/>
        <v/>
      </c>
    </row>
    <row r="449" spans="1:13" s="17" customFormat="1" x14ac:dyDescent="0.25">
      <c r="A449" s="16" t="str">
        <f>IF(URN&lt;&gt;"",_xll.mdValue("Resident",_xlnm.Database,$F449),"")</f>
        <v/>
      </c>
      <c r="B449" s="16" t="str">
        <f>IF(PersonId&lt;&gt;"",_xll.mdValue("Resident First Name",_xlnm.Database,$A$8),"")</f>
        <v/>
      </c>
      <c r="C449" s="16" t="str">
        <f>IF(PersonId&lt;&gt;"",_xll.mdValue("Resident Last Name",_xlnm.Database,$A$8),"")</f>
        <v/>
      </c>
      <c r="D449" s="16" t="str">
        <f>IF(PersonId&lt;&gt;"",_xll.mdValue("Person Accomodation Code",_xlnm.Database,$A449),"")</f>
        <v/>
      </c>
      <c r="E449" s="28" t="str">
        <f t="shared" si="12"/>
        <v/>
      </c>
      <c r="F449" s="16" t="str">
        <f>IF('Paste Here'!$A443&lt;&gt;"",'Paste Here'!$A443,"")</f>
        <v/>
      </c>
      <c r="G449" s="16" t="str">
        <f>IF('Paste Here'!$B443&lt;&gt;"",'Paste Here'!$B443,"")</f>
        <v/>
      </c>
      <c r="H449" s="16" t="str">
        <f>IF('Paste Here'!$C443&lt;&gt;"",'Paste Here'!$C443,"")</f>
        <v/>
      </c>
      <c r="I449" s="25" t="str">
        <f>IF('Paste Here'!$D443&lt;&gt;"",'Paste Here'!$D443,"")</f>
        <v/>
      </c>
      <c r="J449" s="27" t="str">
        <f>IF('Paste Here'!$E443&lt;&gt;"",'Paste Here'!$E443,"")</f>
        <v/>
      </c>
      <c r="K449" s="16" t="str">
        <f>IF('Paste Here'!$F443&lt;&gt;"",'Paste Here'!$F443,"")</f>
        <v/>
      </c>
      <c r="L449" s="16" t="str">
        <f>IF('Paste Here'!$G443&lt;&gt;"",'Paste Here'!$G443,"")</f>
        <v/>
      </c>
      <c r="M449" s="18" t="str">
        <f t="shared" si="13"/>
        <v/>
      </c>
    </row>
    <row r="450" spans="1:13" s="17" customFormat="1" x14ac:dyDescent="0.25">
      <c r="A450" s="16" t="str">
        <f>IF(URN&lt;&gt;"",_xll.mdValue("Resident",_xlnm.Database,$F450),"")</f>
        <v/>
      </c>
      <c r="B450" s="16" t="str">
        <f>IF(PersonId&lt;&gt;"",_xll.mdValue("Resident First Name",_xlnm.Database,$A$8),"")</f>
        <v/>
      </c>
      <c r="C450" s="16" t="str">
        <f>IF(PersonId&lt;&gt;"",_xll.mdValue("Resident Last Name",_xlnm.Database,$A$8),"")</f>
        <v/>
      </c>
      <c r="D450" s="16" t="str">
        <f>IF(PersonId&lt;&gt;"",_xll.mdValue("Person Accomodation Code",_xlnm.Database,$A450),"")</f>
        <v/>
      </c>
      <c r="E450" s="28" t="str">
        <f t="shared" si="12"/>
        <v/>
      </c>
      <c r="F450" s="16" t="str">
        <f>IF('Paste Here'!$A444&lt;&gt;"",'Paste Here'!$A444,"")</f>
        <v/>
      </c>
      <c r="G450" s="16" t="str">
        <f>IF('Paste Here'!$B444&lt;&gt;"",'Paste Here'!$B444,"")</f>
        <v/>
      </c>
      <c r="H450" s="16" t="str">
        <f>IF('Paste Here'!$C444&lt;&gt;"",'Paste Here'!$C444,"")</f>
        <v/>
      </c>
      <c r="I450" s="25" t="str">
        <f>IF('Paste Here'!$D444&lt;&gt;"",'Paste Here'!$D444,"")</f>
        <v/>
      </c>
      <c r="J450" s="27" t="str">
        <f>IF('Paste Here'!$E444&lt;&gt;"",'Paste Here'!$E444,"")</f>
        <v/>
      </c>
      <c r="K450" s="16" t="str">
        <f>IF('Paste Here'!$F444&lt;&gt;"",'Paste Here'!$F444,"")</f>
        <v/>
      </c>
      <c r="L450" s="16" t="str">
        <f>IF('Paste Here'!$G444&lt;&gt;"",'Paste Here'!$G444,"")</f>
        <v/>
      </c>
      <c r="M450" s="18" t="str">
        <f t="shared" si="13"/>
        <v/>
      </c>
    </row>
    <row r="451" spans="1:13" s="17" customFormat="1" x14ac:dyDescent="0.25">
      <c r="A451" s="16" t="str">
        <f>IF(URN&lt;&gt;"",_xll.mdValue("Resident",_xlnm.Database,$F451),"")</f>
        <v/>
      </c>
      <c r="B451" s="16" t="str">
        <f>IF(PersonId&lt;&gt;"",_xll.mdValue("Resident First Name",_xlnm.Database,$A$8),"")</f>
        <v/>
      </c>
      <c r="C451" s="16" t="str">
        <f>IF(PersonId&lt;&gt;"",_xll.mdValue("Resident Last Name",_xlnm.Database,$A$8),"")</f>
        <v/>
      </c>
      <c r="D451" s="16" t="str">
        <f>IF(PersonId&lt;&gt;"",_xll.mdValue("Person Accomodation Code",_xlnm.Database,$A451),"")</f>
        <v/>
      </c>
      <c r="E451" s="28" t="str">
        <f t="shared" si="12"/>
        <v/>
      </c>
      <c r="F451" s="16" t="str">
        <f>IF('Paste Here'!$A445&lt;&gt;"",'Paste Here'!$A445,"")</f>
        <v/>
      </c>
      <c r="G451" s="16" t="str">
        <f>IF('Paste Here'!$B445&lt;&gt;"",'Paste Here'!$B445,"")</f>
        <v/>
      </c>
      <c r="H451" s="16" t="str">
        <f>IF('Paste Here'!$C445&lt;&gt;"",'Paste Here'!$C445,"")</f>
        <v/>
      </c>
      <c r="I451" s="25" t="str">
        <f>IF('Paste Here'!$D445&lt;&gt;"",'Paste Here'!$D445,"")</f>
        <v/>
      </c>
      <c r="J451" s="27" t="str">
        <f>IF('Paste Here'!$E445&lt;&gt;"",'Paste Here'!$E445,"")</f>
        <v/>
      </c>
      <c r="K451" s="16" t="str">
        <f>IF('Paste Here'!$F445&lt;&gt;"",'Paste Here'!$F445,"")</f>
        <v/>
      </c>
      <c r="L451" s="16" t="str">
        <f>IF('Paste Here'!$G445&lt;&gt;"",'Paste Here'!$G445,"")</f>
        <v/>
      </c>
      <c r="M451" s="18" t="str">
        <f t="shared" si="13"/>
        <v/>
      </c>
    </row>
    <row r="452" spans="1:13" s="17" customFormat="1" x14ac:dyDescent="0.25">
      <c r="A452" s="16" t="str">
        <f>IF(URN&lt;&gt;"",_xll.mdValue("Resident",_xlnm.Database,$F452),"")</f>
        <v/>
      </c>
      <c r="B452" s="16" t="str">
        <f>IF(PersonId&lt;&gt;"",_xll.mdValue("Resident First Name",_xlnm.Database,$A$8),"")</f>
        <v/>
      </c>
      <c r="C452" s="16" t="str">
        <f>IF(PersonId&lt;&gt;"",_xll.mdValue("Resident Last Name",_xlnm.Database,$A$8),"")</f>
        <v/>
      </c>
      <c r="D452" s="16" t="str">
        <f>IF(PersonId&lt;&gt;"",_xll.mdValue("Person Accomodation Code",_xlnm.Database,$A452),"")</f>
        <v/>
      </c>
      <c r="E452" s="28" t="str">
        <f t="shared" si="12"/>
        <v/>
      </c>
      <c r="F452" s="16" t="str">
        <f>IF('Paste Here'!$A446&lt;&gt;"",'Paste Here'!$A446,"")</f>
        <v/>
      </c>
      <c r="G452" s="16" t="str">
        <f>IF('Paste Here'!$B446&lt;&gt;"",'Paste Here'!$B446,"")</f>
        <v/>
      </c>
      <c r="H452" s="16" t="str">
        <f>IF('Paste Here'!$C446&lt;&gt;"",'Paste Here'!$C446,"")</f>
        <v/>
      </c>
      <c r="I452" s="25" t="str">
        <f>IF('Paste Here'!$D446&lt;&gt;"",'Paste Here'!$D446,"")</f>
        <v/>
      </c>
      <c r="J452" s="27" t="str">
        <f>IF('Paste Here'!$E446&lt;&gt;"",'Paste Here'!$E446,"")</f>
        <v/>
      </c>
      <c r="K452" s="16" t="str">
        <f>IF('Paste Here'!$F446&lt;&gt;"",'Paste Here'!$F446,"")</f>
        <v/>
      </c>
      <c r="L452" s="16" t="str">
        <f>IF('Paste Here'!$G446&lt;&gt;"",'Paste Here'!$G446,"")</f>
        <v/>
      </c>
      <c r="M452" s="18" t="str">
        <f t="shared" si="13"/>
        <v/>
      </c>
    </row>
    <row r="453" spans="1:13" s="17" customFormat="1" x14ac:dyDescent="0.25">
      <c r="A453" s="16" t="str">
        <f>IF(URN&lt;&gt;"",_xll.mdValue("Resident",_xlnm.Database,$F453),"")</f>
        <v/>
      </c>
      <c r="B453" s="16" t="str">
        <f>IF(PersonId&lt;&gt;"",_xll.mdValue("Resident First Name",_xlnm.Database,$A$8),"")</f>
        <v/>
      </c>
      <c r="C453" s="16" t="str">
        <f>IF(PersonId&lt;&gt;"",_xll.mdValue("Resident Last Name",_xlnm.Database,$A$8),"")</f>
        <v/>
      </c>
      <c r="D453" s="16" t="str">
        <f>IF(PersonId&lt;&gt;"",_xll.mdValue("Person Accomodation Code",_xlnm.Database,$A453),"")</f>
        <v/>
      </c>
      <c r="E453" s="28" t="str">
        <f t="shared" si="12"/>
        <v/>
      </c>
      <c r="F453" s="16" t="str">
        <f>IF('Paste Here'!$A447&lt;&gt;"",'Paste Here'!$A447,"")</f>
        <v/>
      </c>
      <c r="G453" s="16" t="str">
        <f>IF('Paste Here'!$B447&lt;&gt;"",'Paste Here'!$B447,"")</f>
        <v/>
      </c>
      <c r="H453" s="16" t="str">
        <f>IF('Paste Here'!$C447&lt;&gt;"",'Paste Here'!$C447,"")</f>
        <v/>
      </c>
      <c r="I453" s="25" t="str">
        <f>IF('Paste Here'!$D447&lt;&gt;"",'Paste Here'!$D447,"")</f>
        <v/>
      </c>
      <c r="J453" s="27" t="str">
        <f>IF('Paste Here'!$E447&lt;&gt;"",'Paste Here'!$E447,"")</f>
        <v/>
      </c>
      <c r="K453" s="16" t="str">
        <f>IF('Paste Here'!$F447&lt;&gt;"",'Paste Here'!$F447,"")</f>
        <v/>
      </c>
      <c r="L453" s="16" t="str">
        <f>IF('Paste Here'!$G447&lt;&gt;"",'Paste Here'!$G447,"")</f>
        <v/>
      </c>
      <c r="M453" s="18" t="str">
        <f t="shared" si="13"/>
        <v/>
      </c>
    </row>
    <row r="454" spans="1:13" s="17" customFormat="1" x14ac:dyDescent="0.25">
      <c r="A454" s="16" t="str">
        <f>IF(URN&lt;&gt;"",_xll.mdValue("Resident",_xlnm.Database,$F454),"")</f>
        <v/>
      </c>
      <c r="B454" s="16" t="str">
        <f>IF(PersonId&lt;&gt;"",_xll.mdValue("Resident First Name",_xlnm.Database,$A$8),"")</f>
        <v/>
      </c>
      <c r="C454" s="16" t="str">
        <f>IF(PersonId&lt;&gt;"",_xll.mdValue("Resident Last Name",_xlnm.Database,$A$8),"")</f>
        <v/>
      </c>
      <c r="D454" s="16" t="str">
        <f>IF(PersonId&lt;&gt;"",_xll.mdValue("Person Accomodation Code",_xlnm.Database,$A454),"")</f>
        <v/>
      </c>
      <c r="E454" s="28" t="str">
        <f t="shared" si="12"/>
        <v/>
      </c>
      <c r="F454" s="16" t="str">
        <f>IF('Paste Here'!$A448&lt;&gt;"",'Paste Here'!$A448,"")</f>
        <v/>
      </c>
      <c r="G454" s="16" t="str">
        <f>IF('Paste Here'!$B448&lt;&gt;"",'Paste Here'!$B448,"")</f>
        <v/>
      </c>
      <c r="H454" s="16" t="str">
        <f>IF('Paste Here'!$C448&lt;&gt;"",'Paste Here'!$C448,"")</f>
        <v/>
      </c>
      <c r="I454" s="25" t="str">
        <f>IF('Paste Here'!$D448&lt;&gt;"",'Paste Here'!$D448,"")</f>
        <v/>
      </c>
      <c r="J454" s="27" t="str">
        <f>IF('Paste Here'!$E448&lt;&gt;"",'Paste Here'!$E448,"")</f>
        <v/>
      </c>
      <c r="K454" s="16" t="str">
        <f>IF('Paste Here'!$F448&lt;&gt;"",'Paste Here'!$F448,"")</f>
        <v/>
      </c>
      <c r="L454" s="16" t="str">
        <f>IF('Paste Here'!$G448&lt;&gt;"",'Paste Here'!$G448,"")</f>
        <v/>
      </c>
      <c r="M454" s="18" t="str">
        <f t="shared" si="13"/>
        <v/>
      </c>
    </row>
    <row r="455" spans="1:13" s="17" customFormat="1" x14ac:dyDescent="0.25">
      <c r="A455" s="16" t="str">
        <f>IF(URN&lt;&gt;"",_xll.mdValue("Resident",_xlnm.Database,$F455),"")</f>
        <v/>
      </c>
      <c r="B455" s="16" t="str">
        <f>IF(PersonId&lt;&gt;"",_xll.mdValue("Resident First Name",_xlnm.Database,$A$8),"")</f>
        <v/>
      </c>
      <c r="C455" s="16" t="str">
        <f>IF(PersonId&lt;&gt;"",_xll.mdValue("Resident Last Name",_xlnm.Database,$A$8),"")</f>
        <v/>
      </c>
      <c r="D455" s="16" t="str">
        <f>IF(PersonId&lt;&gt;"",_xll.mdValue("Person Accomodation Code",_xlnm.Database,$A455),"")</f>
        <v/>
      </c>
      <c r="E455" s="28" t="str">
        <f t="shared" si="12"/>
        <v/>
      </c>
      <c r="F455" s="16" t="str">
        <f>IF('Paste Here'!$A449&lt;&gt;"",'Paste Here'!$A449,"")</f>
        <v/>
      </c>
      <c r="G455" s="16" t="str">
        <f>IF('Paste Here'!$B449&lt;&gt;"",'Paste Here'!$B449,"")</f>
        <v/>
      </c>
      <c r="H455" s="16" t="str">
        <f>IF('Paste Here'!$C449&lt;&gt;"",'Paste Here'!$C449,"")</f>
        <v/>
      </c>
      <c r="I455" s="25" t="str">
        <f>IF('Paste Here'!$D449&lt;&gt;"",'Paste Here'!$D449,"")</f>
        <v/>
      </c>
      <c r="J455" s="27" t="str">
        <f>IF('Paste Here'!$E449&lt;&gt;"",'Paste Here'!$E449,"")</f>
        <v/>
      </c>
      <c r="K455" s="16" t="str">
        <f>IF('Paste Here'!$F449&lt;&gt;"",'Paste Here'!$F449,"")</f>
        <v/>
      </c>
      <c r="L455" s="16" t="str">
        <f>IF('Paste Here'!$G449&lt;&gt;"",'Paste Here'!$G449,"")</f>
        <v/>
      </c>
      <c r="M455" s="18" t="str">
        <f t="shared" si="13"/>
        <v/>
      </c>
    </row>
    <row r="456" spans="1:13" s="17" customFormat="1" x14ac:dyDescent="0.25">
      <c r="A456" s="16" t="str">
        <f>IF(URN&lt;&gt;"",_xll.mdValue("Resident",_xlnm.Database,$F456),"")</f>
        <v/>
      </c>
      <c r="B456" s="16" t="str">
        <f>IF(PersonId&lt;&gt;"",_xll.mdValue("Resident First Name",_xlnm.Database,$A$8),"")</f>
        <v/>
      </c>
      <c r="C456" s="16" t="str">
        <f>IF(PersonId&lt;&gt;"",_xll.mdValue("Resident Last Name",_xlnm.Database,$A$8),"")</f>
        <v/>
      </c>
      <c r="D456" s="16" t="str">
        <f>IF(PersonId&lt;&gt;"",_xll.mdValue("Person Accomodation Code",_xlnm.Database,$A456),"")</f>
        <v/>
      </c>
      <c r="E456" s="28" t="str">
        <f t="shared" ref="E456:E519" si="14">IF(ClientCare_Accommodation&lt;&gt;"",IF(ClientCare_Accommodation&lt;&gt;AccommodationCode,"Missing Accommodation",""),"")</f>
        <v/>
      </c>
      <c r="F456" s="16" t="str">
        <f>IF('Paste Here'!$A450&lt;&gt;"",'Paste Here'!$A450,"")</f>
        <v/>
      </c>
      <c r="G456" s="16" t="str">
        <f>IF('Paste Here'!$B450&lt;&gt;"",'Paste Here'!$B450,"")</f>
        <v/>
      </c>
      <c r="H456" s="16" t="str">
        <f>IF('Paste Here'!$C450&lt;&gt;"",'Paste Here'!$C450,"")</f>
        <v/>
      </c>
      <c r="I456" s="25" t="str">
        <f>IF('Paste Here'!$D450&lt;&gt;"",'Paste Here'!$D450,"")</f>
        <v/>
      </c>
      <c r="J456" s="27" t="str">
        <f>IF('Paste Here'!$E450&lt;&gt;"",'Paste Here'!$E450,"")</f>
        <v/>
      </c>
      <c r="K456" s="16" t="str">
        <f>IF('Paste Here'!$F450&lt;&gt;"",'Paste Here'!$F450,"")</f>
        <v/>
      </c>
      <c r="L456" s="16" t="str">
        <f>IF('Paste Here'!$G450&lt;&gt;"",'Paste Here'!$G450,"")</f>
        <v/>
      </c>
      <c r="M456" s="18" t="str">
        <f t="shared" ref="M456:M519" si="15">IF(PersonId&lt;&gt;"","Normal","")</f>
        <v/>
      </c>
    </row>
    <row r="457" spans="1:13" s="17" customFormat="1" x14ac:dyDescent="0.25">
      <c r="A457" s="16" t="str">
        <f>IF(URN&lt;&gt;"",_xll.mdValue("Resident",_xlnm.Database,$F457),"")</f>
        <v/>
      </c>
      <c r="B457" s="16" t="str">
        <f>IF(PersonId&lt;&gt;"",_xll.mdValue("Resident First Name",_xlnm.Database,$A$8),"")</f>
        <v/>
      </c>
      <c r="C457" s="16" t="str">
        <f>IF(PersonId&lt;&gt;"",_xll.mdValue("Resident Last Name",_xlnm.Database,$A$8),"")</f>
        <v/>
      </c>
      <c r="D457" s="16" t="str">
        <f>IF(PersonId&lt;&gt;"",_xll.mdValue("Person Accomodation Code",_xlnm.Database,$A457),"")</f>
        <v/>
      </c>
      <c r="E457" s="28" t="str">
        <f t="shared" si="14"/>
        <v/>
      </c>
      <c r="F457" s="16" t="str">
        <f>IF('Paste Here'!$A451&lt;&gt;"",'Paste Here'!$A451,"")</f>
        <v/>
      </c>
      <c r="G457" s="16" t="str">
        <f>IF('Paste Here'!$B451&lt;&gt;"",'Paste Here'!$B451,"")</f>
        <v/>
      </c>
      <c r="H457" s="16" t="str">
        <f>IF('Paste Here'!$C451&lt;&gt;"",'Paste Here'!$C451,"")</f>
        <v/>
      </c>
      <c r="I457" s="25" t="str">
        <f>IF('Paste Here'!$D451&lt;&gt;"",'Paste Here'!$D451,"")</f>
        <v/>
      </c>
      <c r="J457" s="27" t="str">
        <f>IF('Paste Here'!$E451&lt;&gt;"",'Paste Here'!$E451,"")</f>
        <v/>
      </c>
      <c r="K457" s="16" t="str">
        <f>IF('Paste Here'!$F451&lt;&gt;"",'Paste Here'!$F451,"")</f>
        <v/>
      </c>
      <c r="L457" s="16" t="str">
        <f>IF('Paste Here'!$G451&lt;&gt;"",'Paste Here'!$G451,"")</f>
        <v/>
      </c>
      <c r="M457" s="18" t="str">
        <f t="shared" si="15"/>
        <v/>
      </c>
    </row>
    <row r="458" spans="1:13" s="17" customFormat="1" x14ac:dyDescent="0.25">
      <c r="A458" s="16" t="str">
        <f>IF(URN&lt;&gt;"",_xll.mdValue("Resident",_xlnm.Database,$F458),"")</f>
        <v/>
      </c>
      <c r="B458" s="16" t="str">
        <f>IF(PersonId&lt;&gt;"",_xll.mdValue("Resident First Name",_xlnm.Database,$A$8),"")</f>
        <v/>
      </c>
      <c r="C458" s="16" t="str">
        <f>IF(PersonId&lt;&gt;"",_xll.mdValue("Resident Last Name",_xlnm.Database,$A$8),"")</f>
        <v/>
      </c>
      <c r="D458" s="16" t="str">
        <f>IF(PersonId&lt;&gt;"",_xll.mdValue("Person Accomodation Code",_xlnm.Database,$A458),"")</f>
        <v/>
      </c>
      <c r="E458" s="28" t="str">
        <f t="shared" si="14"/>
        <v/>
      </c>
      <c r="F458" s="16" t="str">
        <f>IF('Paste Here'!$A452&lt;&gt;"",'Paste Here'!$A452,"")</f>
        <v/>
      </c>
      <c r="G458" s="16" t="str">
        <f>IF('Paste Here'!$B452&lt;&gt;"",'Paste Here'!$B452,"")</f>
        <v/>
      </c>
      <c r="H458" s="16" t="str">
        <f>IF('Paste Here'!$C452&lt;&gt;"",'Paste Here'!$C452,"")</f>
        <v/>
      </c>
      <c r="I458" s="25" t="str">
        <f>IF('Paste Here'!$D452&lt;&gt;"",'Paste Here'!$D452,"")</f>
        <v/>
      </c>
      <c r="J458" s="27" t="str">
        <f>IF('Paste Here'!$E452&lt;&gt;"",'Paste Here'!$E452,"")</f>
        <v/>
      </c>
      <c r="K458" s="16" t="str">
        <f>IF('Paste Here'!$F452&lt;&gt;"",'Paste Here'!$F452,"")</f>
        <v/>
      </c>
      <c r="L458" s="16" t="str">
        <f>IF('Paste Here'!$G452&lt;&gt;"",'Paste Here'!$G452,"")</f>
        <v/>
      </c>
      <c r="M458" s="18" t="str">
        <f t="shared" si="15"/>
        <v/>
      </c>
    </row>
    <row r="459" spans="1:13" s="17" customFormat="1" x14ac:dyDescent="0.25">
      <c r="A459" s="16" t="str">
        <f>IF(URN&lt;&gt;"",_xll.mdValue("Resident",_xlnm.Database,$F459),"")</f>
        <v/>
      </c>
      <c r="B459" s="16" t="str">
        <f>IF(PersonId&lt;&gt;"",_xll.mdValue("Resident First Name",_xlnm.Database,$A$8),"")</f>
        <v/>
      </c>
      <c r="C459" s="16" t="str">
        <f>IF(PersonId&lt;&gt;"",_xll.mdValue("Resident Last Name",_xlnm.Database,$A$8),"")</f>
        <v/>
      </c>
      <c r="D459" s="16" t="str">
        <f>IF(PersonId&lt;&gt;"",_xll.mdValue("Person Accomodation Code",_xlnm.Database,$A459),"")</f>
        <v/>
      </c>
      <c r="E459" s="28" t="str">
        <f t="shared" si="14"/>
        <v/>
      </c>
      <c r="F459" s="16" t="str">
        <f>IF('Paste Here'!$A453&lt;&gt;"",'Paste Here'!$A453,"")</f>
        <v/>
      </c>
      <c r="G459" s="16" t="str">
        <f>IF('Paste Here'!$B453&lt;&gt;"",'Paste Here'!$B453,"")</f>
        <v/>
      </c>
      <c r="H459" s="16" t="str">
        <f>IF('Paste Here'!$C453&lt;&gt;"",'Paste Here'!$C453,"")</f>
        <v/>
      </c>
      <c r="I459" s="25" t="str">
        <f>IF('Paste Here'!$D453&lt;&gt;"",'Paste Here'!$D453,"")</f>
        <v/>
      </c>
      <c r="J459" s="27" t="str">
        <f>IF('Paste Here'!$E453&lt;&gt;"",'Paste Here'!$E453,"")</f>
        <v/>
      </c>
      <c r="K459" s="16" t="str">
        <f>IF('Paste Here'!$F453&lt;&gt;"",'Paste Here'!$F453,"")</f>
        <v/>
      </c>
      <c r="L459" s="16" t="str">
        <f>IF('Paste Here'!$G453&lt;&gt;"",'Paste Here'!$G453,"")</f>
        <v/>
      </c>
      <c r="M459" s="18" t="str">
        <f t="shared" si="15"/>
        <v/>
      </c>
    </row>
    <row r="460" spans="1:13" s="17" customFormat="1" x14ac:dyDescent="0.25">
      <c r="A460" s="16" t="str">
        <f>IF(URN&lt;&gt;"",_xll.mdValue("Resident",_xlnm.Database,$F460),"")</f>
        <v/>
      </c>
      <c r="B460" s="16" t="str">
        <f>IF(PersonId&lt;&gt;"",_xll.mdValue("Resident First Name",_xlnm.Database,$A$8),"")</f>
        <v/>
      </c>
      <c r="C460" s="16" t="str">
        <f>IF(PersonId&lt;&gt;"",_xll.mdValue("Resident Last Name",_xlnm.Database,$A$8),"")</f>
        <v/>
      </c>
      <c r="D460" s="16" t="str">
        <f>IF(PersonId&lt;&gt;"",_xll.mdValue("Person Accomodation Code",_xlnm.Database,$A460),"")</f>
        <v/>
      </c>
      <c r="E460" s="28" t="str">
        <f t="shared" si="14"/>
        <v/>
      </c>
      <c r="F460" s="16" t="str">
        <f>IF('Paste Here'!$A454&lt;&gt;"",'Paste Here'!$A454,"")</f>
        <v/>
      </c>
      <c r="G460" s="16" t="str">
        <f>IF('Paste Here'!$B454&lt;&gt;"",'Paste Here'!$B454,"")</f>
        <v/>
      </c>
      <c r="H460" s="16" t="str">
        <f>IF('Paste Here'!$C454&lt;&gt;"",'Paste Here'!$C454,"")</f>
        <v/>
      </c>
      <c r="I460" s="25" t="str">
        <f>IF('Paste Here'!$D454&lt;&gt;"",'Paste Here'!$D454,"")</f>
        <v/>
      </c>
      <c r="J460" s="27" t="str">
        <f>IF('Paste Here'!$E454&lt;&gt;"",'Paste Here'!$E454,"")</f>
        <v/>
      </c>
      <c r="K460" s="16" t="str">
        <f>IF('Paste Here'!$F454&lt;&gt;"",'Paste Here'!$F454,"")</f>
        <v/>
      </c>
      <c r="L460" s="16" t="str">
        <f>IF('Paste Here'!$G454&lt;&gt;"",'Paste Here'!$G454,"")</f>
        <v/>
      </c>
      <c r="M460" s="18" t="str">
        <f t="shared" si="15"/>
        <v/>
      </c>
    </row>
    <row r="461" spans="1:13" s="17" customFormat="1" x14ac:dyDescent="0.25">
      <c r="A461" s="16" t="str">
        <f>IF(URN&lt;&gt;"",_xll.mdValue("Resident",_xlnm.Database,$F461),"")</f>
        <v/>
      </c>
      <c r="B461" s="16" t="str">
        <f>IF(PersonId&lt;&gt;"",_xll.mdValue("Resident First Name",_xlnm.Database,$A$8),"")</f>
        <v/>
      </c>
      <c r="C461" s="16" t="str">
        <f>IF(PersonId&lt;&gt;"",_xll.mdValue("Resident Last Name",_xlnm.Database,$A$8),"")</f>
        <v/>
      </c>
      <c r="D461" s="16" t="str">
        <f>IF(PersonId&lt;&gt;"",_xll.mdValue("Person Accomodation Code",_xlnm.Database,$A461),"")</f>
        <v/>
      </c>
      <c r="E461" s="28" t="str">
        <f t="shared" si="14"/>
        <v/>
      </c>
      <c r="F461" s="16" t="str">
        <f>IF('Paste Here'!$A455&lt;&gt;"",'Paste Here'!$A455,"")</f>
        <v/>
      </c>
      <c r="G461" s="16" t="str">
        <f>IF('Paste Here'!$B455&lt;&gt;"",'Paste Here'!$B455,"")</f>
        <v/>
      </c>
      <c r="H461" s="16" t="str">
        <f>IF('Paste Here'!$C455&lt;&gt;"",'Paste Here'!$C455,"")</f>
        <v/>
      </c>
      <c r="I461" s="25" t="str">
        <f>IF('Paste Here'!$D455&lt;&gt;"",'Paste Here'!$D455,"")</f>
        <v/>
      </c>
      <c r="J461" s="27" t="str">
        <f>IF('Paste Here'!$E455&lt;&gt;"",'Paste Here'!$E455,"")</f>
        <v/>
      </c>
      <c r="K461" s="16" t="str">
        <f>IF('Paste Here'!$F455&lt;&gt;"",'Paste Here'!$F455,"")</f>
        <v/>
      </c>
      <c r="L461" s="16" t="str">
        <f>IF('Paste Here'!$G455&lt;&gt;"",'Paste Here'!$G455,"")</f>
        <v/>
      </c>
      <c r="M461" s="18" t="str">
        <f t="shared" si="15"/>
        <v/>
      </c>
    </row>
    <row r="462" spans="1:13" s="17" customFormat="1" x14ac:dyDescent="0.25">
      <c r="A462" s="16" t="str">
        <f>IF(URN&lt;&gt;"",_xll.mdValue("Resident",_xlnm.Database,$F462),"")</f>
        <v/>
      </c>
      <c r="B462" s="16" t="str">
        <f>IF(PersonId&lt;&gt;"",_xll.mdValue("Resident First Name",_xlnm.Database,$A$8),"")</f>
        <v/>
      </c>
      <c r="C462" s="16" t="str">
        <f>IF(PersonId&lt;&gt;"",_xll.mdValue("Resident Last Name",_xlnm.Database,$A$8),"")</f>
        <v/>
      </c>
      <c r="D462" s="16" t="str">
        <f>IF(PersonId&lt;&gt;"",_xll.mdValue("Person Accomodation Code",_xlnm.Database,$A462),"")</f>
        <v/>
      </c>
      <c r="E462" s="28" t="str">
        <f t="shared" si="14"/>
        <v/>
      </c>
      <c r="F462" s="16" t="str">
        <f>IF('Paste Here'!$A456&lt;&gt;"",'Paste Here'!$A456,"")</f>
        <v/>
      </c>
      <c r="G462" s="16" t="str">
        <f>IF('Paste Here'!$B456&lt;&gt;"",'Paste Here'!$B456,"")</f>
        <v/>
      </c>
      <c r="H462" s="16" t="str">
        <f>IF('Paste Here'!$C456&lt;&gt;"",'Paste Here'!$C456,"")</f>
        <v/>
      </c>
      <c r="I462" s="25" t="str">
        <f>IF('Paste Here'!$D456&lt;&gt;"",'Paste Here'!$D456,"")</f>
        <v/>
      </c>
      <c r="J462" s="27" t="str">
        <f>IF('Paste Here'!$E456&lt;&gt;"",'Paste Here'!$E456,"")</f>
        <v/>
      </c>
      <c r="K462" s="16" t="str">
        <f>IF('Paste Here'!$F456&lt;&gt;"",'Paste Here'!$F456,"")</f>
        <v/>
      </c>
      <c r="L462" s="16" t="str">
        <f>IF('Paste Here'!$G456&lt;&gt;"",'Paste Here'!$G456,"")</f>
        <v/>
      </c>
      <c r="M462" s="18" t="str">
        <f t="shared" si="15"/>
        <v/>
      </c>
    </row>
    <row r="463" spans="1:13" s="17" customFormat="1" x14ac:dyDescent="0.25">
      <c r="A463" s="16" t="str">
        <f>IF(URN&lt;&gt;"",_xll.mdValue("Resident",_xlnm.Database,$F463),"")</f>
        <v/>
      </c>
      <c r="B463" s="16" t="str">
        <f>IF(PersonId&lt;&gt;"",_xll.mdValue("Resident First Name",_xlnm.Database,$A$8),"")</f>
        <v/>
      </c>
      <c r="C463" s="16" t="str">
        <f>IF(PersonId&lt;&gt;"",_xll.mdValue("Resident Last Name",_xlnm.Database,$A$8),"")</f>
        <v/>
      </c>
      <c r="D463" s="16" t="str">
        <f>IF(PersonId&lt;&gt;"",_xll.mdValue("Person Accomodation Code",_xlnm.Database,$A463),"")</f>
        <v/>
      </c>
      <c r="E463" s="28" t="str">
        <f t="shared" si="14"/>
        <v/>
      </c>
      <c r="F463" s="16" t="str">
        <f>IF('Paste Here'!$A457&lt;&gt;"",'Paste Here'!$A457,"")</f>
        <v/>
      </c>
      <c r="G463" s="16" t="str">
        <f>IF('Paste Here'!$B457&lt;&gt;"",'Paste Here'!$B457,"")</f>
        <v/>
      </c>
      <c r="H463" s="16" t="str">
        <f>IF('Paste Here'!$C457&lt;&gt;"",'Paste Here'!$C457,"")</f>
        <v/>
      </c>
      <c r="I463" s="25" t="str">
        <f>IF('Paste Here'!$D457&lt;&gt;"",'Paste Here'!$D457,"")</f>
        <v/>
      </c>
      <c r="J463" s="27" t="str">
        <f>IF('Paste Here'!$E457&lt;&gt;"",'Paste Here'!$E457,"")</f>
        <v/>
      </c>
      <c r="K463" s="16" t="str">
        <f>IF('Paste Here'!$F457&lt;&gt;"",'Paste Here'!$F457,"")</f>
        <v/>
      </c>
      <c r="L463" s="16" t="str">
        <f>IF('Paste Here'!$G457&lt;&gt;"",'Paste Here'!$G457,"")</f>
        <v/>
      </c>
      <c r="M463" s="18" t="str">
        <f t="shared" si="15"/>
        <v/>
      </c>
    </row>
    <row r="464" spans="1:13" s="17" customFormat="1" x14ac:dyDescent="0.25">
      <c r="A464" s="16" t="str">
        <f>IF(URN&lt;&gt;"",_xll.mdValue("Resident",_xlnm.Database,$F464),"")</f>
        <v/>
      </c>
      <c r="B464" s="16" t="str">
        <f>IF(PersonId&lt;&gt;"",_xll.mdValue("Resident First Name",_xlnm.Database,$A$8),"")</f>
        <v/>
      </c>
      <c r="C464" s="16" t="str">
        <f>IF(PersonId&lt;&gt;"",_xll.mdValue("Resident Last Name",_xlnm.Database,$A$8),"")</f>
        <v/>
      </c>
      <c r="D464" s="16" t="str">
        <f>IF(PersonId&lt;&gt;"",_xll.mdValue("Person Accomodation Code",_xlnm.Database,$A464),"")</f>
        <v/>
      </c>
      <c r="E464" s="28" t="str">
        <f t="shared" si="14"/>
        <v/>
      </c>
      <c r="F464" s="16" t="str">
        <f>IF('Paste Here'!$A458&lt;&gt;"",'Paste Here'!$A458,"")</f>
        <v/>
      </c>
      <c r="G464" s="16" t="str">
        <f>IF('Paste Here'!$B458&lt;&gt;"",'Paste Here'!$B458,"")</f>
        <v/>
      </c>
      <c r="H464" s="16" t="str">
        <f>IF('Paste Here'!$C458&lt;&gt;"",'Paste Here'!$C458,"")</f>
        <v/>
      </c>
      <c r="I464" s="25" t="str">
        <f>IF('Paste Here'!$D458&lt;&gt;"",'Paste Here'!$D458,"")</f>
        <v/>
      </c>
      <c r="J464" s="27" t="str">
        <f>IF('Paste Here'!$E458&lt;&gt;"",'Paste Here'!$E458,"")</f>
        <v/>
      </c>
      <c r="K464" s="16" t="str">
        <f>IF('Paste Here'!$F458&lt;&gt;"",'Paste Here'!$F458,"")</f>
        <v/>
      </c>
      <c r="L464" s="16" t="str">
        <f>IF('Paste Here'!$G458&lt;&gt;"",'Paste Here'!$G458,"")</f>
        <v/>
      </c>
      <c r="M464" s="18" t="str">
        <f t="shared" si="15"/>
        <v/>
      </c>
    </row>
    <row r="465" spans="1:13" s="17" customFormat="1" x14ac:dyDescent="0.25">
      <c r="A465" s="16" t="str">
        <f>IF(URN&lt;&gt;"",_xll.mdValue("Resident",_xlnm.Database,$F465),"")</f>
        <v/>
      </c>
      <c r="B465" s="16" t="str">
        <f>IF(PersonId&lt;&gt;"",_xll.mdValue("Resident First Name",_xlnm.Database,$A$8),"")</f>
        <v/>
      </c>
      <c r="C465" s="16" t="str">
        <f>IF(PersonId&lt;&gt;"",_xll.mdValue("Resident Last Name",_xlnm.Database,$A$8),"")</f>
        <v/>
      </c>
      <c r="D465" s="16" t="str">
        <f>IF(PersonId&lt;&gt;"",_xll.mdValue("Person Accomodation Code",_xlnm.Database,$A465),"")</f>
        <v/>
      </c>
      <c r="E465" s="28" t="str">
        <f t="shared" si="14"/>
        <v/>
      </c>
      <c r="F465" s="16" t="str">
        <f>IF('Paste Here'!$A459&lt;&gt;"",'Paste Here'!$A459,"")</f>
        <v/>
      </c>
      <c r="G465" s="16" t="str">
        <f>IF('Paste Here'!$B459&lt;&gt;"",'Paste Here'!$B459,"")</f>
        <v/>
      </c>
      <c r="H465" s="16" t="str">
        <f>IF('Paste Here'!$C459&lt;&gt;"",'Paste Here'!$C459,"")</f>
        <v/>
      </c>
      <c r="I465" s="25" t="str">
        <f>IF('Paste Here'!$D459&lt;&gt;"",'Paste Here'!$D459,"")</f>
        <v/>
      </c>
      <c r="J465" s="27" t="str">
        <f>IF('Paste Here'!$E459&lt;&gt;"",'Paste Here'!$E459,"")</f>
        <v/>
      </c>
      <c r="K465" s="16" t="str">
        <f>IF('Paste Here'!$F459&lt;&gt;"",'Paste Here'!$F459,"")</f>
        <v/>
      </c>
      <c r="L465" s="16" t="str">
        <f>IF('Paste Here'!$G459&lt;&gt;"",'Paste Here'!$G459,"")</f>
        <v/>
      </c>
      <c r="M465" s="18" t="str">
        <f t="shared" si="15"/>
        <v/>
      </c>
    </row>
    <row r="466" spans="1:13" s="17" customFormat="1" x14ac:dyDescent="0.25">
      <c r="A466" s="16" t="str">
        <f>IF(URN&lt;&gt;"",_xll.mdValue("Resident",_xlnm.Database,$F466),"")</f>
        <v/>
      </c>
      <c r="B466" s="16" t="str">
        <f>IF(PersonId&lt;&gt;"",_xll.mdValue("Resident First Name",_xlnm.Database,$A$8),"")</f>
        <v/>
      </c>
      <c r="C466" s="16" t="str">
        <f>IF(PersonId&lt;&gt;"",_xll.mdValue("Resident Last Name",_xlnm.Database,$A$8),"")</f>
        <v/>
      </c>
      <c r="D466" s="16" t="str">
        <f>IF(PersonId&lt;&gt;"",_xll.mdValue("Person Accomodation Code",_xlnm.Database,$A466),"")</f>
        <v/>
      </c>
      <c r="E466" s="28" t="str">
        <f t="shared" si="14"/>
        <v/>
      </c>
      <c r="F466" s="16" t="str">
        <f>IF('Paste Here'!$A460&lt;&gt;"",'Paste Here'!$A460,"")</f>
        <v/>
      </c>
      <c r="G466" s="16" t="str">
        <f>IF('Paste Here'!$B460&lt;&gt;"",'Paste Here'!$B460,"")</f>
        <v/>
      </c>
      <c r="H466" s="16" t="str">
        <f>IF('Paste Here'!$C460&lt;&gt;"",'Paste Here'!$C460,"")</f>
        <v/>
      </c>
      <c r="I466" s="25" t="str">
        <f>IF('Paste Here'!$D460&lt;&gt;"",'Paste Here'!$D460,"")</f>
        <v/>
      </c>
      <c r="J466" s="27" t="str">
        <f>IF('Paste Here'!$E460&lt;&gt;"",'Paste Here'!$E460,"")</f>
        <v/>
      </c>
      <c r="K466" s="16" t="str">
        <f>IF('Paste Here'!$F460&lt;&gt;"",'Paste Here'!$F460,"")</f>
        <v/>
      </c>
      <c r="L466" s="16" t="str">
        <f>IF('Paste Here'!$G460&lt;&gt;"",'Paste Here'!$G460,"")</f>
        <v/>
      </c>
      <c r="M466" s="18" t="str">
        <f t="shared" si="15"/>
        <v/>
      </c>
    </row>
    <row r="467" spans="1:13" s="17" customFormat="1" x14ac:dyDescent="0.25">
      <c r="A467" s="16" t="str">
        <f>IF(URN&lt;&gt;"",_xll.mdValue("Resident",_xlnm.Database,$F467),"")</f>
        <v/>
      </c>
      <c r="B467" s="16" t="str">
        <f>IF(PersonId&lt;&gt;"",_xll.mdValue("Resident First Name",_xlnm.Database,$A$8),"")</f>
        <v/>
      </c>
      <c r="C467" s="16" t="str">
        <f>IF(PersonId&lt;&gt;"",_xll.mdValue("Resident Last Name",_xlnm.Database,$A$8),"")</f>
        <v/>
      </c>
      <c r="D467" s="16" t="str">
        <f>IF(PersonId&lt;&gt;"",_xll.mdValue("Person Accomodation Code",_xlnm.Database,$A467),"")</f>
        <v/>
      </c>
      <c r="E467" s="28" t="str">
        <f t="shared" si="14"/>
        <v/>
      </c>
      <c r="F467" s="16" t="str">
        <f>IF('Paste Here'!$A461&lt;&gt;"",'Paste Here'!$A461,"")</f>
        <v/>
      </c>
      <c r="G467" s="16" t="str">
        <f>IF('Paste Here'!$B461&lt;&gt;"",'Paste Here'!$B461,"")</f>
        <v/>
      </c>
      <c r="H467" s="16" t="str">
        <f>IF('Paste Here'!$C461&lt;&gt;"",'Paste Here'!$C461,"")</f>
        <v/>
      </c>
      <c r="I467" s="25" t="str">
        <f>IF('Paste Here'!$D461&lt;&gt;"",'Paste Here'!$D461,"")</f>
        <v/>
      </c>
      <c r="J467" s="27" t="str">
        <f>IF('Paste Here'!$E461&lt;&gt;"",'Paste Here'!$E461,"")</f>
        <v/>
      </c>
      <c r="K467" s="16" t="str">
        <f>IF('Paste Here'!$F461&lt;&gt;"",'Paste Here'!$F461,"")</f>
        <v/>
      </c>
      <c r="L467" s="16" t="str">
        <f>IF('Paste Here'!$G461&lt;&gt;"",'Paste Here'!$G461,"")</f>
        <v/>
      </c>
      <c r="M467" s="18" t="str">
        <f t="shared" si="15"/>
        <v/>
      </c>
    </row>
    <row r="468" spans="1:13" s="17" customFormat="1" x14ac:dyDescent="0.25">
      <c r="A468" s="16" t="str">
        <f>IF(URN&lt;&gt;"",_xll.mdValue("Resident",_xlnm.Database,$F468),"")</f>
        <v/>
      </c>
      <c r="B468" s="16" t="str">
        <f>IF(PersonId&lt;&gt;"",_xll.mdValue("Resident First Name",_xlnm.Database,$A$8),"")</f>
        <v/>
      </c>
      <c r="C468" s="16" t="str">
        <f>IF(PersonId&lt;&gt;"",_xll.mdValue("Resident Last Name",_xlnm.Database,$A$8),"")</f>
        <v/>
      </c>
      <c r="D468" s="16" t="str">
        <f>IF(PersonId&lt;&gt;"",_xll.mdValue("Person Accomodation Code",_xlnm.Database,$A468),"")</f>
        <v/>
      </c>
      <c r="E468" s="28" t="str">
        <f t="shared" si="14"/>
        <v/>
      </c>
      <c r="F468" s="16" t="str">
        <f>IF('Paste Here'!$A462&lt;&gt;"",'Paste Here'!$A462,"")</f>
        <v/>
      </c>
      <c r="G468" s="16" t="str">
        <f>IF('Paste Here'!$B462&lt;&gt;"",'Paste Here'!$B462,"")</f>
        <v/>
      </c>
      <c r="H468" s="16" t="str">
        <f>IF('Paste Here'!$C462&lt;&gt;"",'Paste Here'!$C462,"")</f>
        <v/>
      </c>
      <c r="I468" s="25" t="str">
        <f>IF('Paste Here'!$D462&lt;&gt;"",'Paste Here'!$D462,"")</f>
        <v/>
      </c>
      <c r="J468" s="27" t="str">
        <f>IF('Paste Here'!$E462&lt;&gt;"",'Paste Here'!$E462,"")</f>
        <v/>
      </c>
      <c r="K468" s="16" t="str">
        <f>IF('Paste Here'!$F462&lt;&gt;"",'Paste Here'!$F462,"")</f>
        <v/>
      </c>
      <c r="L468" s="16" t="str">
        <f>IF('Paste Here'!$G462&lt;&gt;"",'Paste Here'!$G462,"")</f>
        <v/>
      </c>
      <c r="M468" s="18" t="str">
        <f t="shared" si="15"/>
        <v/>
      </c>
    </row>
    <row r="469" spans="1:13" s="17" customFormat="1" x14ac:dyDescent="0.25">
      <c r="A469" s="16" t="str">
        <f>IF(URN&lt;&gt;"",_xll.mdValue("Resident",_xlnm.Database,$F469),"")</f>
        <v/>
      </c>
      <c r="B469" s="16" t="str">
        <f>IF(PersonId&lt;&gt;"",_xll.mdValue("Resident First Name",_xlnm.Database,$A$8),"")</f>
        <v/>
      </c>
      <c r="C469" s="16" t="str">
        <f>IF(PersonId&lt;&gt;"",_xll.mdValue("Resident Last Name",_xlnm.Database,$A$8),"")</f>
        <v/>
      </c>
      <c r="D469" s="16" t="str">
        <f>IF(PersonId&lt;&gt;"",_xll.mdValue("Person Accomodation Code",_xlnm.Database,$A469),"")</f>
        <v/>
      </c>
      <c r="E469" s="28" t="str">
        <f t="shared" si="14"/>
        <v/>
      </c>
      <c r="F469" s="16" t="str">
        <f>IF('Paste Here'!$A463&lt;&gt;"",'Paste Here'!$A463,"")</f>
        <v/>
      </c>
      <c r="G469" s="16" t="str">
        <f>IF('Paste Here'!$B463&lt;&gt;"",'Paste Here'!$B463,"")</f>
        <v/>
      </c>
      <c r="H469" s="16" t="str">
        <f>IF('Paste Here'!$C463&lt;&gt;"",'Paste Here'!$C463,"")</f>
        <v/>
      </c>
      <c r="I469" s="25" t="str">
        <f>IF('Paste Here'!$D463&lt;&gt;"",'Paste Here'!$D463,"")</f>
        <v/>
      </c>
      <c r="J469" s="27" t="str">
        <f>IF('Paste Here'!$E463&lt;&gt;"",'Paste Here'!$E463,"")</f>
        <v/>
      </c>
      <c r="K469" s="16" t="str">
        <f>IF('Paste Here'!$F463&lt;&gt;"",'Paste Here'!$F463,"")</f>
        <v/>
      </c>
      <c r="L469" s="16" t="str">
        <f>IF('Paste Here'!$G463&lt;&gt;"",'Paste Here'!$G463,"")</f>
        <v/>
      </c>
      <c r="M469" s="18" t="str">
        <f t="shared" si="15"/>
        <v/>
      </c>
    </row>
    <row r="470" spans="1:13" s="17" customFormat="1" x14ac:dyDescent="0.25">
      <c r="A470" s="16" t="str">
        <f>IF(URN&lt;&gt;"",_xll.mdValue("Resident",_xlnm.Database,$F470),"")</f>
        <v/>
      </c>
      <c r="B470" s="16" t="str">
        <f>IF(PersonId&lt;&gt;"",_xll.mdValue("Resident First Name",_xlnm.Database,$A$8),"")</f>
        <v/>
      </c>
      <c r="C470" s="16" t="str">
        <f>IF(PersonId&lt;&gt;"",_xll.mdValue("Resident Last Name",_xlnm.Database,$A$8),"")</f>
        <v/>
      </c>
      <c r="D470" s="16" t="str">
        <f>IF(PersonId&lt;&gt;"",_xll.mdValue("Person Accomodation Code",_xlnm.Database,$A470),"")</f>
        <v/>
      </c>
      <c r="E470" s="28" t="str">
        <f t="shared" si="14"/>
        <v/>
      </c>
      <c r="F470" s="16" t="str">
        <f>IF('Paste Here'!$A464&lt;&gt;"",'Paste Here'!$A464,"")</f>
        <v/>
      </c>
      <c r="G470" s="16" t="str">
        <f>IF('Paste Here'!$B464&lt;&gt;"",'Paste Here'!$B464,"")</f>
        <v/>
      </c>
      <c r="H470" s="16" t="str">
        <f>IF('Paste Here'!$C464&lt;&gt;"",'Paste Here'!$C464,"")</f>
        <v/>
      </c>
      <c r="I470" s="25" t="str">
        <f>IF('Paste Here'!$D464&lt;&gt;"",'Paste Here'!$D464,"")</f>
        <v/>
      </c>
      <c r="J470" s="27" t="str">
        <f>IF('Paste Here'!$E464&lt;&gt;"",'Paste Here'!$E464,"")</f>
        <v/>
      </c>
      <c r="K470" s="16" t="str">
        <f>IF('Paste Here'!$F464&lt;&gt;"",'Paste Here'!$F464,"")</f>
        <v/>
      </c>
      <c r="L470" s="16" t="str">
        <f>IF('Paste Here'!$G464&lt;&gt;"",'Paste Here'!$G464,"")</f>
        <v/>
      </c>
      <c r="M470" s="18" t="str">
        <f t="shared" si="15"/>
        <v/>
      </c>
    </row>
    <row r="471" spans="1:13" s="17" customFormat="1" x14ac:dyDescent="0.25">
      <c r="A471" s="16" t="str">
        <f>IF(URN&lt;&gt;"",_xll.mdValue("Resident",_xlnm.Database,$F471),"")</f>
        <v/>
      </c>
      <c r="B471" s="16" t="str">
        <f>IF(PersonId&lt;&gt;"",_xll.mdValue("Resident First Name",_xlnm.Database,$A$8),"")</f>
        <v/>
      </c>
      <c r="C471" s="16" t="str">
        <f>IF(PersonId&lt;&gt;"",_xll.mdValue("Resident Last Name",_xlnm.Database,$A$8),"")</f>
        <v/>
      </c>
      <c r="D471" s="16" t="str">
        <f>IF(PersonId&lt;&gt;"",_xll.mdValue("Person Accomodation Code",_xlnm.Database,$A471),"")</f>
        <v/>
      </c>
      <c r="E471" s="28" t="str">
        <f t="shared" si="14"/>
        <v/>
      </c>
      <c r="F471" s="16" t="str">
        <f>IF('Paste Here'!$A465&lt;&gt;"",'Paste Here'!$A465,"")</f>
        <v/>
      </c>
      <c r="G471" s="16" t="str">
        <f>IF('Paste Here'!$B465&lt;&gt;"",'Paste Here'!$B465,"")</f>
        <v/>
      </c>
      <c r="H471" s="16" t="str">
        <f>IF('Paste Here'!$C465&lt;&gt;"",'Paste Here'!$C465,"")</f>
        <v/>
      </c>
      <c r="I471" s="25" t="str">
        <f>IF('Paste Here'!$D465&lt;&gt;"",'Paste Here'!$D465,"")</f>
        <v/>
      </c>
      <c r="J471" s="27" t="str">
        <f>IF('Paste Here'!$E465&lt;&gt;"",'Paste Here'!$E465,"")</f>
        <v/>
      </c>
      <c r="K471" s="16" t="str">
        <f>IF('Paste Here'!$F465&lt;&gt;"",'Paste Here'!$F465,"")</f>
        <v/>
      </c>
      <c r="L471" s="16" t="str">
        <f>IF('Paste Here'!$G465&lt;&gt;"",'Paste Here'!$G465,"")</f>
        <v/>
      </c>
      <c r="M471" s="18" t="str">
        <f t="shared" si="15"/>
        <v/>
      </c>
    </row>
    <row r="472" spans="1:13" s="17" customFormat="1" x14ac:dyDescent="0.25">
      <c r="A472" s="16" t="str">
        <f>IF(URN&lt;&gt;"",_xll.mdValue("Resident",_xlnm.Database,$F472),"")</f>
        <v/>
      </c>
      <c r="B472" s="16" t="str">
        <f>IF(PersonId&lt;&gt;"",_xll.mdValue("Resident First Name",_xlnm.Database,$A$8),"")</f>
        <v/>
      </c>
      <c r="C472" s="16" t="str">
        <f>IF(PersonId&lt;&gt;"",_xll.mdValue("Resident Last Name",_xlnm.Database,$A$8),"")</f>
        <v/>
      </c>
      <c r="D472" s="16" t="str">
        <f>IF(PersonId&lt;&gt;"",_xll.mdValue("Person Accomodation Code",_xlnm.Database,$A472),"")</f>
        <v/>
      </c>
      <c r="E472" s="28" t="str">
        <f t="shared" si="14"/>
        <v/>
      </c>
      <c r="F472" s="16" t="str">
        <f>IF('Paste Here'!$A466&lt;&gt;"",'Paste Here'!$A466,"")</f>
        <v/>
      </c>
      <c r="G472" s="16" t="str">
        <f>IF('Paste Here'!$B466&lt;&gt;"",'Paste Here'!$B466,"")</f>
        <v/>
      </c>
      <c r="H472" s="16" t="str">
        <f>IF('Paste Here'!$C466&lt;&gt;"",'Paste Here'!$C466,"")</f>
        <v/>
      </c>
      <c r="I472" s="25" t="str">
        <f>IF('Paste Here'!$D466&lt;&gt;"",'Paste Here'!$D466,"")</f>
        <v/>
      </c>
      <c r="J472" s="27" t="str">
        <f>IF('Paste Here'!$E466&lt;&gt;"",'Paste Here'!$E466,"")</f>
        <v/>
      </c>
      <c r="K472" s="16" t="str">
        <f>IF('Paste Here'!$F466&lt;&gt;"",'Paste Here'!$F466,"")</f>
        <v/>
      </c>
      <c r="L472" s="16" t="str">
        <f>IF('Paste Here'!$G466&lt;&gt;"",'Paste Here'!$G466,"")</f>
        <v/>
      </c>
      <c r="M472" s="18" t="str">
        <f t="shared" si="15"/>
        <v/>
      </c>
    </row>
    <row r="473" spans="1:13" s="17" customFormat="1" x14ac:dyDescent="0.25">
      <c r="A473" s="16" t="str">
        <f>IF(URN&lt;&gt;"",_xll.mdValue("Resident",_xlnm.Database,$F473),"")</f>
        <v/>
      </c>
      <c r="B473" s="16" t="str">
        <f>IF(PersonId&lt;&gt;"",_xll.mdValue("Resident First Name",_xlnm.Database,$A$8),"")</f>
        <v/>
      </c>
      <c r="C473" s="16" t="str">
        <f>IF(PersonId&lt;&gt;"",_xll.mdValue("Resident Last Name",_xlnm.Database,$A$8),"")</f>
        <v/>
      </c>
      <c r="D473" s="16" t="str">
        <f>IF(PersonId&lt;&gt;"",_xll.mdValue("Person Accomodation Code",_xlnm.Database,$A473),"")</f>
        <v/>
      </c>
      <c r="E473" s="28" t="str">
        <f t="shared" si="14"/>
        <v/>
      </c>
      <c r="F473" s="16" t="str">
        <f>IF('Paste Here'!$A467&lt;&gt;"",'Paste Here'!$A467,"")</f>
        <v/>
      </c>
      <c r="G473" s="16" t="str">
        <f>IF('Paste Here'!$B467&lt;&gt;"",'Paste Here'!$B467,"")</f>
        <v/>
      </c>
      <c r="H473" s="16" t="str">
        <f>IF('Paste Here'!$C467&lt;&gt;"",'Paste Here'!$C467,"")</f>
        <v/>
      </c>
      <c r="I473" s="25" t="str">
        <f>IF('Paste Here'!$D467&lt;&gt;"",'Paste Here'!$D467,"")</f>
        <v/>
      </c>
      <c r="J473" s="27" t="str">
        <f>IF('Paste Here'!$E467&lt;&gt;"",'Paste Here'!$E467,"")</f>
        <v/>
      </c>
      <c r="K473" s="16" t="str">
        <f>IF('Paste Here'!$F467&lt;&gt;"",'Paste Here'!$F467,"")</f>
        <v/>
      </c>
      <c r="L473" s="16" t="str">
        <f>IF('Paste Here'!$G467&lt;&gt;"",'Paste Here'!$G467,"")</f>
        <v/>
      </c>
      <c r="M473" s="18" t="str">
        <f t="shared" si="15"/>
        <v/>
      </c>
    </row>
    <row r="474" spans="1:13" s="17" customFormat="1" x14ac:dyDescent="0.25">
      <c r="A474" s="16" t="str">
        <f>IF(URN&lt;&gt;"",_xll.mdValue("Resident",_xlnm.Database,$F474),"")</f>
        <v/>
      </c>
      <c r="B474" s="16" t="str">
        <f>IF(PersonId&lt;&gt;"",_xll.mdValue("Resident First Name",_xlnm.Database,$A$8),"")</f>
        <v/>
      </c>
      <c r="C474" s="16" t="str">
        <f>IF(PersonId&lt;&gt;"",_xll.mdValue("Resident Last Name",_xlnm.Database,$A$8),"")</f>
        <v/>
      </c>
      <c r="D474" s="16" t="str">
        <f>IF(PersonId&lt;&gt;"",_xll.mdValue("Person Accomodation Code",_xlnm.Database,$A474),"")</f>
        <v/>
      </c>
      <c r="E474" s="28" t="str">
        <f t="shared" si="14"/>
        <v/>
      </c>
      <c r="F474" s="16" t="str">
        <f>IF('Paste Here'!$A468&lt;&gt;"",'Paste Here'!$A468,"")</f>
        <v/>
      </c>
      <c r="G474" s="16" t="str">
        <f>IF('Paste Here'!$B468&lt;&gt;"",'Paste Here'!$B468,"")</f>
        <v/>
      </c>
      <c r="H474" s="16" t="str">
        <f>IF('Paste Here'!$C468&lt;&gt;"",'Paste Here'!$C468,"")</f>
        <v/>
      </c>
      <c r="I474" s="25" t="str">
        <f>IF('Paste Here'!$D468&lt;&gt;"",'Paste Here'!$D468,"")</f>
        <v/>
      </c>
      <c r="J474" s="27" t="str">
        <f>IF('Paste Here'!$E468&lt;&gt;"",'Paste Here'!$E468,"")</f>
        <v/>
      </c>
      <c r="K474" s="16" t="str">
        <f>IF('Paste Here'!$F468&lt;&gt;"",'Paste Here'!$F468,"")</f>
        <v/>
      </c>
      <c r="L474" s="16" t="str">
        <f>IF('Paste Here'!$G468&lt;&gt;"",'Paste Here'!$G468,"")</f>
        <v/>
      </c>
      <c r="M474" s="18" t="str">
        <f t="shared" si="15"/>
        <v/>
      </c>
    </row>
    <row r="475" spans="1:13" s="17" customFormat="1" x14ac:dyDescent="0.25">
      <c r="A475" s="16" t="str">
        <f>IF(URN&lt;&gt;"",_xll.mdValue("Resident",_xlnm.Database,$F475),"")</f>
        <v/>
      </c>
      <c r="B475" s="16" t="str">
        <f>IF(PersonId&lt;&gt;"",_xll.mdValue("Resident First Name",_xlnm.Database,$A$8),"")</f>
        <v/>
      </c>
      <c r="C475" s="16" t="str">
        <f>IF(PersonId&lt;&gt;"",_xll.mdValue("Resident Last Name",_xlnm.Database,$A$8),"")</f>
        <v/>
      </c>
      <c r="D475" s="16" t="str">
        <f>IF(PersonId&lt;&gt;"",_xll.mdValue("Person Accomodation Code",_xlnm.Database,$A475),"")</f>
        <v/>
      </c>
      <c r="E475" s="28" t="str">
        <f t="shared" si="14"/>
        <v/>
      </c>
      <c r="F475" s="16" t="str">
        <f>IF('Paste Here'!$A469&lt;&gt;"",'Paste Here'!$A469,"")</f>
        <v/>
      </c>
      <c r="G475" s="16" t="str">
        <f>IF('Paste Here'!$B469&lt;&gt;"",'Paste Here'!$B469,"")</f>
        <v/>
      </c>
      <c r="H475" s="16" t="str">
        <f>IF('Paste Here'!$C469&lt;&gt;"",'Paste Here'!$C469,"")</f>
        <v/>
      </c>
      <c r="I475" s="25" t="str">
        <f>IF('Paste Here'!$D469&lt;&gt;"",'Paste Here'!$D469,"")</f>
        <v/>
      </c>
      <c r="J475" s="27" t="str">
        <f>IF('Paste Here'!$E469&lt;&gt;"",'Paste Here'!$E469,"")</f>
        <v/>
      </c>
      <c r="K475" s="16" t="str">
        <f>IF('Paste Here'!$F469&lt;&gt;"",'Paste Here'!$F469,"")</f>
        <v/>
      </c>
      <c r="L475" s="16" t="str">
        <f>IF('Paste Here'!$G469&lt;&gt;"",'Paste Here'!$G469,"")</f>
        <v/>
      </c>
      <c r="M475" s="18" t="str">
        <f t="shared" si="15"/>
        <v/>
      </c>
    </row>
    <row r="476" spans="1:13" s="17" customFormat="1" x14ac:dyDescent="0.25">
      <c r="A476" s="16" t="str">
        <f>IF(URN&lt;&gt;"",_xll.mdValue("Resident",_xlnm.Database,$F476),"")</f>
        <v/>
      </c>
      <c r="B476" s="16" t="str">
        <f>IF(PersonId&lt;&gt;"",_xll.mdValue("Resident First Name",_xlnm.Database,$A$8),"")</f>
        <v/>
      </c>
      <c r="C476" s="16" t="str">
        <f>IF(PersonId&lt;&gt;"",_xll.mdValue("Resident Last Name",_xlnm.Database,$A$8),"")</f>
        <v/>
      </c>
      <c r="D476" s="16" t="str">
        <f>IF(PersonId&lt;&gt;"",_xll.mdValue("Person Accomodation Code",_xlnm.Database,$A476),"")</f>
        <v/>
      </c>
      <c r="E476" s="28" t="str">
        <f t="shared" si="14"/>
        <v/>
      </c>
      <c r="F476" s="16" t="str">
        <f>IF('Paste Here'!$A470&lt;&gt;"",'Paste Here'!$A470,"")</f>
        <v/>
      </c>
      <c r="G476" s="16" t="str">
        <f>IF('Paste Here'!$B470&lt;&gt;"",'Paste Here'!$B470,"")</f>
        <v/>
      </c>
      <c r="H476" s="16" t="str">
        <f>IF('Paste Here'!$C470&lt;&gt;"",'Paste Here'!$C470,"")</f>
        <v/>
      </c>
      <c r="I476" s="25" t="str">
        <f>IF('Paste Here'!$D470&lt;&gt;"",'Paste Here'!$D470,"")</f>
        <v/>
      </c>
      <c r="J476" s="27" t="str">
        <f>IF('Paste Here'!$E470&lt;&gt;"",'Paste Here'!$E470,"")</f>
        <v/>
      </c>
      <c r="K476" s="16" t="str">
        <f>IF('Paste Here'!$F470&lt;&gt;"",'Paste Here'!$F470,"")</f>
        <v/>
      </c>
      <c r="L476" s="16" t="str">
        <f>IF('Paste Here'!$G470&lt;&gt;"",'Paste Here'!$G470,"")</f>
        <v/>
      </c>
      <c r="M476" s="18" t="str">
        <f t="shared" si="15"/>
        <v/>
      </c>
    </row>
    <row r="477" spans="1:13" s="17" customFormat="1" x14ac:dyDescent="0.25">
      <c r="A477" s="16" t="str">
        <f>IF(URN&lt;&gt;"",_xll.mdValue("Resident",_xlnm.Database,$F477),"")</f>
        <v/>
      </c>
      <c r="B477" s="16" t="str">
        <f>IF(PersonId&lt;&gt;"",_xll.mdValue("Resident First Name",_xlnm.Database,$A$8),"")</f>
        <v/>
      </c>
      <c r="C477" s="16" t="str">
        <f>IF(PersonId&lt;&gt;"",_xll.mdValue("Resident Last Name",_xlnm.Database,$A$8),"")</f>
        <v/>
      </c>
      <c r="D477" s="16" t="str">
        <f>IF(PersonId&lt;&gt;"",_xll.mdValue("Person Accomodation Code",_xlnm.Database,$A477),"")</f>
        <v/>
      </c>
      <c r="E477" s="28" t="str">
        <f t="shared" si="14"/>
        <v/>
      </c>
      <c r="F477" s="16" t="str">
        <f>IF('Paste Here'!$A471&lt;&gt;"",'Paste Here'!$A471,"")</f>
        <v/>
      </c>
      <c r="G477" s="16" t="str">
        <f>IF('Paste Here'!$B471&lt;&gt;"",'Paste Here'!$B471,"")</f>
        <v/>
      </c>
      <c r="H477" s="16" t="str">
        <f>IF('Paste Here'!$C471&lt;&gt;"",'Paste Here'!$C471,"")</f>
        <v/>
      </c>
      <c r="I477" s="25" t="str">
        <f>IF('Paste Here'!$D471&lt;&gt;"",'Paste Here'!$D471,"")</f>
        <v/>
      </c>
      <c r="J477" s="27" t="str">
        <f>IF('Paste Here'!$E471&lt;&gt;"",'Paste Here'!$E471,"")</f>
        <v/>
      </c>
      <c r="K477" s="16" t="str">
        <f>IF('Paste Here'!$F471&lt;&gt;"",'Paste Here'!$F471,"")</f>
        <v/>
      </c>
      <c r="L477" s="16" t="str">
        <f>IF('Paste Here'!$G471&lt;&gt;"",'Paste Here'!$G471,"")</f>
        <v/>
      </c>
      <c r="M477" s="18" t="str">
        <f t="shared" si="15"/>
        <v/>
      </c>
    </row>
    <row r="478" spans="1:13" s="17" customFormat="1" x14ac:dyDescent="0.25">
      <c r="A478" s="16" t="str">
        <f>IF(URN&lt;&gt;"",_xll.mdValue("Resident",_xlnm.Database,$F478),"")</f>
        <v/>
      </c>
      <c r="B478" s="16" t="str">
        <f>IF(PersonId&lt;&gt;"",_xll.mdValue("Resident First Name",_xlnm.Database,$A$8),"")</f>
        <v/>
      </c>
      <c r="C478" s="16" t="str">
        <f>IF(PersonId&lt;&gt;"",_xll.mdValue("Resident Last Name",_xlnm.Database,$A$8),"")</f>
        <v/>
      </c>
      <c r="D478" s="16" t="str">
        <f>IF(PersonId&lt;&gt;"",_xll.mdValue("Person Accomodation Code",_xlnm.Database,$A478),"")</f>
        <v/>
      </c>
      <c r="E478" s="28" t="str">
        <f t="shared" si="14"/>
        <v/>
      </c>
      <c r="F478" s="16" t="str">
        <f>IF('Paste Here'!$A472&lt;&gt;"",'Paste Here'!$A472,"")</f>
        <v/>
      </c>
      <c r="G478" s="16" t="str">
        <f>IF('Paste Here'!$B472&lt;&gt;"",'Paste Here'!$B472,"")</f>
        <v/>
      </c>
      <c r="H478" s="16" t="str">
        <f>IF('Paste Here'!$C472&lt;&gt;"",'Paste Here'!$C472,"")</f>
        <v/>
      </c>
      <c r="I478" s="25" t="str">
        <f>IF('Paste Here'!$D472&lt;&gt;"",'Paste Here'!$D472,"")</f>
        <v/>
      </c>
      <c r="J478" s="27" t="str">
        <f>IF('Paste Here'!$E472&lt;&gt;"",'Paste Here'!$E472,"")</f>
        <v/>
      </c>
      <c r="K478" s="16" t="str">
        <f>IF('Paste Here'!$F472&lt;&gt;"",'Paste Here'!$F472,"")</f>
        <v/>
      </c>
      <c r="L478" s="16" t="str">
        <f>IF('Paste Here'!$G472&lt;&gt;"",'Paste Here'!$G472,"")</f>
        <v/>
      </c>
      <c r="M478" s="18" t="str">
        <f t="shared" si="15"/>
        <v/>
      </c>
    </row>
    <row r="479" spans="1:13" s="17" customFormat="1" x14ac:dyDescent="0.25">
      <c r="A479" s="16" t="str">
        <f>IF(URN&lt;&gt;"",_xll.mdValue("Resident",_xlnm.Database,$F479),"")</f>
        <v/>
      </c>
      <c r="B479" s="16" t="str">
        <f>IF(PersonId&lt;&gt;"",_xll.mdValue("Resident First Name",_xlnm.Database,$A$8),"")</f>
        <v/>
      </c>
      <c r="C479" s="16" t="str">
        <f>IF(PersonId&lt;&gt;"",_xll.mdValue("Resident Last Name",_xlnm.Database,$A$8),"")</f>
        <v/>
      </c>
      <c r="D479" s="16" t="str">
        <f>IF(PersonId&lt;&gt;"",_xll.mdValue("Person Accomodation Code",_xlnm.Database,$A479),"")</f>
        <v/>
      </c>
      <c r="E479" s="28" t="str">
        <f t="shared" si="14"/>
        <v/>
      </c>
      <c r="F479" s="16" t="str">
        <f>IF('Paste Here'!$A473&lt;&gt;"",'Paste Here'!$A473,"")</f>
        <v/>
      </c>
      <c r="G479" s="16" t="str">
        <f>IF('Paste Here'!$B473&lt;&gt;"",'Paste Here'!$B473,"")</f>
        <v/>
      </c>
      <c r="H479" s="16" t="str">
        <f>IF('Paste Here'!$C473&lt;&gt;"",'Paste Here'!$C473,"")</f>
        <v/>
      </c>
      <c r="I479" s="25" t="str">
        <f>IF('Paste Here'!$D473&lt;&gt;"",'Paste Here'!$D473,"")</f>
        <v/>
      </c>
      <c r="J479" s="27" t="str">
        <f>IF('Paste Here'!$E473&lt;&gt;"",'Paste Here'!$E473,"")</f>
        <v/>
      </c>
      <c r="K479" s="16" t="str">
        <f>IF('Paste Here'!$F473&lt;&gt;"",'Paste Here'!$F473,"")</f>
        <v/>
      </c>
      <c r="L479" s="16" t="str">
        <f>IF('Paste Here'!$G473&lt;&gt;"",'Paste Here'!$G473,"")</f>
        <v/>
      </c>
      <c r="M479" s="18" t="str">
        <f t="shared" si="15"/>
        <v/>
      </c>
    </row>
    <row r="480" spans="1:13" s="17" customFormat="1" x14ac:dyDescent="0.25">
      <c r="A480" s="16" t="str">
        <f>IF(URN&lt;&gt;"",_xll.mdValue("Resident",_xlnm.Database,$F480),"")</f>
        <v/>
      </c>
      <c r="B480" s="16" t="str">
        <f>IF(PersonId&lt;&gt;"",_xll.mdValue("Resident First Name",_xlnm.Database,$A$8),"")</f>
        <v/>
      </c>
      <c r="C480" s="16" t="str">
        <f>IF(PersonId&lt;&gt;"",_xll.mdValue("Resident Last Name",_xlnm.Database,$A$8),"")</f>
        <v/>
      </c>
      <c r="D480" s="16" t="str">
        <f>IF(PersonId&lt;&gt;"",_xll.mdValue("Person Accomodation Code",_xlnm.Database,$A480),"")</f>
        <v/>
      </c>
      <c r="E480" s="28" t="str">
        <f t="shared" si="14"/>
        <v/>
      </c>
      <c r="F480" s="16" t="str">
        <f>IF('Paste Here'!$A474&lt;&gt;"",'Paste Here'!$A474,"")</f>
        <v/>
      </c>
      <c r="G480" s="16" t="str">
        <f>IF('Paste Here'!$B474&lt;&gt;"",'Paste Here'!$B474,"")</f>
        <v/>
      </c>
      <c r="H480" s="16" t="str">
        <f>IF('Paste Here'!$C474&lt;&gt;"",'Paste Here'!$C474,"")</f>
        <v/>
      </c>
      <c r="I480" s="25" t="str">
        <f>IF('Paste Here'!$D474&lt;&gt;"",'Paste Here'!$D474,"")</f>
        <v/>
      </c>
      <c r="J480" s="27" t="str">
        <f>IF('Paste Here'!$E474&lt;&gt;"",'Paste Here'!$E474,"")</f>
        <v/>
      </c>
      <c r="K480" s="16" t="str">
        <f>IF('Paste Here'!$F474&lt;&gt;"",'Paste Here'!$F474,"")</f>
        <v/>
      </c>
      <c r="L480" s="16" t="str">
        <f>IF('Paste Here'!$G474&lt;&gt;"",'Paste Here'!$G474,"")</f>
        <v/>
      </c>
      <c r="M480" s="18" t="str">
        <f t="shared" si="15"/>
        <v/>
      </c>
    </row>
    <row r="481" spans="1:13" s="17" customFormat="1" x14ac:dyDescent="0.25">
      <c r="A481" s="16" t="str">
        <f>IF(URN&lt;&gt;"",_xll.mdValue("Resident",_xlnm.Database,$F481),"")</f>
        <v/>
      </c>
      <c r="B481" s="16" t="str">
        <f>IF(PersonId&lt;&gt;"",_xll.mdValue("Resident First Name",_xlnm.Database,$A$8),"")</f>
        <v/>
      </c>
      <c r="C481" s="16" t="str">
        <f>IF(PersonId&lt;&gt;"",_xll.mdValue("Resident Last Name",_xlnm.Database,$A$8),"")</f>
        <v/>
      </c>
      <c r="D481" s="16" t="str">
        <f>IF(PersonId&lt;&gt;"",_xll.mdValue("Person Accomodation Code",_xlnm.Database,$A481),"")</f>
        <v/>
      </c>
      <c r="E481" s="28" t="str">
        <f t="shared" si="14"/>
        <v/>
      </c>
      <c r="F481" s="16" t="str">
        <f>IF('Paste Here'!$A475&lt;&gt;"",'Paste Here'!$A475,"")</f>
        <v/>
      </c>
      <c r="G481" s="16" t="str">
        <f>IF('Paste Here'!$B475&lt;&gt;"",'Paste Here'!$B475,"")</f>
        <v/>
      </c>
      <c r="H481" s="16" t="str">
        <f>IF('Paste Here'!$C475&lt;&gt;"",'Paste Here'!$C475,"")</f>
        <v/>
      </c>
      <c r="I481" s="25" t="str">
        <f>IF('Paste Here'!$D475&lt;&gt;"",'Paste Here'!$D475,"")</f>
        <v/>
      </c>
      <c r="J481" s="27" t="str">
        <f>IF('Paste Here'!$E475&lt;&gt;"",'Paste Here'!$E475,"")</f>
        <v/>
      </c>
      <c r="K481" s="16" t="str">
        <f>IF('Paste Here'!$F475&lt;&gt;"",'Paste Here'!$F475,"")</f>
        <v/>
      </c>
      <c r="L481" s="16" t="str">
        <f>IF('Paste Here'!$G475&lt;&gt;"",'Paste Here'!$G475,"")</f>
        <v/>
      </c>
      <c r="M481" s="18" t="str">
        <f t="shared" si="15"/>
        <v/>
      </c>
    </row>
    <row r="482" spans="1:13" s="17" customFormat="1" x14ac:dyDescent="0.25">
      <c r="A482" s="16" t="str">
        <f>IF(URN&lt;&gt;"",_xll.mdValue("Resident",_xlnm.Database,$F482),"")</f>
        <v/>
      </c>
      <c r="B482" s="16" t="str">
        <f>IF(PersonId&lt;&gt;"",_xll.mdValue("Resident First Name",_xlnm.Database,$A$8),"")</f>
        <v/>
      </c>
      <c r="C482" s="16" t="str">
        <f>IF(PersonId&lt;&gt;"",_xll.mdValue("Resident Last Name",_xlnm.Database,$A$8),"")</f>
        <v/>
      </c>
      <c r="D482" s="16" t="str">
        <f>IF(PersonId&lt;&gt;"",_xll.mdValue("Person Accomodation Code",_xlnm.Database,$A482),"")</f>
        <v/>
      </c>
      <c r="E482" s="28" t="str">
        <f t="shared" si="14"/>
        <v/>
      </c>
      <c r="F482" s="16" t="str">
        <f>IF('Paste Here'!$A476&lt;&gt;"",'Paste Here'!$A476,"")</f>
        <v/>
      </c>
      <c r="G482" s="16" t="str">
        <f>IF('Paste Here'!$B476&lt;&gt;"",'Paste Here'!$B476,"")</f>
        <v/>
      </c>
      <c r="H482" s="16" t="str">
        <f>IF('Paste Here'!$C476&lt;&gt;"",'Paste Here'!$C476,"")</f>
        <v/>
      </c>
      <c r="I482" s="25" t="str">
        <f>IF('Paste Here'!$D476&lt;&gt;"",'Paste Here'!$D476,"")</f>
        <v/>
      </c>
      <c r="J482" s="27" t="str">
        <f>IF('Paste Here'!$E476&lt;&gt;"",'Paste Here'!$E476,"")</f>
        <v/>
      </c>
      <c r="K482" s="16" t="str">
        <f>IF('Paste Here'!$F476&lt;&gt;"",'Paste Here'!$F476,"")</f>
        <v/>
      </c>
      <c r="L482" s="16" t="str">
        <f>IF('Paste Here'!$G476&lt;&gt;"",'Paste Here'!$G476,"")</f>
        <v/>
      </c>
      <c r="M482" s="18" t="str">
        <f t="shared" si="15"/>
        <v/>
      </c>
    </row>
    <row r="483" spans="1:13" s="17" customFormat="1" x14ac:dyDescent="0.25">
      <c r="A483" s="16" t="str">
        <f>IF(URN&lt;&gt;"",_xll.mdValue("Resident",_xlnm.Database,$F483),"")</f>
        <v/>
      </c>
      <c r="B483" s="16" t="str">
        <f>IF(PersonId&lt;&gt;"",_xll.mdValue("Resident First Name",_xlnm.Database,$A$8),"")</f>
        <v/>
      </c>
      <c r="C483" s="16" t="str">
        <f>IF(PersonId&lt;&gt;"",_xll.mdValue("Resident Last Name",_xlnm.Database,$A$8),"")</f>
        <v/>
      </c>
      <c r="D483" s="16" t="str">
        <f>IF(PersonId&lt;&gt;"",_xll.mdValue("Person Accomodation Code",_xlnm.Database,$A483),"")</f>
        <v/>
      </c>
      <c r="E483" s="28" t="str">
        <f t="shared" si="14"/>
        <v/>
      </c>
      <c r="F483" s="16" t="str">
        <f>IF('Paste Here'!$A477&lt;&gt;"",'Paste Here'!$A477,"")</f>
        <v/>
      </c>
      <c r="G483" s="16" t="str">
        <f>IF('Paste Here'!$B477&lt;&gt;"",'Paste Here'!$B477,"")</f>
        <v/>
      </c>
      <c r="H483" s="16" t="str">
        <f>IF('Paste Here'!$C477&lt;&gt;"",'Paste Here'!$C477,"")</f>
        <v/>
      </c>
      <c r="I483" s="25" t="str">
        <f>IF('Paste Here'!$D477&lt;&gt;"",'Paste Here'!$D477,"")</f>
        <v/>
      </c>
      <c r="J483" s="27" t="str">
        <f>IF('Paste Here'!$E477&lt;&gt;"",'Paste Here'!$E477,"")</f>
        <v/>
      </c>
      <c r="K483" s="16" t="str">
        <f>IF('Paste Here'!$F477&lt;&gt;"",'Paste Here'!$F477,"")</f>
        <v/>
      </c>
      <c r="L483" s="16" t="str">
        <f>IF('Paste Here'!$G477&lt;&gt;"",'Paste Here'!$G477,"")</f>
        <v/>
      </c>
      <c r="M483" s="18" t="str">
        <f t="shared" si="15"/>
        <v/>
      </c>
    </row>
    <row r="484" spans="1:13" s="17" customFormat="1" x14ac:dyDescent="0.25">
      <c r="A484" s="16" t="str">
        <f>IF(URN&lt;&gt;"",_xll.mdValue("Resident",_xlnm.Database,$F484),"")</f>
        <v/>
      </c>
      <c r="B484" s="16" t="str">
        <f>IF(PersonId&lt;&gt;"",_xll.mdValue("Resident First Name",_xlnm.Database,$A$8),"")</f>
        <v/>
      </c>
      <c r="C484" s="16" t="str">
        <f>IF(PersonId&lt;&gt;"",_xll.mdValue("Resident Last Name",_xlnm.Database,$A$8),"")</f>
        <v/>
      </c>
      <c r="D484" s="16" t="str">
        <f>IF(PersonId&lt;&gt;"",_xll.mdValue("Person Accomodation Code",_xlnm.Database,$A484),"")</f>
        <v/>
      </c>
      <c r="E484" s="28" t="str">
        <f t="shared" si="14"/>
        <v/>
      </c>
      <c r="F484" s="16" t="str">
        <f>IF('Paste Here'!$A478&lt;&gt;"",'Paste Here'!$A478,"")</f>
        <v/>
      </c>
      <c r="G484" s="16" t="str">
        <f>IF('Paste Here'!$B478&lt;&gt;"",'Paste Here'!$B478,"")</f>
        <v/>
      </c>
      <c r="H484" s="16" t="str">
        <f>IF('Paste Here'!$C478&lt;&gt;"",'Paste Here'!$C478,"")</f>
        <v/>
      </c>
      <c r="I484" s="25" t="str">
        <f>IF('Paste Here'!$D478&lt;&gt;"",'Paste Here'!$D478,"")</f>
        <v/>
      </c>
      <c r="J484" s="27" t="str">
        <f>IF('Paste Here'!$E478&lt;&gt;"",'Paste Here'!$E478,"")</f>
        <v/>
      </c>
      <c r="K484" s="16" t="str">
        <f>IF('Paste Here'!$F478&lt;&gt;"",'Paste Here'!$F478,"")</f>
        <v/>
      </c>
      <c r="L484" s="16" t="str">
        <f>IF('Paste Here'!$G478&lt;&gt;"",'Paste Here'!$G478,"")</f>
        <v/>
      </c>
      <c r="M484" s="18" t="str">
        <f t="shared" si="15"/>
        <v/>
      </c>
    </row>
    <row r="485" spans="1:13" s="17" customFormat="1" x14ac:dyDescent="0.25">
      <c r="A485" s="16" t="str">
        <f>IF(URN&lt;&gt;"",_xll.mdValue("Resident",_xlnm.Database,$F485),"")</f>
        <v/>
      </c>
      <c r="B485" s="16" t="str">
        <f>IF(PersonId&lt;&gt;"",_xll.mdValue("Resident First Name",_xlnm.Database,$A$8),"")</f>
        <v/>
      </c>
      <c r="C485" s="16" t="str">
        <f>IF(PersonId&lt;&gt;"",_xll.mdValue("Resident Last Name",_xlnm.Database,$A$8),"")</f>
        <v/>
      </c>
      <c r="D485" s="16" t="str">
        <f>IF(PersonId&lt;&gt;"",_xll.mdValue("Person Accomodation Code",_xlnm.Database,$A485),"")</f>
        <v/>
      </c>
      <c r="E485" s="28" t="str">
        <f t="shared" si="14"/>
        <v/>
      </c>
      <c r="F485" s="16" t="str">
        <f>IF('Paste Here'!$A479&lt;&gt;"",'Paste Here'!$A479,"")</f>
        <v/>
      </c>
      <c r="G485" s="16" t="str">
        <f>IF('Paste Here'!$B479&lt;&gt;"",'Paste Here'!$B479,"")</f>
        <v/>
      </c>
      <c r="H485" s="16" t="str">
        <f>IF('Paste Here'!$C479&lt;&gt;"",'Paste Here'!$C479,"")</f>
        <v/>
      </c>
      <c r="I485" s="25" t="str">
        <f>IF('Paste Here'!$D479&lt;&gt;"",'Paste Here'!$D479,"")</f>
        <v/>
      </c>
      <c r="J485" s="27" t="str">
        <f>IF('Paste Here'!$E479&lt;&gt;"",'Paste Here'!$E479,"")</f>
        <v/>
      </c>
      <c r="K485" s="16" t="str">
        <f>IF('Paste Here'!$F479&lt;&gt;"",'Paste Here'!$F479,"")</f>
        <v/>
      </c>
      <c r="L485" s="16" t="str">
        <f>IF('Paste Here'!$G479&lt;&gt;"",'Paste Here'!$G479,"")</f>
        <v/>
      </c>
      <c r="M485" s="18" t="str">
        <f t="shared" si="15"/>
        <v/>
      </c>
    </row>
    <row r="486" spans="1:13" s="17" customFormat="1" x14ac:dyDescent="0.25">
      <c r="A486" s="16" t="str">
        <f>IF(URN&lt;&gt;"",_xll.mdValue("Resident",_xlnm.Database,$F486),"")</f>
        <v/>
      </c>
      <c r="B486" s="16" t="str">
        <f>IF(PersonId&lt;&gt;"",_xll.mdValue("Resident First Name",_xlnm.Database,$A$8),"")</f>
        <v/>
      </c>
      <c r="C486" s="16" t="str">
        <f>IF(PersonId&lt;&gt;"",_xll.mdValue("Resident Last Name",_xlnm.Database,$A$8),"")</f>
        <v/>
      </c>
      <c r="D486" s="16" t="str">
        <f>IF(PersonId&lt;&gt;"",_xll.mdValue("Person Accomodation Code",_xlnm.Database,$A486),"")</f>
        <v/>
      </c>
      <c r="E486" s="28" t="str">
        <f t="shared" si="14"/>
        <v/>
      </c>
      <c r="F486" s="16" t="str">
        <f>IF('Paste Here'!$A480&lt;&gt;"",'Paste Here'!$A480,"")</f>
        <v/>
      </c>
      <c r="G486" s="16" t="str">
        <f>IF('Paste Here'!$B480&lt;&gt;"",'Paste Here'!$B480,"")</f>
        <v/>
      </c>
      <c r="H486" s="16" t="str">
        <f>IF('Paste Here'!$C480&lt;&gt;"",'Paste Here'!$C480,"")</f>
        <v/>
      </c>
      <c r="I486" s="25" t="str">
        <f>IF('Paste Here'!$D480&lt;&gt;"",'Paste Here'!$D480,"")</f>
        <v/>
      </c>
      <c r="J486" s="27" t="str">
        <f>IF('Paste Here'!$E480&lt;&gt;"",'Paste Here'!$E480,"")</f>
        <v/>
      </c>
      <c r="K486" s="16" t="str">
        <f>IF('Paste Here'!$F480&lt;&gt;"",'Paste Here'!$F480,"")</f>
        <v/>
      </c>
      <c r="L486" s="16" t="str">
        <f>IF('Paste Here'!$G480&lt;&gt;"",'Paste Here'!$G480,"")</f>
        <v/>
      </c>
      <c r="M486" s="18" t="str">
        <f t="shared" si="15"/>
        <v/>
      </c>
    </row>
    <row r="487" spans="1:13" s="17" customFormat="1" x14ac:dyDescent="0.25">
      <c r="A487" s="16" t="str">
        <f>IF(URN&lt;&gt;"",_xll.mdValue("Resident",_xlnm.Database,$F487),"")</f>
        <v/>
      </c>
      <c r="B487" s="16" t="str">
        <f>IF(PersonId&lt;&gt;"",_xll.mdValue("Resident First Name",_xlnm.Database,$A$8),"")</f>
        <v/>
      </c>
      <c r="C487" s="16" t="str">
        <f>IF(PersonId&lt;&gt;"",_xll.mdValue("Resident Last Name",_xlnm.Database,$A$8),"")</f>
        <v/>
      </c>
      <c r="D487" s="16" t="str">
        <f>IF(PersonId&lt;&gt;"",_xll.mdValue("Person Accomodation Code",_xlnm.Database,$A487),"")</f>
        <v/>
      </c>
      <c r="E487" s="28" t="str">
        <f t="shared" si="14"/>
        <v/>
      </c>
      <c r="F487" s="16" t="str">
        <f>IF('Paste Here'!$A481&lt;&gt;"",'Paste Here'!$A481,"")</f>
        <v/>
      </c>
      <c r="G487" s="16" t="str">
        <f>IF('Paste Here'!$B481&lt;&gt;"",'Paste Here'!$B481,"")</f>
        <v/>
      </c>
      <c r="H487" s="16" t="str">
        <f>IF('Paste Here'!$C481&lt;&gt;"",'Paste Here'!$C481,"")</f>
        <v/>
      </c>
      <c r="I487" s="25" t="str">
        <f>IF('Paste Here'!$D481&lt;&gt;"",'Paste Here'!$D481,"")</f>
        <v/>
      </c>
      <c r="J487" s="27" t="str">
        <f>IF('Paste Here'!$E481&lt;&gt;"",'Paste Here'!$E481,"")</f>
        <v/>
      </c>
      <c r="K487" s="16" t="str">
        <f>IF('Paste Here'!$F481&lt;&gt;"",'Paste Here'!$F481,"")</f>
        <v/>
      </c>
      <c r="L487" s="16" t="str">
        <f>IF('Paste Here'!$G481&lt;&gt;"",'Paste Here'!$G481,"")</f>
        <v/>
      </c>
      <c r="M487" s="18" t="str">
        <f t="shared" si="15"/>
        <v/>
      </c>
    </row>
    <row r="488" spans="1:13" s="17" customFormat="1" x14ac:dyDescent="0.25">
      <c r="A488" s="16" t="str">
        <f>IF(URN&lt;&gt;"",_xll.mdValue("Resident",_xlnm.Database,$F488),"")</f>
        <v/>
      </c>
      <c r="B488" s="16" t="str">
        <f>IF(PersonId&lt;&gt;"",_xll.mdValue("Resident First Name",_xlnm.Database,$A$8),"")</f>
        <v/>
      </c>
      <c r="C488" s="16" t="str">
        <f>IF(PersonId&lt;&gt;"",_xll.mdValue("Resident Last Name",_xlnm.Database,$A$8),"")</f>
        <v/>
      </c>
      <c r="D488" s="16" t="str">
        <f>IF(PersonId&lt;&gt;"",_xll.mdValue("Person Accomodation Code",_xlnm.Database,$A488),"")</f>
        <v/>
      </c>
      <c r="E488" s="28" t="str">
        <f t="shared" si="14"/>
        <v/>
      </c>
      <c r="F488" s="16" t="str">
        <f>IF('Paste Here'!$A482&lt;&gt;"",'Paste Here'!$A482,"")</f>
        <v/>
      </c>
      <c r="G488" s="16" t="str">
        <f>IF('Paste Here'!$B482&lt;&gt;"",'Paste Here'!$B482,"")</f>
        <v/>
      </c>
      <c r="H488" s="16" t="str">
        <f>IF('Paste Here'!$C482&lt;&gt;"",'Paste Here'!$C482,"")</f>
        <v/>
      </c>
      <c r="I488" s="25" t="str">
        <f>IF('Paste Here'!$D482&lt;&gt;"",'Paste Here'!$D482,"")</f>
        <v/>
      </c>
      <c r="J488" s="27" t="str">
        <f>IF('Paste Here'!$E482&lt;&gt;"",'Paste Here'!$E482,"")</f>
        <v/>
      </c>
      <c r="K488" s="16" t="str">
        <f>IF('Paste Here'!$F482&lt;&gt;"",'Paste Here'!$F482,"")</f>
        <v/>
      </c>
      <c r="L488" s="16" t="str">
        <f>IF('Paste Here'!$G482&lt;&gt;"",'Paste Here'!$G482,"")</f>
        <v/>
      </c>
      <c r="M488" s="18" t="str">
        <f t="shared" si="15"/>
        <v/>
      </c>
    </row>
    <row r="489" spans="1:13" s="17" customFormat="1" x14ac:dyDescent="0.25">
      <c r="A489" s="16" t="str">
        <f>IF(URN&lt;&gt;"",_xll.mdValue("Resident",_xlnm.Database,$F489),"")</f>
        <v/>
      </c>
      <c r="B489" s="16" t="str">
        <f>IF(PersonId&lt;&gt;"",_xll.mdValue("Resident First Name",_xlnm.Database,$A$8),"")</f>
        <v/>
      </c>
      <c r="C489" s="16" t="str">
        <f>IF(PersonId&lt;&gt;"",_xll.mdValue("Resident Last Name",_xlnm.Database,$A$8),"")</f>
        <v/>
      </c>
      <c r="D489" s="16" t="str">
        <f>IF(PersonId&lt;&gt;"",_xll.mdValue("Person Accomodation Code",_xlnm.Database,$A489),"")</f>
        <v/>
      </c>
      <c r="E489" s="28" t="str">
        <f t="shared" si="14"/>
        <v/>
      </c>
      <c r="F489" s="16" t="str">
        <f>IF('Paste Here'!$A483&lt;&gt;"",'Paste Here'!$A483,"")</f>
        <v/>
      </c>
      <c r="G489" s="16" t="str">
        <f>IF('Paste Here'!$B483&lt;&gt;"",'Paste Here'!$B483,"")</f>
        <v/>
      </c>
      <c r="H489" s="16" t="str">
        <f>IF('Paste Here'!$C483&lt;&gt;"",'Paste Here'!$C483,"")</f>
        <v/>
      </c>
      <c r="I489" s="25" t="str">
        <f>IF('Paste Here'!$D483&lt;&gt;"",'Paste Here'!$D483,"")</f>
        <v/>
      </c>
      <c r="J489" s="27" t="str">
        <f>IF('Paste Here'!$E483&lt;&gt;"",'Paste Here'!$E483,"")</f>
        <v/>
      </c>
      <c r="K489" s="16" t="str">
        <f>IF('Paste Here'!$F483&lt;&gt;"",'Paste Here'!$F483,"")</f>
        <v/>
      </c>
      <c r="L489" s="16" t="str">
        <f>IF('Paste Here'!$G483&lt;&gt;"",'Paste Here'!$G483,"")</f>
        <v/>
      </c>
      <c r="M489" s="18" t="str">
        <f t="shared" si="15"/>
        <v/>
      </c>
    </row>
    <row r="490" spans="1:13" s="17" customFormat="1" x14ac:dyDescent="0.25">
      <c r="A490" s="16" t="str">
        <f>IF(URN&lt;&gt;"",_xll.mdValue("Resident",_xlnm.Database,$F490),"")</f>
        <v/>
      </c>
      <c r="B490" s="16" t="str">
        <f>IF(PersonId&lt;&gt;"",_xll.mdValue("Resident First Name",_xlnm.Database,$A$8),"")</f>
        <v/>
      </c>
      <c r="C490" s="16" t="str">
        <f>IF(PersonId&lt;&gt;"",_xll.mdValue("Resident Last Name",_xlnm.Database,$A$8),"")</f>
        <v/>
      </c>
      <c r="D490" s="16" t="str">
        <f>IF(PersonId&lt;&gt;"",_xll.mdValue("Person Accomodation Code",_xlnm.Database,$A490),"")</f>
        <v/>
      </c>
      <c r="E490" s="28" t="str">
        <f t="shared" si="14"/>
        <v/>
      </c>
      <c r="F490" s="16" t="str">
        <f>IF('Paste Here'!$A484&lt;&gt;"",'Paste Here'!$A484,"")</f>
        <v/>
      </c>
      <c r="G490" s="16" t="str">
        <f>IF('Paste Here'!$B484&lt;&gt;"",'Paste Here'!$B484,"")</f>
        <v/>
      </c>
      <c r="H490" s="16" t="str">
        <f>IF('Paste Here'!$C484&lt;&gt;"",'Paste Here'!$C484,"")</f>
        <v/>
      </c>
      <c r="I490" s="25" t="str">
        <f>IF('Paste Here'!$D484&lt;&gt;"",'Paste Here'!$D484,"")</f>
        <v/>
      </c>
      <c r="J490" s="27" t="str">
        <f>IF('Paste Here'!$E484&lt;&gt;"",'Paste Here'!$E484,"")</f>
        <v/>
      </c>
      <c r="K490" s="16" t="str">
        <f>IF('Paste Here'!$F484&lt;&gt;"",'Paste Here'!$F484,"")</f>
        <v/>
      </c>
      <c r="L490" s="16" t="str">
        <f>IF('Paste Here'!$G484&lt;&gt;"",'Paste Here'!$G484,"")</f>
        <v/>
      </c>
      <c r="M490" s="18" t="str">
        <f t="shared" si="15"/>
        <v/>
      </c>
    </row>
    <row r="491" spans="1:13" s="17" customFormat="1" x14ac:dyDescent="0.25">
      <c r="A491" s="16" t="str">
        <f>IF(URN&lt;&gt;"",_xll.mdValue("Resident",_xlnm.Database,$F491),"")</f>
        <v/>
      </c>
      <c r="B491" s="16" t="str">
        <f>IF(PersonId&lt;&gt;"",_xll.mdValue("Resident First Name",_xlnm.Database,$A$8),"")</f>
        <v/>
      </c>
      <c r="C491" s="16" t="str">
        <f>IF(PersonId&lt;&gt;"",_xll.mdValue("Resident Last Name",_xlnm.Database,$A$8),"")</f>
        <v/>
      </c>
      <c r="D491" s="16" t="str">
        <f>IF(PersonId&lt;&gt;"",_xll.mdValue("Person Accomodation Code",_xlnm.Database,$A491),"")</f>
        <v/>
      </c>
      <c r="E491" s="28" t="str">
        <f t="shared" si="14"/>
        <v/>
      </c>
      <c r="F491" s="16" t="str">
        <f>IF('Paste Here'!$A485&lt;&gt;"",'Paste Here'!$A485,"")</f>
        <v/>
      </c>
      <c r="G491" s="16" t="str">
        <f>IF('Paste Here'!$B485&lt;&gt;"",'Paste Here'!$B485,"")</f>
        <v/>
      </c>
      <c r="H491" s="16" t="str">
        <f>IF('Paste Here'!$C485&lt;&gt;"",'Paste Here'!$C485,"")</f>
        <v/>
      </c>
      <c r="I491" s="25" t="str">
        <f>IF('Paste Here'!$D485&lt;&gt;"",'Paste Here'!$D485,"")</f>
        <v/>
      </c>
      <c r="J491" s="27" t="str">
        <f>IF('Paste Here'!$E485&lt;&gt;"",'Paste Here'!$E485,"")</f>
        <v/>
      </c>
      <c r="K491" s="16" t="str">
        <f>IF('Paste Here'!$F485&lt;&gt;"",'Paste Here'!$F485,"")</f>
        <v/>
      </c>
      <c r="L491" s="16" t="str">
        <f>IF('Paste Here'!$G485&lt;&gt;"",'Paste Here'!$G485,"")</f>
        <v/>
      </c>
      <c r="M491" s="18" t="str">
        <f t="shared" si="15"/>
        <v/>
      </c>
    </row>
    <row r="492" spans="1:13" s="17" customFormat="1" x14ac:dyDescent="0.25">
      <c r="A492" s="16" t="str">
        <f>IF(URN&lt;&gt;"",_xll.mdValue("Resident",_xlnm.Database,$F492),"")</f>
        <v/>
      </c>
      <c r="B492" s="16" t="str">
        <f>IF(PersonId&lt;&gt;"",_xll.mdValue("Resident First Name",_xlnm.Database,$A$8),"")</f>
        <v/>
      </c>
      <c r="C492" s="16" t="str">
        <f>IF(PersonId&lt;&gt;"",_xll.mdValue("Resident Last Name",_xlnm.Database,$A$8),"")</f>
        <v/>
      </c>
      <c r="D492" s="16" t="str">
        <f>IF(PersonId&lt;&gt;"",_xll.mdValue("Person Accomodation Code",_xlnm.Database,$A492),"")</f>
        <v/>
      </c>
      <c r="E492" s="28" t="str">
        <f t="shared" si="14"/>
        <v/>
      </c>
      <c r="F492" s="16" t="str">
        <f>IF('Paste Here'!$A486&lt;&gt;"",'Paste Here'!$A486,"")</f>
        <v/>
      </c>
      <c r="G492" s="16" t="str">
        <f>IF('Paste Here'!$B486&lt;&gt;"",'Paste Here'!$B486,"")</f>
        <v/>
      </c>
      <c r="H492" s="16" t="str">
        <f>IF('Paste Here'!$C486&lt;&gt;"",'Paste Here'!$C486,"")</f>
        <v/>
      </c>
      <c r="I492" s="25" t="str">
        <f>IF('Paste Here'!$D486&lt;&gt;"",'Paste Here'!$D486,"")</f>
        <v/>
      </c>
      <c r="J492" s="27" t="str">
        <f>IF('Paste Here'!$E486&lt;&gt;"",'Paste Here'!$E486,"")</f>
        <v/>
      </c>
      <c r="K492" s="16" t="str">
        <f>IF('Paste Here'!$F486&lt;&gt;"",'Paste Here'!$F486,"")</f>
        <v/>
      </c>
      <c r="L492" s="16" t="str">
        <f>IF('Paste Here'!$G486&lt;&gt;"",'Paste Here'!$G486,"")</f>
        <v/>
      </c>
      <c r="M492" s="18" t="str">
        <f t="shared" si="15"/>
        <v/>
      </c>
    </row>
    <row r="493" spans="1:13" s="17" customFormat="1" x14ac:dyDescent="0.25">
      <c r="A493" s="16" t="str">
        <f>IF(URN&lt;&gt;"",_xll.mdValue("Resident",_xlnm.Database,$F493),"")</f>
        <v/>
      </c>
      <c r="B493" s="16" t="str">
        <f>IF(PersonId&lt;&gt;"",_xll.mdValue("Resident First Name",_xlnm.Database,$A$8),"")</f>
        <v/>
      </c>
      <c r="C493" s="16" t="str">
        <f>IF(PersonId&lt;&gt;"",_xll.mdValue("Resident Last Name",_xlnm.Database,$A$8),"")</f>
        <v/>
      </c>
      <c r="D493" s="16" t="str">
        <f>IF(PersonId&lt;&gt;"",_xll.mdValue("Person Accomodation Code",_xlnm.Database,$A493),"")</f>
        <v/>
      </c>
      <c r="E493" s="28" t="str">
        <f t="shared" si="14"/>
        <v/>
      </c>
      <c r="F493" s="16" t="str">
        <f>IF('Paste Here'!$A487&lt;&gt;"",'Paste Here'!$A487,"")</f>
        <v/>
      </c>
      <c r="G493" s="16" t="str">
        <f>IF('Paste Here'!$B487&lt;&gt;"",'Paste Here'!$B487,"")</f>
        <v/>
      </c>
      <c r="H493" s="16" t="str">
        <f>IF('Paste Here'!$C487&lt;&gt;"",'Paste Here'!$C487,"")</f>
        <v/>
      </c>
      <c r="I493" s="25" t="str">
        <f>IF('Paste Here'!$D487&lt;&gt;"",'Paste Here'!$D487,"")</f>
        <v/>
      </c>
      <c r="J493" s="27" t="str">
        <f>IF('Paste Here'!$E487&lt;&gt;"",'Paste Here'!$E487,"")</f>
        <v/>
      </c>
      <c r="K493" s="16" t="str">
        <f>IF('Paste Here'!$F487&lt;&gt;"",'Paste Here'!$F487,"")</f>
        <v/>
      </c>
      <c r="L493" s="16" t="str">
        <f>IF('Paste Here'!$G487&lt;&gt;"",'Paste Here'!$G487,"")</f>
        <v/>
      </c>
      <c r="M493" s="18" t="str">
        <f t="shared" si="15"/>
        <v/>
      </c>
    </row>
    <row r="494" spans="1:13" s="17" customFormat="1" x14ac:dyDescent="0.25">
      <c r="A494" s="16" t="str">
        <f>IF(URN&lt;&gt;"",_xll.mdValue("Resident",_xlnm.Database,$F494),"")</f>
        <v/>
      </c>
      <c r="B494" s="16" t="str">
        <f>IF(PersonId&lt;&gt;"",_xll.mdValue("Resident First Name",_xlnm.Database,$A$8),"")</f>
        <v/>
      </c>
      <c r="C494" s="16" t="str">
        <f>IF(PersonId&lt;&gt;"",_xll.mdValue("Resident Last Name",_xlnm.Database,$A$8),"")</f>
        <v/>
      </c>
      <c r="D494" s="16" t="str">
        <f>IF(PersonId&lt;&gt;"",_xll.mdValue("Person Accomodation Code",_xlnm.Database,$A494),"")</f>
        <v/>
      </c>
      <c r="E494" s="28" t="str">
        <f t="shared" si="14"/>
        <v/>
      </c>
      <c r="F494" s="16" t="str">
        <f>IF('Paste Here'!$A488&lt;&gt;"",'Paste Here'!$A488,"")</f>
        <v/>
      </c>
      <c r="G494" s="16" t="str">
        <f>IF('Paste Here'!$B488&lt;&gt;"",'Paste Here'!$B488,"")</f>
        <v/>
      </c>
      <c r="H494" s="16" t="str">
        <f>IF('Paste Here'!$C488&lt;&gt;"",'Paste Here'!$C488,"")</f>
        <v/>
      </c>
      <c r="I494" s="25" t="str">
        <f>IF('Paste Here'!$D488&lt;&gt;"",'Paste Here'!$D488,"")</f>
        <v/>
      </c>
      <c r="J494" s="27" t="str">
        <f>IF('Paste Here'!$E488&lt;&gt;"",'Paste Here'!$E488,"")</f>
        <v/>
      </c>
      <c r="K494" s="16" t="str">
        <f>IF('Paste Here'!$F488&lt;&gt;"",'Paste Here'!$F488,"")</f>
        <v/>
      </c>
      <c r="L494" s="16" t="str">
        <f>IF('Paste Here'!$G488&lt;&gt;"",'Paste Here'!$G488,"")</f>
        <v/>
      </c>
      <c r="M494" s="18" t="str">
        <f t="shared" si="15"/>
        <v/>
      </c>
    </row>
    <row r="495" spans="1:13" s="17" customFormat="1" x14ac:dyDescent="0.25">
      <c r="A495" s="16" t="str">
        <f>IF(URN&lt;&gt;"",_xll.mdValue("Resident",_xlnm.Database,$F495),"")</f>
        <v/>
      </c>
      <c r="B495" s="16" t="str">
        <f>IF(PersonId&lt;&gt;"",_xll.mdValue("Resident First Name",_xlnm.Database,$A$8),"")</f>
        <v/>
      </c>
      <c r="C495" s="16" t="str">
        <f>IF(PersonId&lt;&gt;"",_xll.mdValue("Resident Last Name",_xlnm.Database,$A$8),"")</f>
        <v/>
      </c>
      <c r="D495" s="16" t="str">
        <f>IF(PersonId&lt;&gt;"",_xll.mdValue("Person Accomodation Code",_xlnm.Database,$A495),"")</f>
        <v/>
      </c>
      <c r="E495" s="28" t="str">
        <f t="shared" si="14"/>
        <v/>
      </c>
      <c r="F495" s="16" t="str">
        <f>IF('Paste Here'!$A489&lt;&gt;"",'Paste Here'!$A489,"")</f>
        <v/>
      </c>
      <c r="G495" s="16" t="str">
        <f>IF('Paste Here'!$B489&lt;&gt;"",'Paste Here'!$B489,"")</f>
        <v/>
      </c>
      <c r="H495" s="16" t="str">
        <f>IF('Paste Here'!$C489&lt;&gt;"",'Paste Here'!$C489,"")</f>
        <v/>
      </c>
      <c r="I495" s="25" t="str">
        <f>IF('Paste Here'!$D489&lt;&gt;"",'Paste Here'!$D489,"")</f>
        <v/>
      </c>
      <c r="J495" s="27" t="str">
        <f>IF('Paste Here'!$E489&lt;&gt;"",'Paste Here'!$E489,"")</f>
        <v/>
      </c>
      <c r="K495" s="16" t="str">
        <f>IF('Paste Here'!$F489&lt;&gt;"",'Paste Here'!$F489,"")</f>
        <v/>
      </c>
      <c r="L495" s="16" t="str">
        <f>IF('Paste Here'!$G489&lt;&gt;"",'Paste Here'!$G489,"")</f>
        <v/>
      </c>
      <c r="M495" s="18" t="str">
        <f t="shared" si="15"/>
        <v/>
      </c>
    </row>
    <row r="496" spans="1:13" s="17" customFormat="1" x14ac:dyDescent="0.25">
      <c r="A496" s="16" t="str">
        <f>IF(URN&lt;&gt;"",_xll.mdValue("Resident",_xlnm.Database,$F496),"")</f>
        <v/>
      </c>
      <c r="B496" s="16" t="str">
        <f>IF(PersonId&lt;&gt;"",_xll.mdValue("Resident First Name",_xlnm.Database,$A$8),"")</f>
        <v/>
      </c>
      <c r="C496" s="16" t="str">
        <f>IF(PersonId&lt;&gt;"",_xll.mdValue("Resident Last Name",_xlnm.Database,$A$8),"")</f>
        <v/>
      </c>
      <c r="D496" s="16" t="str">
        <f>IF(PersonId&lt;&gt;"",_xll.mdValue("Person Accomodation Code",_xlnm.Database,$A496),"")</f>
        <v/>
      </c>
      <c r="E496" s="28" t="str">
        <f t="shared" si="14"/>
        <v/>
      </c>
      <c r="F496" s="16" t="str">
        <f>IF('Paste Here'!$A490&lt;&gt;"",'Paste Here'!$A490,"")</f>
        <v/>
      </c>
      <c r="G496" s="16" t="str">
        <f>IF('Paste Here'!$B490&lt;&gt;"",'Paste Here'!$B490,"")</f>
        <v/>
      </c>
      <c r="H496" s="16" t="str">
        <f>IF('Paste Here'!$C490&lt;&gt;"",'Paste Here'!$C490,"")</f>
        <v/>
      </c>
      <c r="I496" s="25" t="str">
        <f>IF('Paste Here'!$D490&lt;&gt;"",'Paste Here'!$D490,"")</f>
        <v/>
      </c>
      <c r="J496" s="27" t="str">
        <f>IF('Paste Here'!$E490&lt;&gt;"",'Paste Here'!$E490,"")</f>
        <v/>
      </c>
      <c r="K496" s="16" t="str">
        <f>IF('Paste Here'!$F490&lt;&gt;"",'Paste Here'!$F490,"")</f>
        <v/>
      </c>
      <c r="L496" s="16" t="str">
        <f>IF('Paste Here'!$G490&lt;&gt;"",'Paste Here'!$G490,"")</f>
        <v/>
      </c>
      <c r="M496" s="18" t="str">
        <f t="shared" si="15"/>
        <v/>
      </c>
    </row>
    <row r="497" spans="1:13" s="17" customFormat="1" x14ac:dyDescent="0.25">
      <c r="A497" s="16" t="str">
        <f>IF(URN&lt;&gt;"",_xll.mdValue("Resident",_xlnm.Database,$F497),"")</f>
        <v/>
      </c>
      <c r="B497" s="16" t="str">
        <f>IF(PersonId&lt;&gt;"",_xll.mdValue("Resident First Name",_xlnm.Database,$A$8),"")</f>
        <v/>
      </c>
      <c r="C497" s="16" t="str">
        <f>IF(PersonId&lt;&gt;"",_xll.mdValue("Resident Last Name",_xlnm.Database,$A$8),"")</f>
        <v/>
      </c>
      <c r="D497" s="16" t="str">
        <f>IF(PersonId&lt;&gt;"",_xll.mdValue("Person Accomodation Code",_xlnm.Database,$A497),"")</f>
        <v/>
      </c>
      <c r="E497" s="28" t="str">
        <f t="shared" si="14"/>
        <v/>
      </c>
      <c r="F497" s="16" t="str">
        <f>IF('Paste Here'!$A491&lt;&gt;"",'Paste Here'!$A491,"")</f>
        <v/>
      </c>
      <c r="G497" s="16" t="str">
        <f>IF('Paste Here'!$B491&lt;&gt;"",'Paste Here'!$B491,"")</f>
        <v/>
      </c>
      <c r="H497" s="16" t="str">
        <f>IF('Paste Here'!$C491&lt;&gt;"",'Paste Here'!$C491,"")</f>
        <v/>
      </c>
      <c r="I497" s="25" t="str">
        <f>IF('Paste Here'!$D491&lt;&gt;"",'Paste Here'!$D491,"")</f>
        <v/>
      </c>
      <c r="J497" s="27" t="str">
        <f>IF('Paste Here'!$E491&lt;&gt;"",'Paste Here'!$E491,"")</f>
        <v/>
      </c>
      <c r="K497" s="16" t="str">
        <f>IF('Paste Here'!$F491&lt;&gt;"",'Paste Here'!$F491,"")</f>
        <v/>
      </c>
      <c r="L497" s="16" t="str">
        <f>IF('Paste Here'!$G491&lt;&gt;"",'Paste Here'!$G491,"")</f>
        <v/>
      </c>
      <c r="M497" s="18" t="str">
        <f t="shared" si="15"/>
        <v/>
      </c>
    </row>
    <row r="498" spans="1:13" s="17" customFormat="1" x14ac:dyDescent="0.25">
      <c r="A498" s="16" t="str">
        <f>IF(URN&lt;&gt;"",_xll.mdValue("Resident",_xlnm.Database,$F498),"")</f>
        <v/>
      </c>
      <c r="B498" s="16" t="str">
        <f>IF(PersonId&lt;&gt;"",_xll.mdValue("Resident First Name",_xlnm.Database,$A$8),"")</f>
        <v/>
      </c>
      <c r="C498" s="16" t="str">
        <f>IF(PersonId&lt;&gt;"",_xll.mdValue("Resident Last Name",_xlnm.Database,$A$8),"")</f>
        <v/>
      </c>
      <c r="D498" s="16" t="str">
        <f>IF(PersonId&lt;&gt;"",_xll.mdValue("Person Accomodation Code",_xlnm.Database,$A498),"")</f>
        <v/>
      </c>
      <c r="E498" s="28" t="str">
        <f t="shared" si="14"/>
        <v/>
      </c>
      <c r="F498" s="16" t="str">
        <f>IF('Paste Here'!$A492&lt;&gt;"",'Paste Here'!$A492,"")</f>
        <v/>
      </c>
      <c r="G498" s="16" t="str">
        <f>IF('Paste Here'!$B492&lt;&gt;"",'Paste Here'!$B492,"")</f>
        <v/>
      </c>
      <c r="H498" s="16" t="str">
        <f>IF('Paste Here'!$C492&lt;&gt;"",'Paste Here'!$C492,"")</f>
        <v/>
      </c>
      <c r="I498" s="25" t="str">
        <f>IF('Paste Here'!$D492&lt;&gt;"",'Paste Here'!$D492,"")</f>
        <v/>
      </c>
      <c r="J498" s="27" t="str">
        <f>IF('Paste Here'!$E492&lt;&gt;"",'Paste Here'!$E492,"")</f>
        <v/>
      </c>
      <c r="K498" s="16" t="str">
        <f>IF('Paste Here'!$F492&lt;&gt;"",'Paste Here'!$F492,"")</f>
        <v/>
      </c>
      <c r="L498" s="16" t="str">
        <f>IF('Paste Here'!$G492&lt;&gt;"",'Paste Here'!$G492,"")</f>
        <v/>
      </c>
      <c r="M498" s="18" t="str">
        <f t="shared" si="15"/>
        <v/>
      </c>
    </row>
    <row r="499" spans="1:13" s="17" customFormat="1" x14ac:dyDescent="0.25">
      <c r="A499" s="16" t="str">
        <f>IF(URN&lt;&gt;"",_xll.mdValue("Resident",_xlnm.Database,$F499),"")</f>
        <v/>
      </c>
      <c r="B499" s="16" t="str">
        <f>IF(PersonId&lt;&gt;"",_xll.mdValue("Resident First Name",_xlnm.Database,$A$8),"")</f>
        <v/>
      </c>
      <c r="C499" s="16" t="str">
        <f>IF(PersonId&lt;&gt;"",_xll.mdValue("Resident Last Name",_xlnm.Database,$A$8),"")</f>
        <v/>
      </c>
      <c r="D499" s="16" t="str">
        <f>IF(PersonId&lt;&gt;"",_xll.mdValue("Person Accomodation Code",_xlnm.Database,$A499),"")</f>
        <v/>
      </c>
      <c r="E499" s="28" t="str">
        <f t="shared" si="14"/>
        <v/>
      </c>
      <c r="F499" s="16" t="str">
        <f>IF('Paste Here'!$A493&lt;&gt;"",'Paste Here'!$A493,"")</f>
        <v/>
      </c>
      <c r="G499" s="16" t="str">
        <f>IF('Paste Here'!$B493&lt;&gt;"",'Paste Here'!$B493,"")</f>
        <v/>
      </c>
      <c r="H499" s="16" t="str">
        <f>IF('Paste Here'!$C493&lt;&gt;"",'Paste Here'!$C493,"")</f>
        <v/>
      </c>
      <c r="I499" s="25" t="str">
        <f>IF('Paste Here'!$D493&lt;&gt;"",'Paste Here'!$D493,"")</f>
        <v/>
      </c>
      <c r="J499" s="27" t="str">
        <f>IF('Paste Here'!$E493&lt;&gt;"",'Paste Here'!$E493,"")</f>
        <v/>
      </c>
      <c r="K499" s="16" t="str">
        <f>IF('Paste Here'!$F493&lt;&gt;"",'Paste Here'!$F493,"")</f>
        <v/>
      </c>
      <c r="L499" s="16" t="str">
        <f>IF('Paste Here'!$G493&lt;&gt;"",'Paste Here'!$G493,"")</f>
        <v/>
      </c>
      <c r="M499" s="18" t="str">
        <f t="shared" si="15"/>
        <v/>
      </c>
    </row>
    <row r="500" spans="1:13" s="17" customFormat="1" x14ac:dyDescent="0.25">
      <c r="A500" s="16" t="str">
        <f>IF(URN&lt;&gt;"",_xll.mdValue("Resident",_xlnm.Database,$F500),"")</f>
        <v/>
      </c>
      <c r="B500" s="16" t="str">
        <f>IF(PersonId&lt;&gt;"",_xll.mdValue("Resident First Name",_xlnm.Database,$A$8),"")</f>
        <v/>
      </c>
      <c r="C500" s="16" t="str">
        <f>IF(PersonId&lt;&gt;"",_xll.mdValue("Resident Last Name",_xlnm.Database,$A$8),"")</f>
        <v/>
      </c>
      <c r="D500" s="16" t="str">
        <f>IF(PersonId&lt;&gt;"",_xll.mdValue("Person Accomodation Code",_xlnm.Database,$A500),"")</f>
        <v/>
      </c>
      <c r="E500" s="28" t="str">
        <f t="shared" si="14"/>
        <v/>
      </c>
      <c r="F500" s="16" t="str">
        <f>IF('Paste Here'!$A494&lt;&gt;"",'Paste Here'!$A494,"")</f>
        <v/>
      </c>
      <c r="G500" s="16" t="str">
        <f>IF('Paste Here'!$B494&lt;&gt;"",'Paste Here'!$B494,"")</f>
        <v/>
      </c>
      <c r="H500" s="16" t="str">
        <f>IF('Paste Here'!$C494&lt;&gt;"",'Paste Here'!$C494,"")</f>
        <v/>
      </c>
      <c r="I500" s="25" t="str">
        <f>IF('Paste Here'!$D494&lt;&gt;"",'Paste Here'!$D494,"")</f>
        <v/>
      </c>
      <c r="J500" s="27" t="str">
        <f>IF('Paste Here'!$E494&lt;&gt;"",'Paste Here'!$E494,"")</f>
        <v/>
      </c>
      <c r="K500" s="16" t="str">
        <f>IF('Paste Here'!$F494&lt;&gt;"",'Paste Here'!$F494,"")</f>
        <v/>
      </c>
      <c r="L500" s="16" t="str">
        <f>IF('Paste Here'!$G494&lt;&gt;"",'Paste Here'!$G494,"")</f>
        <v/>
      </c>
      <c r="M500" s="18" t="str">
        <f t="shared" si="15"/>
        <v/>
      </c>
    </row>
    <row r="501" spans="1:13" s="17" customFormat="1" x14ac:dyDescent="0.25">
      <c r="A501" s="16" t="str">
        <f>IF(URN&lt;&gt;"",_xll.mdValue("Resident",_xlnm.Database,$F501),"")</f>
        <v/>
      </c>
      <c r="B501" s="16" t="str">
        <f>IF(PersonId&lt;&gt;"",_xll.mdValue("Resident First Name",_xlnm.Database,$A$8),"")</f>
        <v/>
      </c>
      <c r="C501" s="16" t="str">
        <f>IF(PersonId&lt;&gt;"",_xll.mdValue("Resident Last Name",_xlnm.Database,$A$8),"")</f>
        <v/>
      </c>
      <c r="D501" s="16" t="str">
        <f>IF(PersonId&lt;&gt;"",_xll.mdValue("Person Accomodation Code",_xlnm.Database,$A501),"")</f>
        <v/>
      </c>
      <c r="E501" s="28" t="str">
        <f t="shared" si="14"/>
        <v/>
      </c>
      <c r="F501" s="16" t="str">
        <f>IF('Paste Here'!$A495&lt;&gt;"",'Paste Here'!$A495,"")</f>
        <v/>
      </c>
      <c r="G501" s="16" t="str">
        <f>IF('Paste Here'!$B495&lt;&gt;"",'Paste Here'!$B495,"")</f>
        <v/>
      </c>
      <c r="H501" s="16" t="str">
        <f>IF('Paste Here'!$C495&lt;&gt;"",'Paste Here'!$C495,"")</f>
        <v/>
      </c>
      <c r="I501" s="25" t="str">
        <f>IF('Paste Here'!$D495&lt;&gt;"",'Paste Here'!$D495,"")</f>
        <v/>
      </c>
      <c r="J501" s="27" t="str">
        <f>IF('Paste Here'!$E495&lt;&gt;"",'Paste Here'!$E495,"")</f>
        <v/>
      </c>
      <c r="K501" s="16" t="str">
        <f>IF('Paste Here'!$F495&lt;&gt;"",'Paste Here'!$F495,"")</f>
        <v/>
      </c>
      <c r="L501" s="16" t="str">
        <f>IF('Paste Here'!$G495&lt;&gt;"",'Paste Here'!$G495,"")</f>
        <v/>
      </c>
      <c r="M501" s="18" t="str">
        <f t="shared" si="15"/>
        <v/>
      </c>
    </row>
    <row r="502" spans="1:13" s="17" customFormat="1" x14ac:dyDescent="0.25">
      <c r="A502" s="16" t="str">
        <f>IF(URN&lt;&gt;"",_xll.mdValue("Resident",_xlnm.Database,$F502),"")</f>
        <v/>
      </c>
      <c r="B502" s="16" t="str">
        <f>IF(PersonId&lt;&gt;"",_xll.mdValue("Resident First Name",_xlnm.Database,$A$8),"")</f>
        <v/>
      </c>
      <c r="C502" s="16" t="str">
        <f>IF(PersonId&lt;&gt;"",_xll.mdValue("Resident Last Name",_xlnm.Database,$A$8),"")</f>
        <v/>
      </c>
      <c r="D502" s="16" t="str">
        <f>IF(PersonId&lt;&gt;"",_xll.mdValue("Person Accomodation Code",_xlnm.Database,$A502),"")</f>
        <v/>
      </c>
      <c r="E502" s="28" t="str">
        <f t="shared" si="14"/>
        <v/>
      </c>
      <c r="F502" s="16" t="str">
        <f>IF('Paste Here'!$A496&lt;&gt;"",'Paste Here'!$A496,"")</f>
        <v/>
      </c>
      <c r="G502" s="16" t="str">
        <f>IF('Paste Here'!$B496&lt;&gt;"",'Paste Here'!$B496,"")</f>
        <v/>
      </c>
      <c r="H502" s="16" t="str">
        <f>IF('Paste Here'!$C496&lt;&gt;"",'Paste Here'!$C496,"")</f>
        <v/>
      </c>
      <c r="I502" s="25" t="str">
        <f>IF('Paste Here'!$D496&lt;&gt;"",'Paste Here'!$D496,"")</f>
        <v/>
      </c>
      <c r="J502" s="27" t="str">
        <f>IF('Paste Here'!$E496&lt;&gt;"",'Paste Here'!$E496,"")</f>
        <v/>
      </c>
      <c r="K502" s="16" t="str">
        <f>IF('Paste Here'!$F496&lt;&gt;"",'Paste Here'!$F496,"")</f>
        <v/>
      </c>
      <c r="L502" s="16" t="str">
        <f>IF('Paste Here'!$G496&lt;&gt;"",'Paste Here'!$G496,"")</f>
        <v/>
      </c>
      <c r="M502" s="18" t="str">
        <f t="shared" si="15"/>
        <v/>
      </c>
    </row>
    <row r="503" spans="1:13" s="17" customFormat="1" x14ac:dyDescent="0.25">
      <c r="A503" s="16" t="str">
        <f>IF(URN&lt;&gt;"",_xll.mdValue("Resident",_xlnm.Database,$F503),"")</f>
        <v/>
      </c>
      <c r="B503" s="16" t="str">
        <f>IF(PersonId&lt;&gt;"",_xll.mdValue("Resident First Name",_xlnm.Database,$A$8),"")</f>
        <v/>
      </c>
      <c r="C503" s="16" t="str">
        <f>IF(PersonId&lt;&gt;"",_xll.mdValue("Resident Last Name",_xlnm.Database,$A$8),"")</f>
        <v/>
      </c>
      <c r="D503" s="16" t="str">
        <f>IF(PersonId&lt;&gt;"",_xll.mdValue("Person Accomodation Code",_xlnm.Database,$A503),"")</f>
        <v/>
      </c>
      <c r="E503" s="28" t="str">
        <f t="shared" si="14"/>
        <v/>
      </c>
      <c r="F503" s="16" t="str">
        <f>IF('Paste Here'!$A497&lt;&gt;"",'Paste Here'!$A497,"")</f>
        <v/>
      </c>
      <c r="G503" s="16" t="str">
        <f>IF('Paste Here'!$B497&lt;&gt;"",'Paste Here'!$B497,"")</f>
        <v/>
      </c>
      <c r="H503" s="16" t="str">
        <f>IF('Paste Here'!$C497&lt;&gt;"",'Paste Here'!$C497,"")</f>
        <v/>
      </c>
      <c r="I503" s="25" t="str">
        <f>IF('Paste Here'!$D497&lt;&gt;"",'Paste Here'!$D497,"")</f>
        <v/>
      </c>
      <c r="J503" s="27" t="str">
        <f>IF('Paste Here'!$E497&lt;&gt;"",'Paste Here'!$E497,"")</f>
        <v/>
      </c>
      <c r="K503" s="16" t="str">
        <f>IF('Paste Here'!$F497&lt;&gt;"",'Paste Here'!$F497,"")</f>
        <v/>
      </c>
      <c r="L503" s="16" t="str">
        <f>IF('Paste Here'!$G497&lt;&gt;"",'Paste Here'!$G497,"")</f>
        <v/>
      </c>
      <c r="M503" s="18" t="str">
        <f t="shared" si="15"/>
        <v/>
      </c>
    </row>
    <row r="504" spans="1:13" s="17" customFormat="1" x14ac:dyDescent="0.25">
      <c r="A504" s="16" t="str">
        <f>IF(URN&lt;&gt;"",_xll.mdValue("Resident",_xlnm.Database,$F504),"")</f>
        <v/>
      </c>
      <c r="B504" s="16" t="str">
        <f>IF(PersonId&lt;&gt;"",_xll.mdValue("Resident First Name",_xlnm.Database,$A$8),"")</f>
        <v/>
      </c>
      <c r="C504" s="16" t="str">
        <f>IF(PersonId&lt;&gt;"",_xll.mdValue("Resident Last Name",_xlnm.Database,$A$8),"")</f>
        <v/>
      </c>
      <c r="D504" s="16" t="str">
        <f>IF(PersonId&lt;&gt;"",_xll.mdValue("Person Accomodation Code",_xlnm.Database,$A504),"")</f>
        <v/>
      </c>
      <c r="E504" s="28" t="str">
        <f t="shared" si="14"/>
        <v/>
      </c>
      <c r="F504" s="16" t="str">
        <f>IF('Paste Here'!$A498&lt;&gt;"",'Paste Here'!$A498,"")</f>
        <v/>
      </c>
      <c r="G504" s="16" t="str">
        <f>IF('Paste Here'!$B498&lt;&gt;"",'Paste Here'!$B498,"")</f>
        <v/>
      </c>
      <c r="H504" s="16" t="str">
        <f>IF('Paste Here'!$C498&lt;&gt;"",'Paste Here'!$C498,"")</f>
        <v/>
      </c>
      <c r="I504" s="25" t="str">
        <f>IF('Paste Here'!$D498&lt;&gt;"",'Paste Here'!$D498,"")</f>
        <v/>
      </c>
      <c r="J504" s="27" t="str">
        <f>IF('Paste Here'!$E498&lt;&gt;"",'Paste Here'!$E498,"")</f>
        <v/>
      </c>
      <c r="K504" s="16" t="str">
        <f>IF('Paste Here'!$F498&lt;&gt;"",'Paste Here'!$F498,"")</f>
        <v/>
      </c>
      <c r="L504" s="16" t="str">
        <f>IF('Paste Here'!$G498&lt;&gt;"",'Paste Here'!$G498,"")</f>
        <v/>
      </c>
      <c r="M504" s="18" t="str">
        <f t="shared" si="15"/>
        <v/>
      </c>
    </row>
    <row r="505" spans="1:13" s="17" customFormat="1" x14ac:dyDescent="0.25">
      <c r="A505" s="16" t="str">
        <f>IF(URN&lt;&gt;"",_xll.mdValue("Resident",_xlnm.Database,$F505),"")</f>
        <v/>
      </c>
      <c r="B505" s="16" t="str">
        <f>IF(PersonId&lt;&gt;"",_xll.mdValue("Resident First Name",_xlnm.Database,$A$8),"")</f>
        <v/>
      </c>
      <c r="C505" s="16" t="str">
        <f>IF(PersonId&lt;&gt;"",_xll.mdValue("Resident Last Name",_xlnm.Database,$A$8),"")</f>
        <v/>
      </c>
      <c r="D505" s="16" t="str">
        <f>IF(PersonId&lt;&gt;"",_xll.mdValue("Person Accomodation Code",_xlnm.Database,$A505),"")</f>
        <v/>
      </c>
      <c r="E505" s="28" t="str">
        <f t="shared" si="14"/>
        <v/>
      </c>
      <c r="F505" s="16" t="str">
        <f>IF('Paste Here'!$A499&lt;&gt;"",'Paste Here'!$A499,"")</f>
        <v/>
      </c>
      <c r="G505" s="16" t="str">
        <f>IF('Paste Here'!$B499&lt;&gt;"",'Paste Here'!$B499,"")</f>
        <v/>
      </c>
      <c r="H505" s="16" t="str">
        <f>IF('Paste Here'!$C499&lt;&gt;"",'Paste Here'!$C499,"")</f>
        <v/>
      </c>
      <c r="I505" s="25" t="str">
        <f>IF('Paste Here'!$D499&lt;&gt;"",'Paste Here'!$D499,"")</f>
        <v/>
      </c>
      <c r="J505" s="27" t="str">
        <f>IF('Paste Here'!$E499&lt;&gt;"",'Paste Here'!$E499,"")</f>
        <v/>
      </c>
      <c r="K505" s="16" t="str">
        <f>IF('Paste Here'!$F499&lt;&gt;"",'Paste Here'!$F499,"")</f>
        <v/>
      </c>
      <c r="L505" s="16" t="str">
        <f>IF('Paste Here'!$G499&lt;&gt;"",'Paste Here'!$G499,"")</f>
        <v/>
      </c>
      <c r="M505" s="18" t="str">
        <f t="shared" si="15"/>
        <v/>
      </c>
    </row>
    <row r="506" spans="1:13" s="17" customFormat="1" x14ac:dyDescent="0.25">
      <c r="A506" s="16" t="str">
        <f>IF(URN&lt;&gt;"",_xll.mdValue("Resident",_xlnm.Database,$F506),"")</f>
        <v/>
      </c>
      <c r="B506" s="16" t="str">
        <f>IF(PersonId&lt;&gt;"",_xll.mdValue("Resident First Name",_xlnm.Database,$A$8),"")</f>
        <v/>
      </c>
      <c r="C506" s="16" t="str">
        <f>IF(PersonId&lt;&gt;"",_xll.mdValue("Resident Last Name",_xlnm.Database,$A$8),"")</f>
        <v/>
      </c>
      <c r="D506" s="16" t="str">
        <f>IF(PersonId&lt;&gt;"",_xll.mdValue("Person Accomodation Code",_xlnm.Database,$A506),"")</f>
        <v/>
      </c>
      <c r="E506" s="28" t="str">
        <f t="shared" si="14"/>
        <v/>
      </c>
      <c r="F506" s="16" t="str">
        <f>IF('Paste Here'!$A500&lt;&gt;"",'Paste Here'!$A500,"")</f>
        <v/>
      </c>
      <c r="G506" s="16" t="str">
        <f>IF('Paste Here'!$B500&lt;&gt;"",'Paste Here'!$B500,"")</f>
        <v/>
      </c>
      <c r="H506" s="16" t="str">
        <f>IF('Paste Here'!$C500&lt;&gt;"",'Paste Here'!$C500,"")</f>
        <v/>
      </c>
      <c r="I506" s="25" t="str">
        <f>IF('Paste Here'!$D500&lt;&gt;"",'Paste Here'!$D500,"")</f>
        <v/>
      </c>
      <c r="J506" s="27" t="str">
        <f>IF('Paste Here'!$E500&lt;&gt;"",'Paste Here'!$E500,"")</f>
        <v/>
      </c>
      <c r="K506" s="16" t="str">
        <f>IF('Paste Here'!$F500&lt;&gt;"",'Paste Here'!$F500,"")</f>
        <v/>
      </c>
      <c r="L506" s="16" t="str">
        <f>IF('Paste Here'!$G500&lt;&gt;"",'Paste Here'!$G500,"")</f>
        <v/>
      </c>
      <c r="M506" s="18" t="str">
        <f t="shared" si="15"/>
        <v/>
      </c>
    </row>
    <row r="507" spans="1:13" s="17" customFormat="1" x14ac:dyDescent="0.25">
      <c r="A507" s="16" t="str">
        <f>IF(URN&lt;&gt;"",_xll.mdValue("Resident",_xlnm.Database,$F507),"")</f>
        <v/>
      </c>
      <c r="B507" s="16" t="str">
        <f>IF(PersonId&lt;&gt;"",_xll.mdValue("Resident First Name",_xlnm.Database,$A$8),"")</f>
        <v/>
      </c>
      <c r="C507" s="16" t="str">
        <f>IF(PersonId&lt;&gt;"",_xll.mdValue("Resident Last Name",_xlnm.Database,$A$8),"")</f>
        <v/>
      </c>
      <c r="D507" s="16" t="str">
        <f>IF(PersonId&lt;&gt;"",_xll.mdValue("Person Accomodation Code",_xlnm.Database,$A507),"")</f>
        <v/>
      </c>
      <c r="E507" s="28" t="str">
        <f t="shared" si="14"/>
        <v/>
      </c>
      <c r="F507" s="16" t="str">
        <f>IF('Paste Here'!$A501&lt;&gt;"",'Paste Here'!$A501,"")</f>
        <v/>
      </c>
      <c r="G507" s="16" t="str">
        <f>IF('Paste Here'!$B501&lt;&gt;"",'Paste Here'!$B501,"")</f>
        <v/>
      </c>
      <c r="H507" s="16" t="str">
        <f>IF('Paste Here'!$C501&lt;&gt;"",'Paste Here'!$C501,"")</f>
        <v/>
      </c>
      <c r="I507" s="25" t="str">
        <f>IF('Paste Here'!$D501&lt;&gt;"",'Paste Here'!$D501,"")</f>
        <v/>
      </c>
      <c r="J507" s="27" t="str">
        <f>IF('Paste Here'!$E501&lt;&gt;"",'Paste Here'!$E501,"")</f>
        <v/>
      </c>
      <c r="K507" s="16" t="str">
        <f>IF('Paste Here'!$F501&lt;&gt;"",'Paste Here'!$F501,"")</f>
        <v/>
      </c>
      <c r="L507" s="16" t="str">
        <f>IF('Paste Here'!$G501&lt;&gt;"",'Paste Here'!$G501,"")</f>
        <v/>
      </c>
      <c r="M507" s="18" t="str">
        <f t="shared" si="15"/>
        <v/>
      </c>
    </row>
    <row r="508" spans="1:13" s="17" customFormat="1" x14ac:dyDescent="0.25">
      <c r="A508" s="16" t="str">
        <f>IF(URN&lt;&gt;"",_xll.mdValue("Resident",_xlnm.Database,$F508),"")</f>
        <v/>
      </c>
      <c r="B508" s="16" t="str">
        <f>IF(PersonId&lt;&gt;"",_xll.mdValue("Resident First Name",_xlnm.Database,$A$8),"")</f>
        <v/>
      </c>
      <c r="C508" s="16" t="str">
        <f>IF(PersonId&lt;&gt;"",_xll.mdValue("Resident Last Name",_xlnm.Database,$A$8),"")</f>
        <v/>
      </c>
      <c r="D508" s="16" t="str">
        <f>IF(PersonId&lt;&gt;"",_xll.mdValue("Person Accomodation Code",_xlnm.Database,$A508),"")</f>
        <v/>
      </c>
      <c r="E508" s="28" t="str">
        <f t="shared" si="14"/>
        <v/>
      </c>
      <c r="F508" s="16" t="str">
        <f>IF('Paste Here'!$A502&lt;&gt;"",'Paste Here'!$A502,"")</f>
        <v/>
      </c>
      <c r="G508" s="16" t="str">
        <f>IF('Paste Here'!$B502&lt;&gt;"",'Paste Here'!$B502,"")</f>
        <v/>
      </c>
      <c r="H508" s="16" t="str">
        <f>IF('Paste Here'!$C502&lt;&gt;"",'Paste Here'!$C502,"")</f>
        <v/>
      </c>
      <c r="I508" s="25" t="str">
        <f>IF('Paste Here'!$D502&lt;&gt;"",'Paste Here'!$D502,"")</f>
        <v/>
      </c>
      <c r="J508" s="27" t="str">
        <f>IF('Paste Here'!$E502&lt;&gt;"",'Paste Here'!$E502,"")</f>
        <v/>
      </c>
      <c r="K508" s="16" t="str">
        <f>IF('Paste Here'!$F502&lt;&gt;"",'Paste Here'!$F502,"")</f>
        <v/>
      </c>
      <c r="L508" s="16" t="str">
        <f>IF('Paste Here'!$G502&lt;&gt;"",'Paste Here'!$G502,"")</f>
        <v/>
      </c>
      <c r="M508" s="18" t="str">
        <f t="shared" si="15"/>
        <v/>
      </c>
    </row>
    <row r="509" spans="1:13" s="17" customFormat="1" x14ac:dyDescent="0.25">
      <c r="A509" s="16" t="str">
        <f>IF(URN&lt;&gt;"",_xll.mdValue("Resident",_xlnm.Database,$F509),"")</f>
        <v/>
      </c>
      <c r="B509" s="16" t="str">
        <f>IF(PersonId&lt;&gt;"",_xll.mdValue("Resident First Name",_xlnm.Database,$A$8),"")</f>
        <v/>
      </c>
      <c r="C509" s="16" t="str">
        <f>IF(PersonId&lt;&gt;"",_xll.mdValue("Resident Last Name",_xlnm.Database,$A$8),"")</f>
        <v/>
      </c>
      <c r="D509" s="16" t="str">
        <f>IF(PersonId&lt;&gt;"",_xll.mdValue("Person Accomodation Code",_xlnm.Database,$A509),"")</f>
        <v/>
      </c>
      <c r="E509" s="28" t="str">
        <f t="shared" si="14"/>
        <v/>
      </c>
      <c r="F509" s="16" t="str">
        <f>IF('Paste Here'!$A503&lt;&gt;"",'Paste Here'!$A503,"")</f>
        <v/>
      </c>
      <c r="G509" s="16" t="str">
        <f>IF('Paste Here'!$B503&lt;&gt;"",'Paste Here'!$B503,"")</f>
        <v/>
      </c>
      <c r="H509" s="16" t="str">
        <f>IF('Paste Here'!$C503&lt;&gt;"",'Paste Here'!$C503,"")</f>
        <v/>
      </c>
      <c r="I509" s="25" t="str">
        <f>IF('Paste Here'!$D503&lt;&gt;"",'Paste Here'!$D503,"")</f>
        <v/>
      </c>
      <c r="J509" s="27" t="str">
        <f>IF('Paste Here'!$E503&lt;&gt;"",'Paste Here'!$E503,"")</f>
        <v/>
      </c>
      <c r="K509" s="16" t="str">
        <f>IF('Paste Here'!$F503&lt;&gt;"",'Paste Here'!$F503,"")</f>
        <v/>
      </c>
      <c r="L509" s="16" t="str">
        <f>IF('Paste Here'!$G503&lt;&gt;"",'Paste Here'!$G503,"")</f>
        <v/>
      </c>
      <c r="M509" s="18" t="str">
        <f t="shared" si="15"/>
        <v/>
      </c>
    </row>
    <row r="510" spans="1:13" s="17" customFormat="1" x14ac:dyDescent="0.25">
      <c r="A510" s="16" t="str">
        <f>IF(URN&lt;&gt;"",_xll.mdValue("Resident",_xlnm.Database,$F510),"")</f>
        <v/>
      </c>
      <c r="B510" s="16" t="str">
        <f>IF(PersonId&lt;&gt;"",_xll.mdValue("Resident First Name",_xlnm.Database,$A$8),"")</f>
        <v/>
      </c>
      <c r="C510" s="16" t="str">
        <f>IF(PersonId&lt;&gt;"",_xll.mdValue("Resident Last Name",_xlnm.Database,$A$8),"")</f>
        <v/>
      </c>
      <c r="D510" s="16" t="str">
        <f>IF(PersonId&lt;&gt;"",_xll.mdValue("Person Accomodation Code",_xlnm.Database,$A510),"")</f>
        <v/>
      </c>
      <c r="E510" s="28" t="str">
        <f t="shared" si="14"/>
        <v/>
      </c>
      <c r="F510" s="16" t="str">
        <f>IF('Paste Here'!$A504&lt;&gt;"",'Paste Here'!$A504,"")</f>
        <v/>
      </c>
      <c r="G510" s="16" t="str">
        <f>IF('Paste Here'!$B504&lt;&gt;"",'Paste Here'!$B504,"")</f>
        <v/>
      </c>
      <c r="H510" s="16" t="str">
        <f>IF('Paste Here'!$C504&lt;&gt;"",'Paste Here'!$C504,"")</f>
        <v/>
      </c>
      <c r="I510" s="25" t="str">
        <f>IF('Paste Here'!$D504&lt;&gt;"",'Paste Here'!$D504,"")</f>
        <v/>
      </c>
      <c r="J510" s="27" t="str">
        <f>IF('Paste Here'!$E504&lt;&gt;"",'Paste Here'!$E504,"")</f>
        <v/>
      </c>
      <c r="K510" s="16" t="str">
        <f>IF('Paste Here'!$F504&lt;&gt;"",'Paste Here'!$F504,"")</f>
        <v/>
      </c>
      <c r="L510" s="16" t="str">
        <f>IF('Paste Here'!$G504&lt;&gt;"",'Paste Here'!$G504,"")</f>
        <v/>
      </c>
      <c r="M510" s="18" t="str">
        <f t="shared" si="15"/>
        <v/>
      </c>
    </row>
    <row r="511" spans="1:13" s="17" customFormat="1" x14ac:dyDescent="0.25">
      <c r="A511" s="16" t="str">
        <f>IF(URN&lt;&gt;"",_xll.mdValue("Resident",_xlnm.Database,$F511),"")</f>
        <v/>
      </c>
      <c r="B511" s="16" t="str">
        <f>IF(PersonId&lt;&gt;"",_xll.mdValue("Resident First Name",_xlnm.Database,$A$8),"")</f>
        <v/>
      </c>
      <c r="C511" s="16" t="str">
        <f>IF(PersonId&lt;&gt;"",_xll.mdValue("Resident Last Name",_xlnm.Database,$A$8),"")</f>
        <v/>
      </c>
      <c r="D511" s="16" t="str">
        <f>IF(PersonId&lt;&gt;"",_xll.mdValue("Person Accomodation Code",_xlnm.Database,$A511),"")</f>
        <v/>
      </c>
      <c r="E511" s="28" t="str">
        <f t="shared" si="14"/>
        <v/>
      </c>
      <c r="F511" s="16" t="str">
        <f>IF('Paste Here'!$A505&lt;&gt;"",'Paste Here'!$A505,"")</f>
        <v/>
      </c>
      <c r="G511" s="16" t="str">
        <f>IF('Paste Here'!$B505&lt;&gt;"",'Paste Here'!$B505,"")</f>
        <v/>
      </c>
      <c r="H511" s="16" t="str">
        <f>IF('Paste Here'!$C505&lt;&gt;"",'Paste Here'!$C505,"")</f>
        <v/>
      </c>
      <c r="I511" s="25" t="str">
        <f>IF('Paste Here'!$D505&lt;&gt;"",'Paste Here'!$D505,"")</f>
        <v/>
      </c>
      <c r="J511" s="27" t="str">
        <f>IF('Paste Here'!$E505&lt;&gt;"",'Paste Here'!$E505,"")</f>
        <v/>
      </c>
      <c r="K511" s="16" t="str">
        <f>IF('Paste Here'!$F505&lt;&gt;"",'Paste Here'!$F505,"")</f>
        <v/>
      </c>
      <c r="L511" s="16" t="str">
        <f>IF('Paste Here'!$G505&lt;&gt;"",'Paste Here'!$G505,"")</f>
        <v/>
      </c>
      <c r="M511" s="18" t="str">
        <f t="shared" si="15"/>
        <v/>
      </c>
    </row>
    <row r="512" spans="1:13" s="17" customFormat="1" x14ac:dyDescent="0.25">
      <c r="A512" s="16" t="str">
        <f>IF(URN&lt;&gt;"",_xll.mdValue("Resident",_xlnm.Database,$F512),"")</f>
        <v/>
      </c>
      <c r="B512" s="16" t="str">
        <f>IF(PersonId&lt;&gt;"",_xll.mdValue("Resident First Name",_xlnm.Database,$A$8),"")</f>
        <v/>
      </c>
      <c r="C512" s="16" t="str">
        <f>IF(PersonId&lt;&gt;"",_xll.mdValue("Resident Last Name",_xlnm.Database,$A$8),"")</f>
        <v/>
      </c>
      <c r="D512" s="16" t="str">
        <f>IF(PersonId&lt;&gt;"",_xll.mdValue("Person Accomodation Code",_xlnm.Database,$A512),"")</f>
        <v/>
      </c>
      <c r="E512" s="28" t="str">
        <f t="shared" si="14"/>
        <v/>
      </c>
      <c r="F512" s="16" t="str">
        <f>IF('Paste Here'!$A506&lt;&gt;"",'Paste Here'!$A506,"")</f>
        <v/>
      </c>
      <c r="G512" s="16" t="str">
        <f>IF('Paste Here'!$B506&lt;&gt;"",'Paste Here'!$B506,"")</f>
        <v/>
      </c>
      <c r="H512" s="16" t="str">
        <f>IF('Paste Here'!$C506&lt;&gt;"",'Paste Here'!$C506,"")</f>
        <v/>
      </c>
      <c r="I512" s="25" t="str">
        <f>IF('Paste Here'!$D506&lt;&gt;"",'Paste Here'!$D506,"")</f>
        <v/>
      </c>
      <c r="J512" s="27" t="str">
        <f>IF('Paste Here'!$E506&lt;&gt;"",'Paste Here'!$E506,"")</f>
        <v/>
      </c>
      <c r="K512" s="16" t="str">
        <f>IF('Paste Here'!$F506&lt;&gt;"",'Paste Here'!$F506,"")</f>
        <v/>
      </c>
      <c r="L512" s="16" t="str">
        <f>IF('Paste Here'!$G506&lt;&gt;"",'Paste Here'!$G506,"")</f>
        <v/>
      </c>
      <c r="M512" s="18" t="str">
        <f t="shared" si="15"/>
        <v/>
      </c>
    </row>
    <row r="513" spans="1:13" s="17" customFormat="1" x14ac:dyDescent="0.25">
      <c r="A513" s="16" t="str">
        <f>IF(URN&lt;&gt;"",_xll.mdValue("Resident",_xlnm.Database,$F513),"")</f>
        <v/>
      </c>
      <c r="B513" s="16" t="str">
        <f>IF(PersonId&lt;&gt;"",_xll.mdValue("Resident First Name",_xlnm.Database,$A$8),"")</f>
        <v/>
      </c>
      <c r="C513" s="16" t="str">
        <f>IF(PersonId&lt;&gt;"",_xll.mdValue("Resident Last Name",_xlnm.Database,$A$8),"")</f>
        <v/>
      </c>
      <c r="D513" s="16" t="str">
        <f>IF(PersonId&lt;&gt;"",_xll.mdValue("Person Accomodation Code",_xlnm.Database,$A513),"")</f>
        <v/>
      </c>
      <c r="E513" s="28" t="str">
        <f t="shared" si="14"/>
        <v/>
      </c>
      <c r="F513" s="16" t="str">
        <f>IF('Paste Here'!$A507&lt;&gt;"",'Paste Here'!$A507,"")</f>
        <v/>
      </c>
      <c r="G513" s="16" t="str">
        <f>IF('Paste Here'!$B507&lt;&gt;"",'Paste Here'!$B507,"")</f>
        <v/>
      </c>
      <c r="H513" s="16" t="str">
        <f>IF('Paste Here'!$C507&lt;&gt;"",'Paste Here'!$C507,"")</f>
        <v/>
      </c>
      <c r="I513" s="25" t="str">
        <f>IF('Paste Here'!$D507&lt;&gt;"",'Paste Here'!$D507,"")</f>
        <v/>
      </c>
      <c r="J513" s="27" t="str">
        <f>IF('Paste Here'!$E507&lt;&gt;"",'Paste Here'!$E507,"")</f>
        <v/>
      </c>
      <c r="K513" s="16" t="str">
        <f>IF('Paste Here'!$F507&lt;&gt;"",'Paste Here'!$F507,"")</f>
        <v/>
      </c>
      <c r="L513" s="16" t="str">
        <f>IF('Paste Here'!$G507&lt;&gt;"",'Paste Here'!$G507,"")</f>
        <v/>
      </c>
      <c r="M513" s="18" t="str">
        <f t="shared" si="15"/>
        <v/>
      </c>
    </row>
    <row r="514" spans="1:13" s="17" customFormat="1" x14ac:dyDescent="0.25">
      <c r="A514" s="16" t="str">
        <f>IF(URN&lt;&gt;"",_xll.mdValue("Resident",_xlnm.Database,$F514),"")</f>
        <v/>
      </c>
      <c r="B514" s="16" t="str">
        <f>IF(PersonId&lt;&gt;"",_xll.mdValue("Resident First Name",_xlnm.Database,$A$8),"")</f>
        <v/>
      </c>
      <c r="C514" s="16" t="str">
        <f>IF(PersonId&lt;&gt;"",_xll.mdValue("Resident Last Name",_xlnm.Database,$A$8),"")</f>
        <v/>
      </c>
      <c r="D514" s="16" t="str">
        <f>IF(PersonId&lt;&gt;"",_xll.mdValue("Person Accomodation Code",_xlnm.Database,$A514),"")</f>
        <v/>
      </c>
      <c r="E514" s="28" t="str">
        <f t="shared" si="14"/>
        <v/>
      </c>
      <c r="F514" s="16" t="str">
        <f>IF('Paste Here'!$A508&lt;&gt;"",'Paste Here'!$A508,"")</f>
        <v/>
      </c>
      <c r="G514" s="16" t="str">
        <f>IF('Paste Here'!$B508&lt;&gt;"",'Paste Here'!$B508,"")</f>
        <v/>
      </c>
      <c r="H514" s="16" t="str">
        <f>IF('Paste Here'!$C508&lt;&gt;"",'Paste Here'!$C508,"")</f>
        <v/>
      </c>
      <c r="I514" s="25" t="str">
        <f>IF('Paste Here'!$D508&lt;&gt;"",'Paste Here'!$D508,"")</f>
        <v/>
      </c>
      <c r="J514" s="27" t="str">
        <f>IF('Paste Here'!$E508&lt;&gt;"",'Paste Here'!$E508,"")</f>
        <v/>
      </c>
      <c r="K514" s="16" t="str">
        <f>IF('Paste Here'!$F508&lt;&gt;"",'Paste Here'!$F508,"")</f>
        <v/>
      </c>
      <c r="L514" s="16" t="str">
        <f>IF('Paste Here'!$G508&lt;&gt;"",'Paste Here'!$G508,"")</f>
        <v/>
      </c>
      <c r="M514" s="18" t="str">
        <f t="shared" si="15"/>
        <v/>
      </c>
    </row>
    <row r="515" spans="1:13" s="17" customFormat="1" x14ac:dyDescent="0.25">
      <c r="A515" s="16" t="str">
        <f>IF(URN&lt;&gt;"",_xll.mdValue("Resident",_xlnm.Database,$F515),"")</f>
        <v/>
      </c>
      <c r="B515" s="16" t="str">
        <f>IF(PersonId&lt;&gt;"",_xll.mdValue("Resident First Name",_xlnm.Database,$A$8),"")</f>
        <v/>
      </c>
      <c r="C515" s="16" t="str">
        <f>IF(PersonId&lt;&gt;"",_xll.mdValue("Resident Last Name",_xlnm.Database,$A$8),"")</f>
        <v/>
      </c>
      <c r="D515" s="16" t="str">
        <f>IF(PersonId&lt;&gt;"",_xll.mdValue("Person Accomodation Code",_xlnm.Database,$A515),"")</f>
        <v/>
      </c>
      <c r="E515" s="28" t="str">
        <f t="shared" si="14"/>
        <v/>
      </c>
      <c r="F515" s="16" t="str">
        <f>IF('Paste Here'!$A509&lt;&gt;"",'Paste Here'!$A509,"")</f>
        <v/>
      </c>
      <c r="G515" s="16" t="str">
        <f>IF('Paste Here'!$B509&lt;&gt;"",'Paste Here'!$B509,"")</f>
        <v/>
      </c>
      <c r="H515" s="16" t="str">
        <f>IF('Paste Here'!$C509&lt;&gt;"",'Paste Here'!$C509,"")</f>
        <v/>
      </c>
      <c r="I515" s="25" t="str">
        <f>IF('Paste Here'!$D509&lt;&gt;"",'Paste Here'!$D509,"")</f>
        <v/>
      </c>
      <c r="J515" s="27" t="str">
        <f>IF('Paste Here'!$E509&lt;&gt;"",'Paste Here'!$E509,"")</f>
        <v/>
      </c>
      <c r="K515" s="16" t="str">
        <f>IF('Paste Here'!$F509&lt;&gt;"",'Paste Here'!$F509,"")</f>
        <v/>
      </c>
      <c r="L515" s="16" t="str">
        <f>IF('Paste Here'!$G509&lt;&gt;"",'Paste Here'!$G509,"")</f>
        <v/>
      </c>
      <c r="M515" s="18" t="str">
        <f t="shared" si="15"/>
        <v/>
      </c>
    </row>
    <row r="516" spans="1:13" s="17" customFormat="1" x14ac:dyDescent="0.25">
      <c r="A516" s="16" t="str">
        <f>IF(URN&lt;&gt;"",_xll.mdValue("Resident",_xlnm.Database,$F516),"")</f>
        <v/>
      </c>
      <c r="B516" s="16" t="str">
        <f>IF(PersonId&lt;&gt;"",_xll.mdValue("Resident First Name",_xlnm.Database,$A$8),"")</f>
        <v/>
      </c>
      <c r="C516" s="16" t="str">
        <f>IF(PersonId&lt;&gt;"",_xll.mdValue("Resident Last Name",_xlnm.Database,$A$8),"")</f>
        <v/>
      </c>
      <c r="D516" s="16" t="str">
        <f>IF(PersonId&lt;&gt;"",_xll.mdValue("Person Accomodation Code",_xlnm.Database,$A516),"")</f>
        <v/>
      </c>
      <c r="E516" s="28" t="str">
        <f t="shared" si="14"/>
        <v/>
      </c>
      <c r="F516" s="16" t="str">
        <f>IF('Paste Here'!$A510&lt;&gt;"",'Paste Here'!$A510,"")</f>
        <v/>
      </c>
      <c r="G516" s="16" t="str">
        <f>IF('Paste Here'!$B510&lt;&gt;"",'Paste Here'!$B510,"")</f>
        <v/>
      </c>
      <c r="H516" s="16" t="str">
        <f>IF('Paste Here'!$C510&lt;&gt;"",'Paste Here'!$C510,"")</f>
        <v/>
      </c>
      <c r="I516" s="25" t="str">
        <f>IF('Paste Here'!$D510&lt;&gt;"",'Paste Here'!$D510,"")</f>
        <v/>
      </c>
      <c r="J516" s="27" t="str">
        <f>IF('Paste Here'!$E510&lt;&gt;"",'Paste Here'!$E510,"")</f>
        <v/>
      </c>
      <c r="K516" s="16" t="str">
        <f>IF('Paste Here'!$F510&lt;&gt;"",'Paste Here'!$F510,"")</f>
        <v/>
      </c>
      <c r="L516" s="16" t="str">
        <f>IF('Paste Here'!$G510&lt;&gt;"",'Paste Here'!$G510,"")</f>
        <v/>
      </c>
      <c r="M516" s="18" t="str">
        <f t="shared" si="15"/>
        <v/>
      </c>
    </row>
    <row r="517" spans="1:13" s="17" customFormat="1" x14ac:dyDescent="0.25">
      <c r="A517" s="16" t="str">
        <f>IF(URN&lt;&gt;"",_xll.mdValue("Resident",_xlnm.Database,$F517),"")</f>
        <v/>
      </c>
      <c r="B517" s="16" t="str">
        <f>IF(PersonId&lt;&gt;"",_xll.mdValue("Resident First Name",_xlnm.Database,$A$8),"")</f>
        <v/>
      </c>
      <c r="C517" s="16" t="str">
        <f>IF(PersonId&lt;&gt;"",_xll.mdValue("Resident Last Name",_xlnm.Database,$A$8),"")</f>
        <v/>
      </c>
      <c r="D517" s="16" t="str">
        <f>IF(PersonId&lt;&gt;"",_xll.mdValue("Person Accomodation Code",_xlnm.Database,$A517),"")</f>
        <v/>
      </c>
      <c r="E517" s="28" t="str">
        <f t="shared" si="14"/>
        <v/>
      </c>
      <c r="F517" s="16" t="str">
        <f>IF('Paste Here'!$A511&lt;&gt;"",'Paste Here'!$A511,"")</f>
        <v/>
      </c>
      <c r="G517" s="16" t="str">
        <f>IF('Paste Here'!$B511&lt;&gt;"",'Paste Here'!$B511,"")</f>
        <v/>
      </c>
      <c r="H517" s="16" t="str">
        <f>IF('Paste Here'!$C511&lt;&gt;"",'Paste Here'!$C511,"")</f>
        <v/>
      </c>
      <c r="I517" s="25" t="str">
        <f>IF('Paste Here'!$D511&lt;&gt;"",'Paste Here'!$D511,"")</f>
        <v/>
      </c>
      <c r="J517" s="27" t="str">
        <f>IF('Paste Here'!$E511&lt;&gt;"",'Paste Here'!$E511,"")</f>
        <v/>
      </c>
      <c r="K517" s="16" t="str">
        <f>IF('Paste Here'!$F511&lt;&gt;"",'Paste Here'!$F511,"")</f>
        <v/>
      </c>
      <c r="L517" s="16" t="str">
        <f>IF('Paste Here'!$G511&lt;&gt;"",'Paste Here'!$G511,"")</f>
        <v/>
      </c>
      <c r="M517" s="18" t="str">
        <f t="shared" si="15"/>
        <v/>
      </c>
    </row>
    <row r="518" spans="1:13" s="17" customFormat="1" x14ac:dyDescent="0.25">
      <c r="A518" s="16" t="str">
        <f>IF(URN&lt;&gt;"",_xll.mdValue("Resident",_xlnm.Database,$F518),"")</f>
        <v/>
      </c>
      <c r="B518" s="16" t="str">
        <f>IF(PersonId&lt;&gt;"",_xll.mdValue("Resident First Name",_xlnm.Database,$A$8),"")</f>
        <v/>
      </c>
      <c r="C518" s="16" t="str">
        <f>IF(PersonId&lt;&gt;"",_xll.mdValue("Resident Last Name",_xlnm.Database,$A$8),"")</f>
        <v/>
      </c>
      <c r="D518" s="16" t="str">
        <f>IF(PersonId&lt;&gt;"",_xll.mdValue("Person Accomodation Code",_xlnm.Database,$A518),"")</f>
        <v/>
      </c>
      <c r="E518" s="28" t="str">
        <f t="shared" si="14"/>
        <v/>
      </c>
      <c r="F518" s="16" t="str">
        <f>IF('Paste Here'!$A512&lt;&gt;"",'Paste Here'!$A512,"")</f>
        <v/>
      </c>
      <c r="G518" s="16" t="str">
        <f>IF('Paste Here'!$B512&lt;&gt;"",'Paste Here'!$B512,"")</f>
        <v/>
      </c>
      <c r="H518" s="16" t="str">
        <f>IF('Paste Here'!$C512&lt;&gt;"",'Paste Here'!$C512,"")</f>
        <v/>
      </c>
      <c r="I518" s="25" t="str">
        <f>IF('Paste Here'!$D512&lt;&gt;"",'Paste Here'!$D512,"")</f>
        <v/>
      </c>
      <c r="J518" s="27" t="str">
        <f>IF('Paste Here'!$E512&lt;&gt;"",'Paste Here'!$E512,"")</f>
        <v/>
      </c>
      <c r="K518" s="16" t="str">
        <f>IF('Paste Here'!$F512&lt;&gt;"",'Paste Here'!$F512,"")</f>
        <v/>
      </c>
      <c r="L518" s="16" t="str">
        <f>IF('Paste Here'!$G512&lt;&gt;"",'Paste Here'!$G512,"")</f>
        <v/>
      </c>
      <c r="M518" s="18" t="str">
        <f t="shared" si="15"/>
        <v/>
      </c>
    </row>
    <row r="519" spans="1:13" s="17" customFormat="1" x14ac:dyDescent="0.25">
      <c r="A519" s="16" t="str">
        <f>IF(URN&lt;&gt;"",_xll.mdValue("Resident",_xlnm.Database,$F519),"")</f>
        <v/>
      </c>
      <c r="B519" s="16" t="str">
        <f>IF(PersonId&lt;&gt;"",_xll.mdValue("Resident First Name",_xlnm.Database,$A$8),"")</f>
        <v/>
      </c>
      <c r="C519" s="16" t="str">
        <f>IF(PersonId&lt;&gt;"",_xll.mdValue("Resident Last Name",_xlnm.Database,$A$8),"")</f>
        <v/>
      </c>
      <c r="D519" s="16" t="str">
        <f>IF(PersonId&lt;&gt;"",_xll.mdValue("Person Accomodation Code",_xlnm.Database,$A519),"")</f>
        <v/>
      </c>
      <c r="E519" s="28" t="str">
        <f t="shared" si="14"/>
        <v/>
      </c>
      <c r="F519" s="16" t="str">
        <f>IF('Paste Here'!$A513&lt;&gt;"",'Paste Here'!$A513,"")</f>
        <v/>
      </c>
      <c r="G519" s="16" t="str">
        <f>IF('Paste Here'!$B513&lt;&gt;"",'Paste Here'!$B513,"")</f>
        <v/>
      </c>
      <c r="H519" s="16" t="str">
        <f>IF('Paste Here'!$C513&lt;&gt;"",'Paste Here'!$C513,"")</f>
        <v/>
      </c>
      <c r="I519" s="25" t="str">
        <f>IF('Paste Here'!$D513&lt;&gt;"",'Paste Here'!$D513,"")</f>
        <v/>
      </c>
      <c r="J519" s="27" t="str">
        <f>IF('Paste Here'!$E513&lt;&gt;"",'Paste Here'!$E513,"")</f>
        <v/>
      </c>
      <c r="K519" s="16" t="str">
        <f>IF('Paste Here'!$F513&lt;&gt;"",'Paste Here'!$F513,"")</f>
        <v/>
      </c>
      <c r="L519" s="16" t="str">
        <f>IF('Paste Here'!$G513&lt;&gt;"",'Paste Here'!$G513,"")</f>
        <v/>
      </c>
      <c r="M519" s="18" t="str">
        <f t="shared" si="15"/>
        <v/>
      </c>
    </row>
    <row r="520" spans="1:13" s="17" customFormat="1" x14ac:dyDescent="0.25">
      <c r="A520" s="16" t="str">
        <f>IF(URN&lt;&gt;"",_xll.mdValue("Resident",_xlnm.Database,$F520),"")</f>
        <v/>
      </c>
      <c r="B520" s="16" t="str">
        <f>IF(PersonId&lt;&gt;"",_xll.mdValue("Resident First Name",_xlnm.Database,$A$8),"")</f>
        <v/>
      </c>
      <c r="C520" s="16" t="str">
        <f>IF(PersonId&lt;&gt;"",_xll.mdValue("Resident Last Name",_xlnm.Database,$A$8),"")</f>
        <v/>
      </c>
      <c r="D520" s="16" t="str">
        <f>IF(PersonId&lt;&gt;"",_xll.mdValue("Person Accomodation Code",_xlnm.Database,$A520),"")</f>
        <v/>
      </c>
      <c r="E520" s="28" t="str">
        <f t="shared" ref="E520:E583" si="16">IF(ClientCare_Accommodation&lt;&gt;"",IF(ClientCare_Accommodation&lt;&gt;AccommodationCode,"Missing Accommodation",""),"")</f>
        <v/>
      </c>
      <c r="F520" s="16" t="str">
        <f>IF('Paste Here'!$A514&lt;&gt;"",'Paste Here'!$A514,"")</f>
        <v/>
      </c>
      <c r="G520" s="16" t="str">
        <f>IF('Paste Here'!$B514&lt;&gt;"",'Paste Here'!$B514,"")</f>
        <v/>
      </c>
      <c r="H520" s="16" t="str">
        <f>IF('Paste Here'!$C514&lt;&gt;"",'Paste Here'!$C514,"")</f>
        <v/>
      </c>
      <c r="I520" s="25" t="str">
        <f>IF('Paste Here'!$D514&lt;&gt;"",'Paste Here'!$D514,"")</f>
        <v/>
      </c>
      <c r="J520" s="27" t="str">
        <f>IF('Paste Here'!$E514&lt;&gt;"",'Paste Here'!$E514,"")</f>
        <v/>
      </c>
      <c r="K520" s="16" t="str">
        <f>IF('Paste Here'!$F514&lt;&gt;"",'Paste Here'!$F514,"")</f>
        <v/>
      </c>
      <c r="L520" s="16" t="str">
        <f>IF('Paste Here'!$G514&lt;&gt;"",'Paste Here'!$G514,"")</f>
        <v/>
      </c>
      <c r="M520" s="18" t="str">
        <f t="shared" ref="M520:M583" si="17">IF(PersonId&lt;&gt;"","Normal","")</f>
        <v/>
      </c>
    </row>
    <row r="521" spans="1:13" s="17" customFormat="1" x14ac:dyDescent="0.25">
      <c r="A521" s="16" t="str">
        <f>IF(URN&lt;&gt;"",_xll.mdValue("Resident",_xlnm.Database,$F521),"")</f>
        <v/>
      </c>
      <c r="B521" s="16" t="str">
        <f>IF(PersonId&lt;&gt;"",_xll.mdValue("Resident First Name",_xlnm.Database,$A$8),"")</f>
        <v/>
      </c>
      <c r="C521" s="16" t="str">
        <f>IF(PersonId&lt;&gt;"",_xll.mdValue("Resident Last Name",_xlnm.Database,$A$8),"")</f>
        <v/>
      </c>
      <c r="D521" s="16" t="str">
        <f>IF(PersonId&lt;&gt;"",_xll.mdValue("Person Accomodation Code",_xlnm.Database,$A521),"")</f>
        <v/>
      </c>
      <c r="E521" s="28" t="str">
        <f t="shared" si="16"/>
        <v/>
      </c>
      <c r="F521" s="16" t="str">
        <f>IF('Paste Here'!$A515&lt;&gt;"",'Paste Here'!$A515,"")</f>
        <v/>
      </c>
      <c r="G521" s="16" t="str">
        <f>IF('Paste Here'!$B515&lt;&gt;"",'Paste Here'!$B515,"")</f>
        <v/>
      </c>
      <c r="H521" s="16" t="str">
        <f>IF('Paste Here'!$C515&lt;&gt;"",'Paste Here'!$C515,"")</f>
        <v/>
      </c>
      <c r="I521" s="25" t="str">
        <f>IF('Paste Here'!$D515&lt;&gt;"",'Paste Here'!$D515,"")</f>
        <v/>
      </c>
      <c r="J521" s="27" t="str">
        <f>IF('Paste Here'!$E515&lt;&gt;"",'Paste Here'!$E515,"")</f>
        <v/>
      </c>
      <c r="K521" s="16" t="str">
        <f>IF('Paste Here'!$F515&lt;&gt;"",'Paste Here'!$F515,"")</f>
        <v/>
      </c>
      <c r="L521" s="16" t="str">
        <f>IF('Paste Here'!$G515&lt;&gt;"",'Paste Here'!$G515,"")</f>
        <v/>
      </c>
      <c r="M521" s="18" t="str">
        <f t="shared" si="17"/>
        <v/>
      </c>
    </row>
    <row r="522" spans="1:13" s="17" customFormat="1" x14ac:dyDescent="0.25">
      <c r="A522" s="16" t="str">
        <f>IF(URN&lt;&gt;"",_xll.mdValue("Resident",_xlnm.Database,$F522),"")</f>
        <v/>
      </c>
      <c r="B522" s="16" t="str">
        <f>IF(PersonId&lt;&gt;"",_xll.mdValue("Resident First Name",_xlnm.Database,$A$8),"")</f>
        <v/>
      </c>
      <c r="C522" s="16" t="str">
        <f>IF(PersonId&lt;&gt;"",_xll.mdValue("Resident Last Name",_xlnm.Database,$A$8),"")</f>
        <v/>
      </c>
      <c r="D522" s="16" t="str">
        <f>IF(PersonId&lt;&gt;"",_xll.mdValue("Person Accomodation Code",_xlnm.Database,$A522),"")</f>
        <v/>
      </c>
      <c r="E522" s="28" t="str">
        <f t="shared" si="16"/>
        <v/>
      </c>
      <c r="F522" s="16" t="str">
        <f>IF('Paste Here'!$A516&lt;&gt;"",'Paste Here'!$A516,"")</f>
        <v/>
      </c>
      <c r="G522" s="16" t="str">
        <f>IF('Paste Here'!$B516&lt;&gt;"",'Paste Here'!$B516,"")</f>
        <v/>
      </c>
      <c r="H522" s="16" t="str">
        <f>IF('Paste Here'!$C516&lt;&gt;"",'Paste Here'!$C516,"")</f>
        <v/>
      </c>
      <c r="I522" s="25" t="str">
        <f>IF('Paste Here'!$D516&lt;&gt;"",'Paste Here'!$D516,"")</f>
        <v/>
      </c>
      <c r="J522" s="27" t="str">
        <f>IF('Paste Here'!$E516&lt;&gt;"",'Paste Here'!$E516,"")</f>
        <v/>
      </c>
      <c r="K522" s="16" t="str">
        <f>IF('Paste Here'!$F516&lt;&gt;"",'Paste Here'!$F516,"")</f>
        <v/>
      </c>
      <c r="L522" s="16" t="str">
        <f>IF('Paste Here'!$G516&lt;&gt;"",'Paste Here'!$G516,"")</f>
        <v/>
      </c>
      <c r="M522" s="18" t="str">
        <f t="shared" si="17"/>
        <v/>
      </c>
    </row>
    <row r="523" spans="1:13" s="17" customFormat="1" x14ac:dyDescent="0.25">
      <c r="A523" s="16" t="str">
        <f>IF(URN&lt;&gt;"",_xll.mdValue("Resident",_xlnm.Database,$F523),"")</f>
        <v/>
      </c>
      <c r="B523" s="16" t="str">
        <f>IF(PersonId&lt;&gt;"",_xll.mdValue("Resident First Name",_xlnm.Database,$A$8),"")</f>
        <v/>
      </c>
      <c r="C523" s="16" t="str">
        <f>IF(PersonId&lt;&gt;"",_xll.mdValue("Resident Last Name",_xlnm.Database,$A$8),"")</f>
        <v/>
      </c>
      <c r="D523" s="16" t="str">
        <f>IF(PersonId&lt;&gt;"",_xll.mdValue("Person Accomodation Code",_xlnm.Database,$A523),"")</f>
        <v/>
      </c>
      <c r="E523" s="28" t="str">
        <f t="shared" si="16"/>
        <v/>
      </c>
      <c r="F523" s="16" t="str">
        <f>IF('Paste Here'!$A517&lt;&gt;"",'Paste Here'!$A517,"")</f>
        <v/>
      </c>
      <c r="G523" s="16" t="str">
        <f>IF('Paste Here'!$B517&lt;&gt;"",'Paste Here'!$B517,"")</f>
        <v/>
      </c>
      <c r="H523" s="16" t="str">
        <f>IF('Paste Here'!$C517&lt;&gt;"",'Paste Here'!$C517,"")</f>
        <v/>
      </c>
      <c r="I523" s="25" t="str">
        <f>IF('Paste Here'!$D517&lt;&gt;"",'Paste Here'!$D517,"")</f>
        <v/>
      </c>
      <c r="J523" s="27" t="str">
        <f>IF('Paste Here'!$E517&lt;&gt;"",'Paste Here'!$E517,"")</f>
        <v/>
      </c>
      <c r="K523" s="16" t="str">
        <f>IF('Paste Here'!$F517&lt;&gt;"",'Paste Here'!$F517,"")</f>
        <v/>
      </c>
      <c r="L523" s="16" t="str">
        <f>IF('Paste Here'!$G517&lt;&gt;"",'Paste Here'!$G517,"")</f>
        <v/>
      </c>
      <c r="M523" s="18" t="str">
        <f t="shared" si="17"/>
        <v/>
      </c>
    </row>
    <row r="524" spans="1:13" s="17" customFormat="1" x14ac:dyDescent="0.25">
      <c r="A524" s="16" t="str">
        <f>IF(URN&lt;&gt;"",_xll.mdValue("Resident",_xlnm.Database,$F524),"")</f>
        <v/>
      </c>
      <c r="B524" s="16" t="str">
        <f>IF(PersonId&lt;&gt;"",_xll.mdValue("Resident First Name",_xlnm.Database,$A$8),"")</f>
        <v/>
      </c>
      <c r="C524" s="16" t="str">
        <f>IF(PersonId&lt;&gt;"",_xll.mdValue("Resident Last Name",_xlnm.Database,$A$8),"")</f>
        <v/>
      </c>
      <c r="D524" s="16" t="str">
        <f>IF(PersonId&lt;&gt;"",_xll.mdValue("Person Accomodation Code",_xlnm.Database,$A524),"")</f>
        <v/>
      </c>
      <c r="E524" s="28" t="str">
        <f t="shared" si="16"/>
        <v/>
      </c>
      <c r="F524" s="16" t="str">
        <f>IF('Paste Here'!$A518&lt;&gt;"",'Paste Here'!$A518,"")</f>
        <v/>
      </c>
      <c r="G524" s="16" t="str">
        <f>IF('Paste Here'!$B518&lt;&gt;"",'Paste Here'!$B518,"")</f>
        <v/>
      </c>
      <c r="H524" s="16" t="str">
        <f>IF('Paste Here'!$C518&lt;&gt;"",'Paste Here'!$C518,"")</f>
        <v/>
      </c>
      <c r="I524" s="25" t="str">
        <f>IF('Paste Here'!$D518&lt;&gt;"",'Paste Here'!$D518,"")</f>
        <v/>
      </c>
      <c r="J524" s="27" t="str">
        <f>IF('Paste Here'!$E518&lt;&gt;"",'Paste Here'!$E518,"")</f>
        <v/>
      </c>
      <c r="K524" s="16" t="str">
        <f>IF('Paste Here'!$F518&lt;&gt;"",'Paste Here'!$F518,"")</f>
        <v/>
      </c>
      <c r="L524" s="16" t="str">
        <f>IF('Paste Here'!$G518&lt;&gt;"",'Paste Here'!$G518,"")</f>
        <v/>
      </c>
      <c r="M524" s="18" t="str">
        <f t="shared" si="17"/>
        <v/>
      </c>
    </row>
    <row r="525" spans="1:13" s="17" customFormat="1" x14ac:dyDescent="0.25">
      <c r="A525" s="16" t="str">
        <f>IF(URN&lt;&gt;"",_xll.mdValue("Resident",_xlnm.Database,$F525),"")</f>
        <v/>
      </c>
      <c r="B525" s="16" t="str">
        <f>IF(PersonId&lt;&gt;"",_xll.mdValue("Resident First Name",_xlnm.Database,$A$8),"")</f>
        <v/>
      </c>
      <c r="C525" s="16" t="str">
        <f>IF(PersonId&lt;&gt;"",_xll.mdValue("Resident Last Name",_xlnm.Database,$A$8),"")</f>
        <v/>
      </c>
      <c r="D525" s="16" t="str">
        <f>IF(PersonId&lt;&gt;"",_xll.mdValue("Person Accomodation Code",_xlnm.Database,$A525),"")</f>
        <v/>
      </c>
      <c r="E525" s="28" t="str">
        <f t="shared" si="16"/>
        <v/>
      </c>
      <c r="F525" s="16" t="str">
        <f>IF('Paste Here'!$A519&lt;&gt;"",'Paste Here'!$A519,"")</f>
        <v/>
      </c>
      <c r="G525" s="16" t="str">
        <f>IF('Paste Here'!$B519&lt;&gt;"",'Paste Here'!$B519,"")</f>
        <v/>
      </c>
      <c r="H525" s="16" t="str">
        <f>IF('Paste Here'!$C519&lt;&gt;"",'Paste Here'!$C519,"")</f>
        <v/>
      </c>
      <c r="I525" s="25" t="str">
        <f>IF('Paste Here'!$D519&lt;&gt;"",'Paste Here'!$D519,"")</f>
        <v/>
      </c>
      <c r="J525" s="27" t="str">
        <f>IF('Paste Here'!$E519&lt;&gt;"",'Paste Here'!$E519,"")</f>
        <v/>
      </c>
      <c r="K525" s="16" t="str">
        <f>IF('Paste Here'!$F519&lt;&gt;"",'Paste Here'!$F519,"")</f>
        <v/>
      </c>
      <c r="L525" s="16" t="str">
        <f>IF('Paste Here'!$G519&lt;&gt;"",'Paste Here'!$G519,"")</f>
        <v/>
      </c>
      <c r="M525" s="18" t="str">
        <f t="shared" si="17"/>
        <v/>
      </c>
    </row>
    <row r="526" spans="1:13" s="17" customFormat="1" x14ac:dyDescent="0.25">
      <c r="A526" s="16" t="str">
        <f>IF(URN&lt;&gt;"",_xll.mdValue("Resident",_xlnm.Database,$F526),"")</f>
        <v/>
      </c>
      <c r="B526" s="16" t="str">
        <f>IF(PersonId&lt;&gt;"",_xll.mdValue("Resident First Name",_xlnm.Database,$A$8),"")</f>
        <v/>
      </c>
      <c r="C526" s="16" t="str">
        <f>IF(PersonId&lt;&gt;"",_xll.mdValue("Resident Last Name",_xlnm.Database,$A$8),"")</f>
        <v/>
      </c>
      <c r="D526" s="16" t="str">
        <f>IF(PersonId&lt;&gt;"",_xll.mdValue("Person Accomodation Code",_xlnm.Database,$A526),"")</f>
        <v/>
      </c>
      <c r="E526" s="28" t="str">
        <f t="shared" si="16"/>
        <v/>
      </c>
      <c r="F526" s="16" t="str">
        <f>IF('Paste Here'!$A520&lt;&gt;"",'Paste Here'!$A520,"")</f>
        <v/>
      </c>
      <c r="G526" s="16" t="str">
        <f>IF('Paste Here'!$B520&lt;&gt;"",'Paste Here'!$B520,"")</f>
        <v/>
      </c>
      <c r="H526" s="16" t="str">
        <f>IF('Paste Here'!$C520&lt;&gt;"",'Paste Here'!$C520,"")</f>
        <v/>
      </c>
      <c r="I526" s="25" t="str">
        <f>IF('Paste Here'!$D520&lt;&gt;"",'Paste Here'!$D520,"")</f>
        <v/>
      </c>
      <c r="J526" s="27" t="str">
        <f>IF('Paste Here'!$E520&lt;&gt;"",'Paste Here'!$E520,"")</f>
        <v/>
      </c>
      <c r="K526" s="16" t="str">
        <f>IF('Paste Here'!$F520&lt;&gt;"",'Paste Here'!$F520,"")</f>
        <v/>
      </c>
      <c r="L526" s="16" t="str">
        <f>IF('Paste Here'!$G520&lt;&gt;"",'Paste Here'!$G520,"")</f>
        <v/>
      </c>
      <c r="M526" s="18" t="str">
        <f t="shared" si="17"/>
        <v/>
      </c>
    </row>
    <row r="527" spans="1:13" s="17" customFormat="1" x14ac:dyDescent="0.25">
      <c r="A527" s="16" t="str">
        <f>IF(URN&lt;&gt;"",_xll.mdValue("Resident",_xlnm.Database,$F527),"")</f>
        <v/>
      </c>
      <c r="B527" s="16" t="str">
        <f>IF(PersonId&lt;&gt;"",_xll.mdValue("Resident First Name",_xlnm.Database,$A$8),"")</f>
        <v/>
      </c>
      <c r="C527" s="16" t="str">
        <f>IF(PersonId&lt;&gt;"",_xll.mdValue("Resident Last Name",_xlnm.Database,$A$8),"")</f>
        <v/>
      </c>
      <c r="D527" s="16" t="str">
        <f>IF(PersonId&lt;&gt;"",_xll.mdValue("Person Accomodation Code",_xlnm.Database,$A527),"")</f>
        <v/>
      </c>
      <c r="E527" s="28" t="str">
        <f t="shared" si="16"/>
        <v/>
      </c>
      <c r="F527" s="16" t="str">
        <f>IF('Paste Here'!$A521&lt;&gt;"",'Paste Here'!$A521,"")</f>
        <v/>
      </c>
      <c r="G527" s="16" t="str">
        <f>IF('Paste Here'!$B521&lt;&gt;"",'Paste Here'!$B521,"")</f>
        <v/>
      </c>
      <c r="H527" s="16" t="str">
        <f>IF('Paste Here'!$C521&lt;&gt;"",'Paste Here'!$C521,"")</f>
        <v/>
      </c>
      <c r="I527" s="25" t="str">
        <f>IF('Paste Here'!$D521&lt;&gt;"",'Paste Here'!$D521,"")</f>
        <v/>
      </c>
      <c r="J527" s="27" t="str">
        <f>IF('Paste Here'!$E521&lt;&gt;"",'Paste Here'!$E521,"")</f>
        <v/>
      </c>
      <c r="K527" s="16" t="str">
        <f>IF('Paste Here'!$F521&lt;&gt;"",'Paste Here'!$F521,"")</f>
        <v/>
      </c>
      <c r="L527" s="16" t="str">
        <f>IF('Paste Here'!$G521&lt;&gt;"",'Paste Here'!$G521,"")</f>
        <v/>
      </c>
      <c r="M527" s="18" t="str">
        <f t="shared" si="17"/>
        <v/>
      </c>
    </row>
    <row r="528" spans="1:13" s="17" customFormat="1" x14ac:dyDescent="0.25">
      <c r="A528" s="16" t="str">
        <f>IF(URN&lt;&gt;"",_xll.mdValue("Resident",_xlnm.Database,$F528),"")</f>
        <v/>
      </c>
      <c r="B528" s="16" t="str">
        <f>IF(PersonId&lt;&gt;"",_xll.mdValue("Resident First Name",_xlnm.Database,$A$8),"")</f>
        <v/>
      </c>
      <c r="C528" s="16" t="str">
        <f>IF(PersonId&lt;&gt;"",_xll.mdValue("Resident Last Name",_xlnm.Database,$A$8),"")</f>
        <v/>
      </c>
      <c r="D528" s="16" t="str">
        <f>IF(PersonId&lt;&gt;"",_xll.mdValue("Person Accomodation Code",_xlnm.Database,$A528),"")</f>
        <v/>
      </c>
      <c r="E528" s="28" t="str">
        <f t="shared" si="16"/>
        <v/>
      </c>
      <c r="F528" s="16" t="str">
        <f>IF('Paste Here'!$A522&lt;&gt;"",'Paste Here'!$A522,"")</f>
        <v/>
      </c>
      <c r="G528" s="16" t="str">
        <f>IF('Paste Here'!$B522&lt;&gt;"",'Paste Here'!$B522,"")</f>
        <v/>
      </c>
      <c r="H528" s="16" t="str">
        <f>IF('Paste Here'!$C522&lt;&gt;"",'Paste Here'!$C522,"")</f>
        <v/>
      </c>
      <c r="I528" s="25" t="str">
        <f>IF('Paste Here'!$D522&lt;&gt;"",'Paste Here'!$D522,"")</f>
        <v/>
      </c>
      <c r="J528" s="27" t="str">
        <f>IF('Paste Here'!$E522&lt;&gt;"",'Paste Here'!$E522,"")</f>
        <v/>
      </c>
      <c r="K528" s="16" t="str">
        <f>IF('Paste Here'!$F522&lt;&gt;"",'Paste Here'!$F522,"")</f>
        <v/>
      </c>
      <c r="L528" s="16" t="str">
        <f>IF('Paste Here'!$G522&lt;&gt;"",'Paste Here'!$G522,"")</f>
        <v/>
      </c>
      <c r="M528" s="18" t="str">
        <f t="shared" si="17"/>
        <v/>
      </c>
    </row>
    <row r="529" spans="1:13" s="17" customFormat="1" x14ac:dyDescent="0.25">
      <c r="A529" s="16" t="str">
        <f>IF(URN&lt;&gt;"",_xll.mdValue("Resident",_xlnm.Database,$F529),"")</f>
        <v/>
      </c>
      <c r="B529" s="16" t="str">
        <f>IF(PersonId&lt;&gt;"",_xll.mdValue("Resident First Name",_xlnm.Database,$A$8),"")</f>
        <v/>
      </c>
      <c r="C529" s="16" t="str">
        <f>IF(PersonId&lt;&gt;"",_xll.mdValue("Resident Last Name",_xlnm.Database,$A$8),"")</f>
        <v/>
      </c>
      <c r="D529" s="16" t="str">
        <f>IF(PersonId&lt;&gt;"",_xll.mdValue("Person Accomodation Code",_xlnm.Database,$A529),"")</f>
        <v/>
      </c>
      <c r="E529" s="28" t="str">
        <f t="shared" si="16"/>
        <v/>
      </c>
      <c r="F529" s="16" t="str">
        <f>IF('Paste Here'!$A523&lt;&gt;"",'Paste Here'!$A523,"")</f>
        <v/>
      </c>
      <c r="G529" s="16" t="str">
        <f>IF('Paste Here'!$B523&lt;&gt;"",'Paste Here'!$B523,"")</f>
        <v/>
      </c>
      <c r="H529" s="16" t="str">
        <f>IF('Paste Here'!$C523&lt;&gt;"",'Paste Here'!$C523,"")</f>
        <v/>
      </c>
      <c r="I529" s="25" t="str">
        <f>IF('Paste Here'!$D523&lt;&gt;"",'Paste Here'!$D523,"")</f>
        <v/>
      </c>
      <c r="J529" s="27" t="str">
        <f>IF('Paste Here'!$E523&lt;&gt;"",'Paste Here'!$E523,"")</f>
        <v/>
      </c>
      <c r="K529" s="16" t="str">
        <f>IF('Paste Here'!$F523&lt;&gt;"",'Paste Here'!$F523,"")</f>
        <v/>
      </c>
      <c r="L529" s="16" t="str">
        <f>IF('Paste Here'!$G523&lt;&gt;"",'Paste Here'!$G523,"")</f>
        <v/>
      </c>
      <c r="M529" s="18" t="str">
        <f t="shared" si="17"/>
        <v/>
      </c>
    </row>
    <row r="530" spans="1:13" s="17" customFormat="1" x14ac:dyDescent="0.25">
      <c r="A530" s="16" t="str">
        <f>IF(URN&lt;&gt;"",_xll.mdValue("Resident",_xlnm.Database,$F530),"")</f>
        <v/>
      </c>
      <c r="B530" s="16" t="str">
        <f>IF(PersonId&lt;&gt;"",_xll.mdValue("Resident First Name",_xlnm.Database,$A$8),"")</f>
        <v/>
      </c>
      <c r="C530" s="16" t="str">
        <f>IF(PersonId&lt;&gt;"",_xll.mdValue("Resident Last Name",_xlnm.Database,$A$8),"")</f>
        <v/>
      </c>
      <c r="D530" s="16" t="str">
        <f>IF(PersonId&lt;&gt;"",_xll.mdValue("Person Accomodation Code",_xlnm.Database,$A530),"")</f>
        <v/>
      </c>
      <c r="E530" s="28" t="str">
        <f t="shared" si="16"/>
        <v/>
      </c>
      <c r="F530" s="16" t="str">
        <f>IF('Paste Here'!$A524&lt;&gt;"",'Paste Here'!$A524,"")</f>
        <v/>
      </c>
      <c r="G530" s="16" t="str">
        <f>IF('Paste Here'!$B524&lt;&gt;"",'Paste Here'!$B524,"")</f>
        <v/>
      </c>
      <c r="H530" s="16" t="str">
        <f>IF('Paste Here'!$C524&lt;&gt;"",'Paste Here'!$C524,"")</f>
        <v/>
      </c>
      <c r="I530" s="25" t="str">
        <f>IF('Paste Here'!$D524&lt;&gt;"",'Paste Here'!$D524,"")</f>
        <v/>
      </c>
      <c r="J530" s="27" t="str">
        <f>IF('Paste Here'!$E524&lt;&gt;"",'Paste Here'!$E524,"")</f>
        <v/>
      </c>
      <c r="K530" s="16" t="str">
        <f>IF('Paste Here'!$F524&lt;&gt;"",'Paste Here'!$F524,"")</f>
        <v/>
      </c>
      <c r="L530" s="16" t="str">
        <f>IF('Paste Here'!$G524&lt;&gt;"",'Paste Here'!$G524,"")</f>
        <v/>
      </c>
      <c r="M530" s="18" t="str">
        <f t="shared" si="17"/>
        <v/>
      </c>
    </row>
    <row r="531" spans="1:13" s="17" customFormat="1" x14ac:dyDescent="0.25">
      <c r="A531" s="16" t="str">
        <f>IF(URN&lt;&gt;"",_xll.mdValue("Resident",_xlnm.Database,$F531),"")</f>
        <v/>
      </c>
      <c r="B531" s="16" t="str">
        <f>IF(PersonId&lt;&gt;"",_xll.mdValue("Resident First Name",_xlnm.Database,$A$8),"")</f>
        <v/>
      </c>
      <c r="C531" s="16" t="str">
        <f>IF(PersonId&lt;&gt;"",_xll.mdValue("Resident Last Name",_xlnm.Database,$A$8),"")</f>
        <v/>
      </c>
      <c r="D531" s="16" t="str">
        <f>IF(PersonId&lt;&gt;"",_xll.mdValue("Person Accomodation Code",_xlnm.Database,$A531),"")</f>
        <v/>
      </c>
      <c r="E531" s="28" t="str">
        <f t="shared" si="16"/>
        <v/>
      </c>
      <c r="F531" s="16" t="str">
        <f>IF('Paste Here'!$A525&lt;&gt;"",'Paste Here'!$A525,"")</f>
        <v/>
      </c>
      <c r="G531" s="16" t="str">
        <f>IF('Paste Here'!$B525&lt;&gt;"",'Paste Here'!$B525,"")</f>
        <v/>
      </c>
      <c r="H531" s="16" t="str">
        <f>IF('Paste Here'!$C525&lt;&gt;"",'Paste Here'!$C525,"")</f>
        <v/>
      </c>
      <c r="I531" s="25" t="str">
        <f>IF('Paste Here'!$D525&lt;&gt;"",'Paste Here'!$D525,"")</f>
        <v/>
      </c>
      <c r="J531" s="27" t="str">
        <f>IF('Paste Here'!$E525&lt;&gt;"",'Paste Here'!$E525,"")</f>
        <v/>
      </c>
      <c r="K531" s="16" t="str">
        <f>IF('Paste Here'!$F525&lt;&gt;"",'Paste Here'!$F525,"")</f>
        <v/>
      </c>
      <c r="L531" s="16" t="str">
        <f>IF('Paste Here'!$G525&lt;&gt;"",'Paste Here'!$G525,"")</f>
        <v/>
      </c>
      <c r="M531" s="18" t="str">
        <f t="shared" si="17"/>
        <v/>
      </c>
    </row>
    <row r="532" spans="1:13" s="17" customFormat="1" x14ac:dyDescent="0.25">
      <c r="A532" s="16" t="str">
        <f>IF(URN&lt;&gt;"",_xll.mdValue("Resident",_xlnm.Database,$F532),"")</f>
        <v/>
      </c>
      <c r="B532" s="16" t="str">
        <f>IF(PersonId&lt;&gt;"",_xll.mdValue("Resident First Name",_xlnm.Database,$A$8),"")</f>
        <v/>
      </c>
      <c r="C532" s="16" t="str">
        <f>IF(PersonId&lt;&gt;"",_xll.mdValue("Resident Last Name",_xlnm.Database,$A$8),"")</f>
        <v/>
      </c>
      <c r="D532" s="16" t="str">
        <f>IF(PersonId&lt;&gt;"",_xll.mdValue("Person Accomodation Code",_xlnm.Database,$A532),"")</f>
        <v/>
      </c>
      <c r="E532" s="28" t="str">
        <f t="shared" si="16"/>
        <v/>
      </c>
      <c r="F532" s="16" t="str">
        <f>IF('Paste Here'!$A526&lt;&gt;"",'Paste Here'!$A526,"")</f>
        <v/>
      </c>
      <c r="G532" s="16" t="str">
        <f>IF('Paste Here'!$B526&lt;&gt;"",'Paste Here'!$B526,"")</f>
        <v/>
      </c>
      <c r="H532" s="16" t="str">
        <f>IF('Paste Here'!$C526&lt;&gt;"",'Paste Here'!$C526,"")</f>
        <v/>
      </c>
      <c r="I532" s="25" t="str">
        <f>IF('Paste Here'!$D526&lt;&gt;"",'Paste Here'!$D526,"")</f>
        <v/>
      </c>
      <c r="J532" s="27" t="str">
        <f>IF('Paste Here'!$E526&lt;&gt;"",'Paste Here'!$E526,"")</f>
        <v/>
      </c>
      <c r="K532" s="16" t="str">
        <f>IF('Paste Here'!$F526&lt;&gt;"",'Paste Here'!$F526,"")</f>
        <v/>
      </c>
      <c r="L532" s="16" t="str">
        <f>IF('Paste Here'!$G526&lt;&gt;"",'Paste Here'!$G526,"")</f>
        <v/>
      </c>
      <c r="M532" s="18" t="str">
        <f t="shared" si="17"/>
        <v/>
      </c>
    </row>
    <row r="533" spans="1:13" s="17" customFormat="1" x14ac:dyDescent="0.25">
      <c r="A533" s="16" t="str">
        <f>IF(URN&lt;&gt;"",_xll.mdValue("Resident",_xlnm.Database,$F533),"")</f>
        <v/>
      </c>
      <c r="B533" s="16" t="str">
        <f>IF(PersonId&lt;&gt;"",_xll.mdValue("Resident First Name",_xlnm.Database,$A$8),"")</f>
        <v/>
      </c>
      <c r="C533" s="16" t="str">
        <f>IF(PersonId&lt;&gt;"",_xll.mdValue("Resident Last Name",_xlnm.Database,$A$8),"")</f>
        <v/>
      </c>
      <c r="D533" s="16" t="str">
        <f>IF(PersonId&lt;&gt;"",_xll.mdValue("Person Accomodation Code",_xlnm.Database,$A533),"")</f>
        <v/>
      </c>
      <c r="E533" s="28" t="str">
        <f t="shared" si="16"/>
        <v/>
      </c>
      <c r="F533" s="16" t="str">
        <f>IF('Paste Here'!$A527&lt;&gt;"",'Paste Here'!$A527,"")</f>
        <v/>
      </c>
      <c r="G533" s="16" t="str">
        <f>IF('Paste Here'!$B527&lt;&gt;"",'Paste Here'!$B527,"")</f>
        <v/>
      </c>
      <c r="H533" s="16" t="str">
        <f>IF('Paste Here'!$C527&lt;&gt;"",'Paste Here'!$C527,"")</f>
        <v/>
      </c>
      <c r="I533" s="25" t="str">
        <f>IF('Paste Here'!$D527&lt;&gt;"",'Paste Here'!$D527,"")</f>
        <v/>
      </c>
      <c r="J533" s="27" t="str">
        <f>IF('Paste Here'!$E527&lt;&gt;"",'Paste Here'!$E527,"")</f>
        <v/>
      </c>
      <c r="K533" s="16" t="str">
        <f>IF('Paste Here'!$F527&lt;&gt;"",'Paste Here'!$F527,"")</f>
        <v/>
      </c>
      <c r="L533" s="16" t="str">
        <f>IF('Paste Here'!$G527&lt;&gt;"",'Paste Here'!$G527,"")</f>
        <v/>
      </c>
      <c r="M533" s="18" t="str">
        <f t="shared" si="17"/>
        <v/>
      </c>
    </row>
    <row r="534" spans="1:13" s="17" customFormat="1" x14ac:dyDescent="0.25">
      <c r="A534" s="16" t="str">
        <f>IF(URN&lt;&gt;"",_xll.mdValue("Resident",_xlnm.Database,$F534),"")</f>
        <v/>
      </c>
      <c r="B534" s="16" t="str">
        <f>IF(PersonId&lt;&gt;"",_xll.mdValue("Resident First Name",_xlnm.Database,$A$8),"")</f>
        <v/>
      </c>
      <c r="C534" s="16" t="str">
        <f>IF(PersonId&lt;&gt;"",_xll.mdValue("Resident Last Name",_xlnm.Database,$A$8),"")</f>
        <v/>
      </c>
      <c r="D534" s="16" t="str">
        <f>IF(PersonId&lt;&gt;"",_xll.mdValue("Person Accomodation Code",_xlnm.Database,$A534),"")</f>
        <v/>
      </c>
      <c r="E534" s="28" t="str">
        <f t="shared" si="16"/>
        <v/>
      </c>
      <c r="F534" s="16" t="str">
        <f>IF('Paste Here'!$A528&lt;&gt;"",'Paste Here'!$A528,"")</f>
        <v/>
      </c>
      <c r="G534" s="16" t="str">
        <f>IF('Paste Here'!$B528&lt;&gt;"",'Paste Here'!$B528,"")</f>
        <v/>
      </c>
      <c r="H534" s="16" t="str">
        <f>IF('Paste Here'!$C528&lt;&gt;"",'Paste Here'!$C528,"")</f>
        <v/>
      </c>
      <c r="I534" s="25" t="str">
        <f>IF('Paste Here'!$D528&lt;&gt;"",'Paste Here'!$D528,"")</f>
        <v/>
      </c>
      <c r="J534" s="27" t="str">
        <f>IF('Paste Here'!$E528&lt;&gt;"",'Paste Here'!$E528,"")</f>
        <v/>
      </c>
      <c r="K534" s="16" t="str">
        <f>IF('Paste Here'!$F528&lt;&gt;"",'Paste Here'!$F528,"")</f>
        <v/>
      </c>
      <c r="L534" s="16" t="str">
        <f>IF('Paste Here'!$G528&lt;&gt;"",'Paste Here'!$G528,"")</f>
        <v/>
      </c>
      <c r="M534" s="18" t="str">
        <f t="shared" si="17"/>
        <v/>
      </c>
    </row>
    <row r="535" spans="1:13" s="17" customFormat="1" x14ac:dyDescent="0.25">
      <c r="A535" s="16" t="str">
        <f>IF(URN&lt;&gt;"",_xll.mdValue("Resident",_xlnm.Database,$F535),"")</f>
        <v/>
      </c>
      <c r="B535" s="16" t="str">
        <f>IF(PersonId&lt;&gt;"",_xll.mdValue("Resident First Name",_xlnm.Database,$A$8),"")</f>
        <v/>
      </c>
      <c r="C535" s="16" t="str">
        <f>IF(PersonId&lt;&gt;"",_xll.mdValue("Resident Last Name",_xlnm.Database,$A$8),"")</f>
        <v/>
      </c>
      <c r="D535" s="16" t="str">
        <f>IF(PersonId&lt;&gt;"",_xll.mdValue("Person Accomodation Code",_xlnm.Database,$A535),"")</f>
        <v/>
      </c>
      <c r="E535" s="28" t="str">
        <f t="shared" si="16"/>
        <v/>
      </c>
      <c r="F535" s="16" t="str">
        <f>IF('Paste Here'!$A529&lt;&gt;"",'Paste Here'!$A529,"")</f>
        <v/>
      </c>
      <c r="G535" s="16" t="str">
        <f>IF('Paste Here'!$B529&lt;&gt;"",'Paste Here'!$B529,"")</f>
        <v/>
      </c>
      <c r="H535" s="16" t="str">
        <f>IF('Paste Here'!$C529&lt;&gt;"",'Paste Here'!$C529,"")</f>
        <v/>
      </c>
      <c r="I535" s="25" t="str">
        <f>IF('Paste Here'!$D529&lt;&gt;"",'Paste Here'!$D529,"")</f>
        <v/>
      </c>
      <c r="J535" s="27" t="str">
        <f>IF('Paste Here'!$E529&lt;&gt;"",'Paste Here'!$E529,"")</f>
        <v/>
      </c>
      <c r="K535" s="16" t="str">
        <f>IF('Paste Here'!$F529&lt;&gt;"",'Paste Here'!$F529,"")</f>
        <v/>
      </c>
      <c r="L535" s="16" t="str">
        <f>IF('Paste Here'!$G529&lt;&gt;"",'Paste Here'!$G529,"")</f>
        <v/>
      </c>
      <c r="M535" s="18" t="str">
        <f t="shared" si="17"/>
        <v/>
      </c>
    </row>
    <row r="536" spans="1:13" s="17" customFormat="1" x14ac:dyDescent="0.25">
      <c r="A536" s="16" t="str">
        <f>IF(URN&lt;&gt;"",_xll.mdValue("Resident",_xlnm.Database,$F536),"")</f>
        <v/>
      </c>
      <c r="B536" s="16" t="str">
        <f>IF(PersonId&lt;&gt;"",_xll.mdValue("Resident First Name",_xlnm.Database,$A$8),"")</f>
        <v/>
      </c>
      <c r="C536" s="16" t="str">
        <f>IF(PersonId&lt;&gt;"",_xll.mdValue("Resident Last Name",_xlnm.Database,$A$8),"")</f>
        <v/>
      </c>
      <c r="D536" s="16" t="str">
        <f>IF(PersonId&lt;&gt;"",_xll.mdValue("Person Accomodation Code",_xlnm.Database,$A536),"")</f>
        <v/>
      </c>
      <c r="E536" s="28" t="str">
        <f t="shared" si="16"/>
        <v/>
      </c>
      <c r="F536" s="16" t="str">
        <f>IF('Paste Here'!$A530&lt;&gt;"",'Paste Here'!$A530,"")</f>
        <v/>
      </c>
      <c r="G536" s="16" t="str">
        <f>IF('Paste Here'!$B530&lt;&gt;"",'Paste Here'!$B530,"")</f>
        <v/>
      </c>
      <c r="H536" s="16" t="str">
        <f>IF('Paste Here'!$C530&lt;&gt;"",'Paste Here'!$C530,"")</f>
        <v/>
      </c>
      <c r="I536" s="25" t="str">
        <f>IF('Paste Here'!$D530&lt;&gt;"",'Paste Here'!$D530,"")</f>
        <v/>
      </c>
      <c r="J536" s="27" t="str">
        <f>IF('Paste Here'!$E530&lt;&gt;"",'Paste Here'!$E530,"")</f>
        <v/>
      </c>
      <c r="K536" s="16" t="str">
        <f>IF('Paste Here'!$F530&lt;&gt;"",'Paste Here'!$F530,"")</f>
        <v/>
      </c>
      <c r="L536" s="16" t="str">
        <f>IF('Paste Here'!$G530&lt;&gt;"",'Paste Here'!$G530,"")</f>
        <v/>
      </c>
      <c r="M536" s="18" t="str">
        <f t="shared" si="17"/>
        <v/>
      </c>
    </row>
    <row r="537" spans="1:13" s="17" customFormat="1" x14ac:dyDescent="0.25">
      <c r="A537" s="16" t="str">
        <f>IF(URN&lt;&gt;"",_xll.mdValue("Resident",_xlnm.Database,$F537),"")</f>
        <v/>
      </c>
      <c r="B537" s="16" t="str">
        <f>IF(PersonId&lt;&gt;"",_xll.mdValue("Resident First Name",_xlnm.Database,$A$8),"")</f>
        <v/>
      </c>
      <c r="C537" s="16" t="str">
        <f>IF(PersonId&lt;&gt;"",_xll.mdValue("Resident Last Name",_xlnm.Database,$A$8),"")</f>
        <v/>
      </c>
      <c r="D537" s="16" t="str">
        <f>IF(PersonId&lt;&gt;"",_xll.mdValue("Person Accomodation Code",_xlnm.Database,$A537),"")</f>
        <v/>
      </c>
      <c r="E537" s="28" t="str">
        <f t="shared" si="16"/>
        <v/>
      </c>
      <c r="F537" s="16" t="str">
        <f>IF('Paste Here'!$A531&lt;&gt;"",'Paste Here'!$A531,"")</f>
        <v/>
      </c>
      <c r="G537" s="16" t="str">
        <f>IF('Paste Here'!$B531&lt;&gt;"",'Paste Here'!$B531,"")</f>
        <v/>
      </c>
      <c r="H537" s="16" t="str">
        <f>IF('Paste Here'!$C531&lt;&gt;"",'Paste Here'!$C531,"")</f>
        <v/>
      </c>
      <c r="I537" s="25" t="str">
        <f>IF('Paste Here'!$D531&lt;&gt;"",'Paste Here'!$D531,"")</f>
        <v/>
      </c>
      <c r="J537" s="27" t="str">
        <f>IF('Paste Here'!$E531&lt;&gt;"",'Paste Here'!$E531,"")</f>
        <v/>
      </c>
      <c r="K537" s="16" t="str">
        <f>IF('Paste Here'!$F531&lt;&gt;"",'Paste Here'!$F531,"")</f>
        <v/>
      </c>
      <c r="L537" s="16" t="str">
        <f>IF('Paste Here'!$G531&lt;&gt;"",'Paste Here'!$G531,"")</f>
        <v/>
      </c>
      <c r="M537" s="18" t="str">
        <f t="shared" si="17"/>
        <v/>
      </c>
    </row>
    <row r="538" spans="1:13" s="17" customFormat="1" x14ac:dyDescent="0.25">
      <c r="A538" s="16" t="str">
        <f>IF(URN&lt;&gt;"",_xll.mdValue("Resident",_xlnm.Database,$F538),"")</f>
        <v/>
      </c>
      <c r="B538" s="16" t="str">
        <f>IF(PersonId&lt;&gt;"",_xll.mdValue("Resident First Name",_xlnm.Database,$A$8),"")</f>
        <v/>
      </c>
      <c r="C538" s="16" t="str">
        <f>IF(PersonId&lt;&gt;"",_xll.mdValue("Resident Last Name",_xlnm.Database,$A$8),"")</f>
        <v/>
      </c>
      <c r="D538" s="16" t="str">
        <f>IF(PersonId&lt;&gt;"",_xll.mdValue("Person Accomodation Code",_xlnm.Database,$A538),"")</f>
        <v/>
      </c>
      <c r="E538" s="28" t="str">
        <f t="shared" si="16"/>
        <v/>
      </c>
      <c r="F538" s="16" t="str">
        <f>IF('Paste Here'!$A532&lt;&gt;"",'Paste Here'!$A532,"")</f>
        <v/>
      </c>
      <c r="G538" s="16" t="str">
        <f>IF('Paste Here'!$B532&lt;&gt;"",'Paste Here'!$B532,"")</f>
        <v/>
      </c>
      <c r="H538" s="16" t="str">
        <f>IF('Paste Here'!$C532&lt;&gt;"",'Paste Here'!$C532,"")</f>
        <v/>
      </c>
      <c r="I538" s="25" t="str">
        <f>IF('Paste Here'!$D532&lt;&gt;"",'Paste Here'!$D532,"")</f>
        <v/>
      </c>
      <c r="J538" s="27" t="str">
        <f>IF('Paste Here'!$E532&lt;&gt;"",'Paste Here'!$E532,"")</f>
        <v/>
      </c>
      <c r="K538" s="16" t="str">
        <f>IF('Paste Here'!$F532&lt;&gt;"",'Paste Here'!$F532,"")</f>
        <v/>
      </c>
      <c r="L538" s="16" t="str">
        <f>IF('Paste Here'!$G532&lt;&gt;"",'Paste Here'!$G532,"")</f>
        <v/>
      </c>
      <c r="M538" s="18" t="str">
        <f t="shared" si="17"/>
        <v/>
      </c>
    </row>
    <row r="539" spans="1:13" s="17" customFormat="1" x14ac:dyDescent="0.25">
      <c r="A539" s="16" t="str">
        <f>IF(URN&lt;&gt;"",_xll.mdValue("Resident",_xlnm.Database,$F539),"")</f>
        <v/>
      </c>
      <c r="B539" s="16" t="str">
        <f>IF(PersonId&lt;&gt;"",_xll.mdValue("Resident First Name",_xlnm.Database,$A$8),"")</f>
        <v/>
      </c>
      <c r="C539" s="16" t="str">
        <f>IF(PersonId&lt;&gt;"",_xll.mdValue("Resident Last Name",_xlnm.Database,$A$8),"")</f>
        <v/>
      </c>
      <c r="D539" s="16" t="str">
        <f>IF(PersonId&lt;&gt;"",_xll.mdValue("Person Accomodation Code",_xlnm.Database,$A539),"")</f>
        <v/>
      </c>
      <c r="E539" s="28" t="str">
        <f t="shared" si="16"/>
        <v/>
      </c>
      <c r="F539" s="16" t="str">
        <f>IF('Paste Here'!$A533&lt;&gt;"",'Paste Here'!$A533,"")</f>
        <v/>
      </c>
      <c r="G539" s="16" t="str">
        <f>IF('Paste Here'!$B533&lt;&gt;"",'Paste Here'!$B533,"")</f>
        <v/>
      </c>
      <c r="H539" s="16" t="str">
        <f>IF('Paste Here'!$C533&lt;&gt;"",'Paste Here'!$C533,"")</f>
        <v/>
      </c>
      <c r="I539" s="25" t="str">
        <f>IF('Paste Here'!$D533&lt;&gt;"",'Paste Here'!$D533,"")</f>
        <v/>
      </c>
      <c r="J539" s="27" t="str">
        <f>IF('Paste Here'!$E533&lt;&gt;"",'Paste Here'!$E533,"")</f>
        <v/>
      </c>
      <c r="K539" s="16" t="str">
        <f>IF('Paste Here'!$F533&lt;&gt;"",'Paste Here'!$F533,"")</f>
        <v/>
      </c>
      <c r="L539" s="16" t="str">
        <f>IF('Paste Here'!$G533&lt;&gt;"",'Paste Here'!$G533,"")</f>
        <v/>
      </c>
      <c r="M539" s="18" t="str">
        <f t="shared" si="17"/>
        <v/>
      </c>
    </row>
    <row r="540" spans="1:13" s="17" customFormat="1" x14ac:dyDescent="0.25">
      <c r="A540" s="16" t="str">
        <f>IF(URN&lt;&gt;"",_xll.mdValue("Resident",_xlnm.Database,$F540),"")</f>
        <v/>
      </c>
      <c r="B540" s="16" t="str">
        <f>IF(PersonId&lt;&gt;"",_xll.mdValue("Resident First Name",_xlnm.Database,$A$8),"")</f>
        <v/>
      </c>
      <c r="C540" s="16" t="str">
        <f>IF(PersonId&lt;&gt;"",_xll.mdValue("Resident Last Name",_xlnm.Database,$A$8),"")</f>
        <v/>
      </c>
      <c r="D540" s="16" t="str">
        <f>IF(PersonId&lt;&gt;"",_xll.mdValue("Person Accomodation Code",_xlnm.Database,$A540),"")</f>
        <v/>
      </c>
      <c r="E540" s="28" t="str">
        <f t="shared" si="16"/>
        <v/>
      </c>
      <c r="F540" s="16" t="str">
        <f>IF('Paste Here'!$A534&lt;&gt;"",'Paste Here'!$A534,"")</f>
        <v/>
      </c>
      <c r="G540" s="16" t="str">
        <f>IF('Paste Here'!$B534&lt;&gt;"",'Paste Here'!$B534,"")</f>
        <v/>
      </c>
      <c r="H540" s="16" t="str">
        <f>IF('Paste Here'!$C534&lt;&gt;"",'Paste Here'!$C534,"")</f>
        <v/>
      </c>
      <c r="I540" s="25" t="str">
        <f>IF('Paste Here'!$D534&lt;&gt;"",'Paste Here'!$D534,"")</f>
        <v/>
      </c>
      <c r="J540" s="27" t="str">
        <f>IF('Paste Here'!$E534&lt;&gt;"",'Paste Here'!$E534,"")</f>
        <v/>
      </c>
      <c r="K540" s="16" t="str">
        <f>IF('Paste Here'!$F534&lt;&gt;"",'Paste Here'!$F534,"")</f>
        <v/>
      </c>
      <c r="L540" s="16" t="str">
        <f>IF('Paste Here'!$G534&lt;&gt;"",'Paste Here'!$G534,"")</f>
        <v/>
      </c>
      <c r="M540" s="18" t="str">
        <f t="shared" si="17"/>
        <v/>
      </c>
    </row>
    <row r="541" spans="1:13" s="17" customFormat="1" x14ac:dyDescent="0.25">
      <c r="A541" s="16" t="str">
        <f>IF(URN&lt;&gt;"",_xll.mdValue("Resident",_xlnm.Database,$F541),"")</f>
        <v/>
      </c>
      <c r="B541" s="16" t="str">
        <f>IF(PersonId&lt;&gt;"",_xll.mdValue("Resident First Name",_xlnm.Database,$A$8),"")</f>
        <v/>
      </c>
      <c r="C541" s="16" t="str">
        <f>IF(PersonId&lt;&gt;"",_xll.mdValue("Resident Last Name",_xlnm.Database,$A$8),"")</f>
        <v/>
      </c>
      <c r="D541" s="16" t="str">
        <f>IF(PersonId&lt;&gt;"",_xll.mdValue("Person Accomodation Code",_xlnm.Database,$A541),"")</f>
        <v/>
      </c>
      <c r="E541" s="28" t="str">
        <f t="shared" si="16"/>
        <v/>
      </c>
      <c r="F541" s="16" t="str">
        <f>IF('Paste Here'!$A535&lt;&gt;"",'Paste Here'!$A535,"")</f>
        <v/>
      </c>
      <c r="G541" s="16" t="str">
        <f>IF('Paste Here'!$B535&lt;&gt;"",'Paste Here'!$B535,"")</f>
        <v/>
      </c>
      <c r="H541" s="16" t="str">
        <f>IF('Paste Here'!$C535&lt;&gt;"",'Paste Here'!$C535,"")</f>
        <v/>
      </c>
      <c r="I541" s="25" t="str">
        <f>IF('Paste Here'!$D535&lt;&gt;"",'Paste Here'!$D535,"")</f>
        <v/>
      </c>
      <c r="J541" s="27" t="str">
        <f>IF('Paste Here'!$E535&lt;&gt;"",'Paste Here'!$E535,"")</f>
        <v/>
      </c>
      <c r="K541" s="16" t="str">
        <f>IF('Paste Here'!$F535&lt;&gt;"",'Paste Here'!$F535,"")</f>
        <v/>
      </c>
      <c r="L541" s="16" t="str">
        <f>IF('Paste Here'!$G535&lt;&gt;"",'Paste Here'!$G535,"")</f>
        <v/>
      </c>
      <c r="M541" s="18" t="str">
        <f t="shared" si="17"/>
        <v/>
      </c>
    </row>
    <row r="542" spans="1:13" s="17" customFormat="1" x14ac:dyDescent="0.25">
      <c r="A542" s="16" t="str">
        <f>IF(URN&lt;&gt;"",_xll.mdValue("Resident",_xlnm.Database,$F542),"")</f>
        <v/>
      </c>
      <c r="B542" s="16" t="str">
        <f>IF(PersonId&lt;&gt;"",_xll.mdValue("Resident First Name",_xlnm.Database,$A$8),"")</f>
        <v/>
      </c>
      <c r="C542" s="16" t="str">
        <f>IF(PersonId&lt;&gt;"",_xll.mdValue("Resident Last Name",_xlnm.Database,$A$8),"")</f>
        <v/>
      </c>
      <c r="D542" s="16" t="str">
        <f>IF(PersonId&lt;&gt;"",_xll.mdValue("Person Accomodation Code",_xlnm.Database,$A542),"")</f>
        <v/>
      </c>
      <c r="E542" s="28" t="str">
        <f t="shared" si="16"/>
        <v/>
      </c>
      <c r="F542" s="16" t="str">
        <f>IF('Paste Here'!$A536&lt;&gt;"",'Paste Here'!$A536,"")</f>
        <v/>
      </c>
      <c r="G542" s="16" t="str">
        <f>IF('Paste Here'!$B536&lt;&gt;"",'Paste Here'!$B536,"")</f>
        <v/>
      </c>
      <c r="H542" s="16" t="str">
        <f>IF('Paste Here'!$C536&lt;&gt;"",'Paste Here'!$C536,"")</f>
        <v/>
      </c>
      <c r="I542" s="25" t="str">
        <f>IF('Paste Here'!$D536&lt;&gt;"",'Paste Here'!$D536,"")</f>
        <v/>
      </c>
      <c r="J542" s="27" t="str">
        <f>IF('Paste Here'!$E536&lt;&gt;"",'Paste Here'!$E536,"")</f>
        <v/>
      </c>
      <c r="K542" s="16" t="str">
        <f>IF('Paste Here'!$F536&lt;&gt;"",'Paste Here'!$F536,"")</f>
        <v/>
      </c>
      <c r="L542" s="16" t="str">
        <f>IF('Paste Here'!$G536&lt;&gt;"",'Paste Here'!$G536,"")</f>
        <v/>
      </c>
      <c r="M542" s="18" t="str">
        <f t="shared" si="17"/>
        <v/>
      </c>
    </row>
    <row r="543" spans="1:13" s="17" customFormat="1" x14ac:dyDescent="0.25">
      <c r="A543" s="16" t="str">
        <f>IF(URN&lt;&gt;"",_xll.mdValue("Resident",_xlnm.Database,$F543),"")</f>
        <v/>
      </c>
      <c r="B543" s="16" t="str">
        <f>IF(PersonId&lt;&gt;"",_xll.mdValue("Resident First Name",_xlnm.Database,$A$8),"")</f>
        <v/>
      </c>
      <c r="C543" s="16" t="str">
        <f>IF(PersonId&lt;&gt;"",_xll.mdValue("Resident Last Name",_xlnm.Database,$A$8),"")</f>
        <v/>
      </c>
      <c r="D543" s="16" t="str">
        <f>IF(PersonId&lt;&gt;"",_xll.mdValue("Person Accomodation Code",_xlnm.Database,$A543),"")</f>
        <v/>
      </c>
      <c r="E543" s="28" t="str">
        <f t="shared" si="16"/>
        <v/>
      </c>
      <c r="F543" s="16" t="str">
        <f>IF('Paste Here'!$A537&lt;&gt;"",'Paste Here'!$A537,"")</f>
        <v/>
      </c>
      <c r="G543" s="16" t="str">
        <f>IF('Paste Here'!$B537&lt;&gt;"",'Paste Here'!$B537,"")</f>
        <v/>
      </c>
      <c r="H543" s="16" t="str">
        <f>IF('Paste Here'!$C537&lt;&gt;"",'Paste Here'!$C537,"")</f>
        <v/>
      </c>
      <c r="I543" s="25" t="str">
        <f>IF('Paste Here'!$D537&lt;&gt;"",'Paste Here'!$D537,"")</f>
        <v/>
      </c>
      <c r="J543" s="27" t="str">
        <f>IF('Paste Here'!$E537&lt;&gt;"",'Paste Here'!$E537,"")</f>
        <v/>
      </c>
      <c r="K543" s="16" t="str">
        <f>IF('Paste Here'!$F537&lt;&gt;"",'Paste Here'!$F537,"")</f>
        <v/>
      </c>
      <c r="L543" s="16" t="str">
        <f>IF('Paste Here'!$G537&lt;&gt;"",'Paste Here'!$G537,"")</f>
        <v/>
      </c>
      <c r="M543" s="18" t="str">
        <f t="shared" si="17"/>
        <v/>
      </c>
    </row>
    <row r="544" spans="1:13" s="17" customFormat="1" x14ac:dyDescent="0.25">
      <c r="A544" s="16" t="str">
        <f>IF(URN&lt;&gt;"",_xll.mdValue("Resident",_xlnm.Database,$F544),"")</f>
        <v/>
      </c>
      <c r="B544" s="16" t="str">
        <f>IF(PersonId&lt;&gt;"",_xll.mdValue("Resident First Name",_xlnm.Database,$A$8),"")</f>
        <v/>
      </c>
      <c r="C544" s="16" t="str">
        <f>IF(PersonId&lt;&gt;"",_xll.mdValue("Resident Last Name",_xlnm.Database,$A$8),"")</f>
        <v/>
      </c>
      <c r="D544" s="16" t="str">
        <f>IF(PersonId&lt;&gt;"",_xll.mdValue("Person Accomodation Code",_xlnm.Database,$A544),"")</f>
        <v/>
      </c>
      <c r="E544" s="28" t="str">
        <f t="shared" si="16"/>
        <v/>
      </c>
      <c r="F544" s="16" t="str">
        <f>IF('Paste Here'!$A538&lt;&gt;"",'Paste Here'!$A538,"")</f>
        <v/>
      </c>
      <c r="G544" s="16" t="str">
        <f>IF('Paste Here'!$B538&lt;&gt;"",'Paste Here'!$B538,"")</f>
        <v/>
      </c>
      <c r="H544" s="16" t="str">
        <f>IF('Paste Here'!$C538&lt;&gt;"",'Paste Here'!$C538,"")</f>
        <v/>
      </c>
      <c r="I544" s="25" t="str">
        <f>IF('Paste Here'!$D538&lt;&gt;"",'Paste Here'!$D538,"")</f>
        <v/>
      </c>
      <c r="J544" s="27" t="str">
        <f>IF('Paste Here'!$E538&lt;&gt;"",'Paste Here'!$E538,"")</f>
        <v/>
      </c>
      <c r="K544" s="16" t="str">
        <f>IF('Paste Here'!$F538&lt;&gt;"",'Paste Here'!$F538,"")</f>
        <v/>
      </c>
      <c r="L544" s="16" t="str">
        <f>IF('Paste Here'!$G538&lt;&gt;"",'Paste Here'!$G538,"")</f>
        <v/>
      </c>
      <c r="M544" s="18" t="str">
        <f t="shared" si="17"/>
        <v/>
      </c>
    </row>
    <row r="545" spans="1:13" s="17" customFormat="1" x14ac:dyDescent="0.25">
      <c r="A545" s="16" t="str">
        <f>IF(URN&lt;&gt;"",_xll.mdValue("Resident",_xlnm.Database,$F545),"")</f>
        <v/>
      </c>
      <c r="B545" s="16" t="str">
        <f>IF(PersonId&lt;&gt;"",_xll.mdValue("Resident First Name",_xlnm.Database,$A$8),"")</f>
        <v/>
      </c>
      <c r="C545" s="16" t="str">
        <f>IF(PersonId&lt;&gt;"",_xll.mdValue("Resident Last Name",_xlnm.Database,$A$8),"")</f>
        <v/>
      </c>
      <c r="D545" s="16" t="str">
        <f>IF(PersonId&lt;&gt;"",_xll.mdValue("Person Accomodation Code",_xlnm.Database,$A545),"")</f>
        <v/>
      </c>
      <c r="E545" s="28" t="str">
        <f t="shared" si="16"/>
        <v/>
      </c>
      <c r="F545" s="16" t="str">
        <f>IF('Paste Here'!$A539&lt;&gt;"",'Paste Here'!$A539,"")</f>
        <v/>
      </c>
      <c r="G545" s="16" t="str">
        <f>IF('Paste Here'!$B539&lt;&gt;"",'Paste Here'!$B539,"")</f>
        <v/>
      </c>
      <c r="H545" s="16" t="str">
        <f>IF('Paste Here'!$C539&lt;&gt;"",'Paste Here'!$C539,"")</f>
        <v/>
      </c>
      <c r="I545" s="25" t="str">
        <f>IF('Paste Here'!$D539&lt;&gt;"",'Paste Here'!$D539,"")</f>
        <v/>
      </c>
      <c r="J545" s="27" t="str">
        <f>IF('Paste Here'!$E539&lt;&gt;"",'Paste Here'!$E539,"")</f>
        <v/>
      </c>
      <c r="K545" s="16" t="str">
        <f>IF('Paste Here'!$F539&lt;&gt;"",'Paste Here'!$F539,"")</f>
        <v/>
      </c>
      <c r="L545" s="16" t="str">
        <f>IF('Paste Here'!$G539&lt;&gt;"",'Paste Here'!$G539,"")</f>
        <v/>
      </c>
      <c r="M545" s="18" t="str">
        <f t="shared" si="17"/>
        <v/>
      </c>
    </row>
    <row r="546" spans="1:13" s="17" customFormat="1" x14ac:dyDescent="0.25">
      <c r="A546" s="16" t="str">
        <f>IF(URN&lt;&gt;"",_xll.mdValue("Resident",_xlnm.Database,$F546),"")</f>
        <v/>
      </c>
      <c r="B546" s="16" t="str">
        <f>IF(PersonId&lt;&gt;"",_xll.mdValue("Resident First Name",_xlnm.Database,$A$8),"")</f>
        <v/>
      </c>
      <c r="C546" s="16" t="str">
        <f>IF(PersonId&lt;&gt;"",_xll.mdValue("Resident Last Name",_xlnm.Database,$A$8),"")</f>
        <v/>
      </c>
      <c r="D546" s="16" t="str">
        <f>IF(PersonId&lt;&gt;"",_xll.mdValue("Person Accomodation Code",_xlnm.Database,$A546),"")</f>
        <v/>
      </c>
      <c r="E546" s="28" t="str">
        <f t="shared" si="16"/>
        <v/>
      </c>
      <c r="F546" s="16" t="str">
        <f>IF('Paste Here'!$A540&lt;&gt;"",'Paste Here'!$A540,"")</f>
        <v/>
      </c>
      <c r="G546" s="16" t="str">
        <f>IF('Paste Here'!$B540&lt;&gt;"",'Paste Here'!$B540,"")</f>
        <v/>
      </c>
      <c r="H546" s="16" t="str">
        <f>IF('Paste Here'!$C540&lt;&gt;"",'Paste Here'!$C540,"")</f>
        <v/>
      </c>
      <c r="I546" s="25" t="str">
        <f>IF('Paste Here'!$D540&lt;&gt;"",'Paste Here'!$D540,"")</f>
        <v/>
      </c>
      <c r="J546" s="27" t="str">
        <f>IF('Paste Here'!$E540&lt;&gt;"",'Paste Here'!$E540,"")</f>
        <v/>
      </c>
      <c r="K546" s="16" t="str">
        <f>IF('Paste Here'!$F540&lt;&gt;"",'Paste Here'!$F540,"")</f>
        <v/>
      </c>
      <c r="L546" s="16" t="str">
        <f>IF('Paste Here'!$G540&lt;&gt;"",'Paste Here'!$G540,"")</f>
        <v/>
      </c>
      <c r="M546" s="18" t="str">
        <f t="shared" si="17"/>
        <v/>
      </c>
    </row>
    <row r="547" spans="1:13" s="17" customFormat="1" x14ac:dyDescent="0.25">
      <c r="A547" s="16" t="str">
        <f>IF(URN&lt;&gt;"",_xll.mdValue("Resident",_xlnm.Database,$F547),"")</f>
        <v/>
      </c>
      <c r="B547" s="16" t="str">
        <f>IF(PersonId&lt;&gt;"",_xll.mdValue("Resident First Name",_xlnm.Database,$A$8),"")</f>
        <v/>
      </c>
      <c r="C547" s="16" t="str">
        <f>IF(PersonId&lt;&gt;"",_xll.mdValue("Resident Last Name",_xlnm.Database,$A$8),"")</f>
        <v/>
      </c>
      <c r="D547" s="16" t="str">
        <f>IF(PersonId&lt;&gt;"",_xll.mdValue("Person Accomodation Code",_xlnm.Database,$A547),"")</f>
        <v/>
      </c>
      <c r="E547" s="28" t="str">
        <f t="shared" si="16"/>
        <v/>
      </c>
      <c r="F547" s="16" t="str">
        <f>IF('Paste Here'!$A541&lt;&gt;"",'Paste Here'!$A541,"")</f>
        <v/>
      </c>
      <c r="G547" s="16" t="str">
        <f>IF('Paste Here'!$B541&lt;&gt;"",'Paste Here'!$B541,"")</f>
        <v/>
      </c>
      <c r="H547" s="16" t="str">
        <f>IF('Paste Here'!$C541&lt;&gt;"",'Paste Here'!$C541,"")</f>
        <v/>
      </c>
      <c r="I547" s="25" t="str">
        <f>IF('Paste Here'!$D541&lt;&gt;"",'Paste Here'!$D541,"")</f>
        <v/>
      </c>
      <c r="J547" s="27" t="str">
        <f>IF('Paste Here'!$E541&lt;&gt;"",'Paste Here'!$E541,"")</f>
        <v/>
      </c>
      <c r="K547" s="16" t="str">
        <f>IF('Paste Here'!$F541&lt;&gt;"",'Paste Here'!$F541,"")</f>
        <v/>
      </c>
      <c r="L547" s="16" t="str">
        <f>IF('Paste Here'!$G541&lt;&gt;"",'Paste Here'!$G541,"")</f>
        <v/>
      </c>
      <c r="M547" s="18" t="str">
        <f t="shared" si="17"/>
        <v/>
      </c>
    </row>
    <row r="548" spans="1:13" s="17" customFormat="1" x14ac:dyDescent="0.25">
      <c r="A548" s="16" t="str">
        <f>IF(URN&lt;&gt;"",_xll.mdValue("Resident",_xlnm.Database,$F548),"")</f>
        <v/>
      </c>
      <c r="B548" s="16" t="str">
        <f>IF(PersonId&lt;&gt;"",_xll.mdValue("Resident First Name",_xlnm.Database,$A$8),"")</f>
        <v/>
      </c>
      <c r="C548" s="16" t="str">
        <f>IF(PersonId&lt;&gt;"",_xll.mdValue("Resident Last Name",_xlnm.Database,$A$8),"")</f>
        <v/>
      </c>
      <c r="D548" s="16" t="str">
        <f>IF(PersonId&lt;&gt;"",_xll.mdValue("Person Accomodation Code",_xlnm.Database,$A548),"")</f>
        <v/>
      </c>
      <c r="E548" s="28" t="str">
        <f t="shared" si="16"/>
        <v/>
      </c>
      <c r="F548" s="16" t="str">
        <f>IF('Paste Here'!$A542&lt;&gt;"",'Paste Here'!$A542,"")</f>
        <v/>
      </c>
      <c r="G548" s="16" t="str">
        <f>IF('Paste Here'!$B542&lt;&gt;"",'Paste Here'!$B542,"")</f>
        <v/>
      </c>
      <c r="H548" s="16" t="str">
        <f>IF('Paste Here'!$C542&lt;&gt;"",'Paste Here'!$C542,"")</f>
        <v/>
      </c>
      <c r="I548" s="25" t="str">
        <f>IF('Paste Here'!$D542&lt;&gt;"",'Paste Here'!$D542,"")</f>
        <v/>
      </c>
      <c r="J548" s="27" t="str">
        <f>IF('Paste Here'!$E542&lt;&gt;"",'Paste Here'!$E542,"")</f>
        <v/>
      </c>
      <c r="K548" s="16" t="str">
        <f>IF('Paste Here'!$F542&lt;&gt;"",'Paste Here'!$F542,"")</f>
        <v/>
      </c>
      <c r="L548" s="16" t="str">
        <f>IF('Paste Here'!$G542&lt;&gt;"",'Paste Here'!$G542,"")</f>
        <v/>
      </c>
      <c r="M548" s="18" t="str">
        <f t="shared" si="17"/>
        <v/>
      </c>
    </row>
    <row r="549" spans="1:13" s="17" customFormat="1" x14ac:dyDescent="0.25">
      <c r="A549" s="16" t="str">
        <f>IF(URN&lt;&gt;"",_xll.mdValue("Resident",_xlnm.Database,$F549),"")</f>
        <v/>
      </c>
      <c r="B549" s="16" t="str">
        <f>IF(PersonId&lt;&gt;"",_xll.mdValue("Resident First Name",_xlnm.Database,$A$8),"")</f>
        <v/>
      </c>
      <c r="C549" s="16" t="str">
        <f>IF(PersonId&lt;&gt;"",_xll.mdValue("Resident Last Name",_xlnm.Database,$A$8),"")</f>
        <v/>
      </c>
      <c r="D549" s="16" t="str">
        <f>IF(PersonId&lt;&gt;"",_xll.mdValue("Person Accomodation Code",_xlnm.Database,$A549),"")</f>
        <v/>
      </c>
      <c r="E549" s="28" t="str">
        <f t="shared" si="16"/>
        <v/>
      </c>
      <c r="F549" s="16" t="str">
        <f>IF('Paste Here'!$A543&lt;&gt;"",'Paste Here'!$A543,"")</f>
        <v/>
      </c>
      <c r="G549" s="16" t="str">
        <f>IF('Paste Here'!$B543&lt;&gt;"",'Paste Here'!$B543,"")</f>
        <v/>
      </c>
      <c r="H549" s="16" t="str">
        <f>IF('Paste Here'!$C543&lt;&gt;"",'Paste Here'!$C543,"")</f>
        <v/>
      </c>
      <c r="I549" s="25" t="str">
        <f>IF('Paste Here'!$D543&lt;&gt;"",'Paste Here'!$D543,"")</f>
        <v/>
      </c>
      <c r="J549" s="27" t="str">
        <f>IF('Paste Here'!$E543&lt;&gt;"",'Paste Here'!$E543,"")</f>
        <v/>
      </c>
      <c r="K549" s="16" t="str">
        <f>IF('Paste Here'!$F543&lt;&gt;"",'Paste Here'!$F543,"")</f>
        <v/>
      </c>
      <c r="L549" s="16" t="str">
        <f>IF('Paste Here'!$G543&lt;&gt;"",'Paste Here'!$G543,"")</f>
        <v/>
      </c>
      <c r="M549" s="18" t="str">
        <f t="shared" si="17"/>
        <v/>
      </c>
    </row>
    <row r="550" spans="1:13" s="17" customFormat="1" x14ac:dyDescent="0.25">
      <c r="A550" s="16" t="str">
        <f>IF(URN&lt;&gt;"",_xll.mdValue("Resident",_xlnm.Database,$F550),"")</f>
        <v/>
      </c>
      <c r="B550" s="16" t="str">
        <f>IF(PersonId&lt;&gt;"",_xll.mdValue("Resident First Name",_xlnm.Database,$A$8),"")</f>
        <v/>
      </c>
      <c r="C550" s="16" t="str">
        <f>IF(PersonId&lt;&gt;"",_xll.mdValue("Resident Last Name",_xlnm.Database,$A$8),"")</f>
        <v/>
      </c>
      <c r="D550" s="16" t="str">
        <f>IF(PersonId&lt;&gt;"",_xll.mdValue("Person Accomodation Code",_xlnm.Database,$A550),"")</f>
        <v/>
      </c>
      <c r="E550" s="28" t="str">
        <f t="shared" si="16"/>
        <v/>
      </c>
      <c r="F550" s="16" t="str">
        <f>IF('Paste Here'!$A544&lt;&gt;"",'Paste Here'!$A544,"")</f>
        <v/>
      </c>
      <c r="G550" s="16" t="str">
        <f>IF('Paste Here'!$B544&lt;&gt;"",'Paste Here'!$B544,"")</f>
        <v/>
      </c>
      <c r="H550" s="16" t="str">
        <f>IF('Paste Here'!$C544&lt;&gt;"",'Paste Here'!$C544,"")</f>
        <v/>
      </c>
      <c r="I550" s="25" t="str">
        <f>IF('Paste Here'!$D544&lt;&gt;"",'Paste Here'!$D544,"")</f>
        <v/>
      </c>
      <c r="J550" s="27" t="str">
        <f>IF('Paste Here'!$E544&lt;&gt;"",'Paste Here'!$E544,"")</f>
        <v/>
      </c>
      <c r="K550" s="16" t="str">
        <f>IF('Paste Here'!$F544&lt;&gt;"",'Paste Here'!$F544,"")</f>
        <v/>
      </c>
      <c r="L550" s="16" t="str">
        <f>IF('Paste Here'!$G544&lt;&gt;"",'Paste Here'!$G544,"")</f>
        <v/>
      </c>
      <c r="M550" s="18" t="str">
        <f t="shared" si="17"/>
        <v/>
      </c>
    </row>
    <row r="551" spans="1:13" s="17" customFormat="1" x14ac:dyDescent="0.25">
      <c r="A551" s="16" t="str">
        <f>IF(URN&lt;&gt;"",_xll.mdValue("Resident",_xlnm.Database,$F551),"")</f>
        <v/>
      </c>
      <c r="B551" s="16" t="str">
        <f>IF(PersonId&lt;&gt;"",_xll.mdValue("Resident First Name",_xlnm.Database,$A$8),"")</f>
        <v/>
      </c>
      <c r="C551" s="16" t="str">
        <f>IF(PersonId&lt;&gt;"",_xll.mdValue("Resident Last Name",_xlnm.Database,$A$8),"")</f>
        <v/>
      </c>
      <c r="D551" s="16" t="str">
        <f>IF(PersonId&lt;&gt;"",_xll.mdValue("Person Accomodation Code",_xlnm.Database,$A551),"")</f>
        <v/>
      </c>
      <c r="E551" s="28" t="str">
        <f t="shared" si="16"/>
        <v/>
      </c>
      <c r="F551" s="16" t="str">
        <f>IF('Paste Here'!$A545&lt;&gt;"",'Paste Here'!$A545,"")</f>
        <v/>
      </c>
      <c r="G551" s="16" t="str">
        <f>IF('Paste Here'!$B545&lt;&gt;"",'Paste Here'!$B545,"")</f>
        <v/>
      </c>
      <c r="H551" s="16" t="str">
        <f>IF('Paste Here'!$C545&lt;&gt;"",'Paste Here'!$C545,"")</f>
        <v/>
      </c>
      <c r="I551" s="25" t="str">
        <f>IF('Paste Here'!$D545&lt;&gt;"",'Paste Here'!$D545,"")</f>
        <v/>
      </c>
      <c r="J551" s="27" t="str">
        <f>IF('Paste Here'!$E545&lt;&gt;"",'Paste Here'!$E545,"")</f>
        <v/>
      </c>
      <c r="K551" s="16" t="str">
        <f>IF('Paste Here'!$F545&lt;&gt;"",'Paste Here'!$F545,"")</f>
        <v/>
      </c>
      <c r="L551" s="16" t="str">
        <f>IF('Paste Here'!$G545&lt;&gt;"",'Paste Here'!$G545,"")</f>
        <v/>
      </c>
      <c r="M551" s="18" t="str">
        <f t="shared" si="17"/>
        <v/>
      </c>
    </row>
    <row r="552" spans="1:13" s="17" customFormat="1" x14ac:dyDescent="0.25">
      <c r="A552" s="16" t="str">
        <f>IF(URN&lt;&gt;"",_xll.mdValue("Resident",_xlnm.Database,$F552),"")</f>
        <v/>
      </c>
      <c r="B552" s="16" t="str">
        <f>IF(PersonId&lt;&gt;"",_xll.mdValue("Resident First Name",_xlnm.Database,$A$8),"")</f>
        <v/>
      </c>
      <c r="C552" s="16" t="str">
        <f>IF(PersonId&lt;&gt;"",_xll.mdValue("Resident Last Name",_xlnm.Database,$A$8),"")</f>
        <v/>
      </c>
      <c r="D552" s="16" t="str">
        <f>IF(PersonId&lt;&gt;"",_xll.mdValue("Person Accomodation Code",_xlnm.Database,$A552),"")</f>
        <v/>
      </c>
      <c r="E552" s="28" t="str">
        <f t="shared" si="16"/>
        <v/>
      </c>
      <c r="F552" s="16" t="str">
        <f>IF('Paste Here'!$A546&lt;&gt;"",'Paste Here'!$A546,"")</f>
        <v/>
      </c>
      <c r="G552" s="16" t="str">
        <f>IF('Paste Here'!$B546&lt;&gt;"",'Paste Here'!$B546,"")</f>
        <v/>
      </c>
      <c r="H552" s="16" t="str">
        <f>IF('Paste Here'!$C546&lt;&gt;"",'Paste Here'!$C546,"")</f>
        <v/>
      </c>
      <c r="I552" s="25" t="str">
        <f>IF('Paste Here'!$D546&lt;&gt;"",'Paste Here'!$D546,"")</f>
        <v/>
      </c>
      <c r="J552" s="27" t="str">
        <f>IF('Paste Here'!$E546&lt;&gt;"",'Paste Here'!$E546,"")</f>
        <v/>
      </c>
      <c r="K552" s="16" t="str">
        <f>IF('Paste Here'!$F546&lt;&gt;"",'Paste Here'!$F546,"")</f>
        <v/>
      </c>
      <c r="L552" s="16" t="str">
        <f>IF('Paste Here'!$G546&lt;&gt;"",'Paste Here'!$G546,"")</f>
        <v/>
      </c>
      <c r="M552" s="18" t="str">
        <f t="shared" si="17"/>
        <v/>
      </c>
    </row>
    <row r="553" spans="1:13" s="17" customFormat="1" x14ac:dyDescent="0.25">
      <c r="A553" s="16" t="str">
        <f>IF(URN&lt;&gt;"",_xll.mdValue("Resident",_xlnm.Database,$F553),"")</f>
        <v/>
      </c>
      <c r="B553" s="16" t="str">
        <f>IF(PersonId&lt;&gt;"",_xll.mdValue("Resident First Name",_xlnm.Database,$A$8),"")</f>
        <v/>
      </c>
      <c r="C553" s="16" t="str">
        <f>IF(PersonId&lt;&gt;"",_xll.mdValue("Resident Last Name",_xlnm.Database,$A$8),"")</f>
        <v/>
      </c>
      <c r="D553" s="16" t="str">
        <f>IF(PersonId&lt;&gt;"",_xll.mdValue("Person Accomodation Code",_xlnm.Database,$A553),"")</f>
        <v/>
      </c>
      <c r="E553" s="28" t="str">
        <f t="shared" si="16"/>
        <v/>
      </c>
      <c r="F553" s="16" t="str">
        <f>IF('Paste Here'!$A547&lt;&gt;"",'Paste Here'!$A547,"")</f>
        <v/>
      </c>
      <c r="G553" s="16" t="str">
        <f>IF('Paste Here'!$B547&lt;&gt;"",'Paste Here'!$B547,"")</f>
        <v/>
      </c>
      <c r="H553" s="16" t="str">
        <f>IF('Paste Here'!$C547&lt;&gt;"",'Paste Here'!$C547,"")</f>
        <v/>
      </c>
      <c r="I553" s="25" t="str">
        <f>IF('Paste Here'!$D547&lt;&gt;"",'Paste Here'!$D547,"")</f>
        <v/>
      </c>
      <c r="J553" s="27" t="str">
        <f>IF('Paste Here'!$E547&lt;&gt;"",'Paste Here'!$E547,"")</f>
        <v/>
      </c>
      <c r="K553" s="16" t="str">
        <f>IF('Paste Here'!$F547&lt;&gt;"",'Paste Here'!$F547,"")</f>
        <v/>
      </c>
      <c r="L553" s="16" t="str">
        <f>IF('Paste Here'!$G547&lt;&gt;"",'Paste Here'!$G547,"")</f>
        <v/>
      </c>
      <c r="M553" s="18" t="str">
        <f t="shared" si="17"/>
        <v/>
      </c>
    </row>
    <row r="554" spans="1:13" s="17" customFormat="1" x14ac:dyDescent="0.25">
      <c r="A554" s="16" t="str">
        <f>IF(URN&lt;&gt;"",_xll.mdValue("Resident",_xlnm.Database,$F554),"")</f>
        <v/>
      </c>
      <c r="B554" s="16" t="str">
        <f>IF(PersonId&lt;&gt;"",_xll.mdValue("Resident First Name",_xlnm.Database,$A$8),"")</f>
        <v/>
      </c>
      <c r="C554" s="16" t="str">
        <f>IF(PersonId&lt;&gt;"",_xll.mdValue("Resident Last Name",_xlnm.Database,$A$8),"")</f>
        <v/>
      </c>
      <c r="D554" s="16" t="str">
        <f>IF(PersonId&lt;&gt;"",_xll.mdValue("Person Accomodation Code",_xlnm.Database,$A554),"")</f>
        <v/>
      </c>
      <c r="E554" s="28" t="str">
        <f t="shared" si="16"/>
        <v/>
      </c>
      <c r="F554" s="16" t="str">
        <f>IF('Paste Here'!$A548&lt;&gt;"",'Paste Here'!$A548,"")</f>
        <v/>
      </c>
      <c r="G554" s="16" t="str">
        <f>IF('Paste Here'!$B548&lt;&gt;"",'Paste Here'!$B548,"")</f>
        <v/>
      </c>
      <c r="H554" s="16" t="str">
        <f>IF('Paste Here'!$C548&lt;&gt;"",'Paste Here'!$C548,"")</f>
        <v/>
      </c>
      <c r="I554" s="25" t="str">
        <f>IF('Paste Here'!$D548&lt;&gt;"",'Paste Here'!$D548,"")</f>
        <v/>
      </c>
      <c r="J554" s="27" t="str">
        <f>IF('Paste Here'!$E548&lt;&gt;"",'Paste Here'!$E548,"")</f>
        <v/>
      </c>
      <c r="K554" s="16" t="str">
        <f>IF('Paste Here'!$F548&lt;&gt;"",'Paste Here'!$F548,"")</f>
        <v/>
      </c>
      <c r="L554" s="16" t="str">
        <f>IF('Paste Here'!$G548&lt;&gt;"",'Paste Here'!$G548,"")</f>
        <v/>
      </c>
      <c r="M554" s="18" t="str">
        <f t="shared" si="17"/>
        <v/>
      </c>
    </row>
    <row r="555" spans="1:13" s="17" customFormat="1" x14ac:dyDescent="0.25">
      <c r="A555" s="16" t="str">
        <f>IF(URN&lt;&gt;"",_xll.mdValue("Resident",_xlnm.Database,$F555),"")</f>
        <v/>
      </c>
      <c r="B555" s="16" t="str">
        <f>IF(PersonId&lt;&gt;"",_xll.mdValue("Resident First Name",_xlnm.Database,$A$8),"")</f>
        <v/>
      </c>
      <c r="C555" s="16" t="str">
        <f>IF(PersonId&lt;&gt;"",_xll.mdValue("Resident Last Name",_xlnm.Database,$A$8),"")</f>
        <v/>
      </c>
      <c r="D555" s="16" t="str">
        <f>IF(PersonId&lt;&gt;"",_xll.mdValue("Person Accomodation Code",_xlnm.Database,$A555),"")</f>
        <v/>
      </c>
      <c r="E555" s="28" t="str">
        <f t="shared" si="16"/>
        <v/>
      </c>
      <c r="F555" s="16" t="str">
        <f>IF('Paste Here'!$A549&lt;&gt;"",'Paste Here'!$A549,"")</f>
        <v/>
      </c>
      <c r="G555" s="16" t="str">
        <f>IF('Paste Here'!$B549&lt;&gt;"",'Paste Here'!$B549,"")</f>
        <v/>
      </c>
      <c r="H555" s="16" t="str">
        <f>IF('Paste Here'!$C549&lt;&gt;"",'Paste Here'!$C549,"")</f>
        <v/>
      </c>
      <c r="I555" s="25" t="str">
        <f>IF('Paste Here'!$D549&lt;&gt;"",'Paste Here'!$D549,"")</f>
        <v/>
      </c>
      <c r="J555" s="27" t="str">
        <f>IF('Paste Here'!$E549&lt;&gt;"",'Paste Here'!$E549,"")</f>
        <v/>
      </c>
      <c r="K555" s="16" t="str">
        <f>IF('Paste Here'!$F549&lt;&gt;"",'Paste Here'!$F549,"")</f>
        <v/>
      </c>
      <c r="L555" s="16" t="str">
        <f>IF('Paste Here'!$G549&lt;&gt;"",'Paste Here'!$G549,"")</f>
        <v/>
      </c>
      <c r="M555" s="18" t="str">
        <f t="shared" si="17"/>
        <v/>
      </c>
    </row>
    <row r="556" spans="1:13" s="17" customFormat="1" x14ac:dyDescent="0.25">
      <c r="A556" s="16" t="str">
        <f>IF(URN&lt;&gt;"",_xll.mdValue("Resident",_xlnm.Database,$F556),"")</f>
        <v/>
      </c>
      <c r="B556" s="16" t="str">
        <f>IF(PersonId&lt;&gt;"",_xll.mdValue("Resident First Name",_xlnm.Database,$A$8),"")</f>
        <v/>
      </c>
      <c r="C556" s="16" t="str">
        <f>IF(PersonId&lt;&gt;"",_xll.mdValue("Resident Last Name",_xlnm.Database,$A$8),"")</f>
        <v/>
      </c>
      <c r="D556" s="16" t="str">
        <f>IF(PersonId&lt;&gt;"",_xll.mdValue("Person Accomodation Code",_xlnm.Database,$A556),"")</f>
        <v/>
      </c>
      <c r="E556" s="28" t="str">
        <f t="shared" si="16"/>
        <v/>
      </c>
      <c r="F556" s="16" t="str">
        <f>IF('Paste Here'!$A550&lt;&gt;"",'Paste Here'!$A550,"")</f>
        <v/>
      </c>
      <c r="G556" s="16" t="str">
        <f>IF('Paste Here'!$B550&lt;&gt;"",'Paste Here'!$B550,"")</f>
        <v/>
      </c>
      <c r="H556" s="16" t="str">
        <f>IF('Paste Here'!$C550&lt;&gt;"",'Paste Here'!$C550,"")</f>
        <v/>
      </c>
      <c r="I556" s="25" t="str">
        <f>IF('Paste Here'!$D550&lt;&gt;"",'Paste Here'!$D550,"")</f>
        <v/>
      </c>
      <c r="J556" s="27" t="str">
        <f>IF('Paste Here'!$E550&lt;&gt;"",'Paste Here'!$E550,"")</f>
        <v/>
      </c>
      <c r="K556" s="16" t="str">
        <f>IF('Paste Here'!$F550&lt;&gt;"",'Paste Here'!$F550,"")</f>
        <v/>
      </c>
      <c r="L556" s="16" t="str">
        <f>IF('Paste Here'!$G550&lt;&gt;"",'Paste Here'!$G550,"")</f>
        <v/>
      </c>
      <c r="M556" s="18" t="str">
        <f t="shared" si="17"/>
        <v/>
      </c>
    </row>
    <row r="557" spans="1:13" s="17" customFormat="1" x14ac:dyDescent="0.25">
      <c r="A557" s="16" t="str">
        <f>IF(URN&lt;&gt;"",_xll.mdValue("Resident",_xlnm.Database,$F557),"")</f>
        <v/>
      </c>
      <c r="B557" s="16" t="str">
        <f>IF(PersonId&lt;&gt;"",_xll.mdValue("Resident First Name",_xlnm.Database,$A$8),"")</f>
        <v/>
      </c>
      <c r="C557" s="16" t="str">
        <f>IF(PersonId&lt;&gt;"",_xll.mdValue("Resident Last Name",_xlnm.Database,$A$8),"")</f>
        <v/>
      </c>
      <c r="D557" s="16" t="str">
        <f>IF(PersonId&lt;&gt;"",_xll.mdValue("Person Accomodation Code",_xlnm.Database,$A557),"")</f>
        <v/>
      </c>
      <c r="E557" s="28" t="str">
        <f t="shared" si="16"/>
        <v/>
      </c>
      <c r="F557" s="16" t="str">
        <f>IF('Paste Here'!$A551&lt;&gt;"",'Paste Here'!$A551,"")</f>
        <v/>
      </c>
      <c r="G557" s="16" t="str">
        <f>IF('Paste Here'!$B551&lt;&gt;"",'Paste Here'!$B551,"")</f>
        <v/>
      </c>
      <c r="H557" s="16" t="str">
        <f>IF('Paste Here'!$C551&lt;&gt;"",'Paste Here'!$C551,"")</f>
        <v/>
      </c>
      <c r="I557" s="25" t="str">
        <f>IF('Paste Here'!$D551&lt;&gt;"",'Paste Here'!$D551,"")</f>
        <v/>
      </c>
      <c r="J557" s="27" t="str">
        <f>IF('Paste Here'!$E551&lt;&gt;"",'Paste Here'!$E551,"")</f>
        <v/>
      </c>
      <c r="K557" s="16" t="str">
        <f>IF('Paste Here'!$F551&lt;&gt;"",'Paste Here'!$F551,"")</f>
        <v/>
      </c>
      <c r="L557" s="16" t="str">
        <f>IF('Paste Here'!$G551&lt;&gt;"",'Paste Here'!$G551,"")</f>
        <v/>
      </c>
      <c r="M557" s="18" t="str">
        <f t="shared" si="17"/>
        <v/>
      </c>
    </row>
    <row r="558" spans="1:13" s="17" customFormat="1" x14ac:dyDescent="0.25">
      <c r="A558" s="16" t="str">
        <f>IF(URN&lt;&gt;"",_xll.mdValue("Resident",_xlnm.Database,$F558),"")</f>
        <v/>
      </c>
      <c r="B558" s="16" t="str">
        <f>IF(PersonId&lt;&gt;"",_xll.mdValue("Resident First Name",_xlnm.Database,$A$8),"")</f>
        <v/>
      </c>
      <c r="C558" s="16" t="str">
        <f>IF(PersonId&lt;&gt;"",_xll.mdValue("Resident Last Name",_xlnm.Database,$A$8),"")</f>
        <v/>
      </c>
      <c r="D558" s="16" t="str">
        <f>IF(PersonId&lt;&gt;"",_xll.mdValue("Person Accomodation Code",_xlnm.Database,$A558),"")</f>
        <v/>
      </c>
      <c r="E558" s="28" t="str">
        <f t="shared" si="16"/>
        <v/>
      </c>
      <c r="F558" s="16" t="str">
        <f>IF('Paste Here'!$A552&lt;&gt;"",'Paste Here'!$A552,"")</f>
        <v/>
      </c>
      <c r="G558" s="16" t="str">
        <f>IF('Paste Here'!$B552&lt;&gt;"",'Paste Here'!$B552,"")</f>
        <v/>
      </c>
      <c r="H558" s="16" t="str">
        <f>IF('Paste Here'!$C552&lt;&gt;"",'Paste Here'!$C552,"")</f>
        <v/>
      </c>
      <c r="I558" s="25" t="str">
        <f>IF('Paste Here'!$D552&lt;&gt;"",'Paste Here'!$D552,"")</f>
        <v/>
      </c>
      <c r="J558" s="27" t="str">
        <f>IF('Paste Here'!$E552&lt;&gt;"",'Paste Here'!$E552,"")</f>
        <v/>
      </c>
      <c r="K558" s="16" t="str">
        <f>IF('Paste Here'!$F552&lt;&gt;"",'Paste Here'!$F552,"")</f>
        <v/>
      </c>
      <c r="L558" s="16" t="str">
        <f>IF('Paste Here'!$G552&lt;&gt;"",'Paste Here'!$G552,"")</f>
        <v/>
      </c>
      <c r="M558" s="18" t="str">
        <f t="shared" si="17"/>
        <v/>
      </c>
    </row>
    <row r="559" spans="1:13" s="17" customFormat="1" x14ac:dyDescent="0.25">
      <c r="A559" s="16" t="str">
        <f>IF(URN&lt;&gt;"",_xll.mdValue("Resident",_xlnm.Database,$F559),"")</f>
        <v/>
      </c>
      <c r="B559" s="16" t="str">
        <f>IF(PersonId&lt;&gt;"",_xll.mdValue("Resident First Name",_xlnm.Database,$A$8),"")</f>
        <v/>
      </c>
      <c r="C559" s="16" t="str">
        <f>IF(PersonId&lt;&gt;"",_xll.mdValue("Resident Last Name",_xlnm.Database,$A$8),"")</f>
        <v/>
      </c>
      <c r="D559" s="16" t="str">
        <f>IF(PersonId&lt;&gt;"",_xll.mdValue("Person Accomodation Code",_xlnm.Database,$A559),"")</f>
        <v/>
      </c>
      <c r="E559" s="28" t="str">
        <f t="shared" si="16"/>
        <v/>
      </c>
      <c r="F559" s="16" t="str">
        <f>IF('Paste Here'!$A553&lt;&gt;"",'Paste Here'!$A553,"")</f>
        <v/>
      </c>
      <c r="G559" s="16" t="str">
        <f>IF('Paste Here'!$B553&lt;&gt;"",'Paste Here'!$B553,"")</f>
        <v/>
      </c>
      <c r="H559" s="16" t="str">
        <f>IF('Paste Here'!$C553&lt;&gt;"",'Paste Here'!$C553,"")</f>
        <v/>
      </c>
      <c r="I559" s="25" t="str">
        <f>IF('Paste Here'!$D553&lt;&gt;"",'Paste Here'!$D553,"")</f>
        <v/>
      </c>
      <c r="J559" s="27" t="str">
        <f>IF('Paste Here'!$E553&lt;&gt;"",'Paste Here'!$E553,"")</f>
        <v/>
      </c>
      <c r="K559" s="16" t="str">
        <f>IF('Paste Here'!$F553&lt;&gt;"",'Paste Here'!$F553,"")</f>
        <v/>
      </c>
      <c r="L559" s="16" t="str">
        <f>IF('Paste Here'!$G553&lt;&gt;"",'Paste Here'!$G553,"")</f>
        <v/>
      </c>
      <c r="M559" s="18" t="str">
        <f t="shared" si="17"/>
        <v/>
      </c>
    </row>
    <row r="560" spans="1:13" s="17" customFormat="1" x14ac:dyDescent="0.25">
      <c r="A560" s="16" t="str">
        <f>IF(URN&lt;&gt;"",_xll.mdValue("Resident",_xlnm.Database,$F560),"")</f>
        <v/>
      </c>
      <c r="B560" s="16" t="str">
        <f>IF(PersonId&lt;&gt;"",_xll.mdValue("Resident First Name",_xlnm.Database,$A$8),"")</f>
        <v/>
      </c>
      <c r="C560" s="16" t="str">
        <f>IF(PersonId&lt;&gt;"",_xll.mdValue("Resident Last Name",_xlnm.Database,$A$8),"")</f>
        <v/>
      </c>
      <c r="D560" s="16" t="str">
        <f>IF(PersonId&lt;&gt;"",_xll.mdValue("Person Accomodation Code",_xlnm.Database,$A560),"")</f>
        <v/>
      </c>
      <c r="E560" s="28" t="str">
        <f t="shared" si="16"/>
        <v/>
      </c>
      <c r="F560" s="16" t="str">
        <f>IF('Paste Here'!$A554&lt;&gt;"",'Paste Here'!$A554,"")</f>
        <v/>
      </c>
      <c r="G560" s="16" t="str">
        <f>IF('Paste Here'!$B554&lt;&gt;"",'Paste Here'!$B554,"")</f>
        <v/>
      </c>
      <c r="H560" s="16" t="str">
        <f>IF('Paste Here'!$C554&lt;&gt;"",'Paste Here'!$C554,"")</f>
        <v/>
      </c>
      <c r="I560" s="25" t="str">
        <f>IF('Paste Here'!$D554&lt;&gt;"",'Paste Here'!$D554,"")</f>
        <v/>
      </c>
      <c r="J560" s="27" t="str">
        <f>IF('Paste Here'!$E554&lt;&gt;"",'Paste Here'!$E554,"")</f>
        <v/>
      </c>
      <c r="K560" s="16" t="str">
        <f>IF('Paste Here'!$F554&lt;&gt;"",'Paste Here'!$F554,"")</f>
        <v/>
      </c>
      <c r="L560" s="16" t="str">
        <f>IF('Paste Here'!$G554&lt;&gt;"",'Paste Here'!$G554,"")</f>
        <v/>
      </c>
      <c r="M560" s="18" t="str">
        <f t="shared" si="17"/>
        <v/>
      </c>
    </row>
    <row r="561" spans="1:13" s="17" customFormat="1" x14ac:dyDescent="0.25">
      <c r="A561" s="16" t="str">
        <f>IF(URN&lt;&gt;"",_xll.mdValue("Resident",_xlnm.Database,$F561),"")</f>
        <v/>
      </c>
      <c r="B561" s="16" t="str">
        <f>IF(PersonId&lt;&gt;"",_xll.mdValue("Resident First Name",_xlnm.Database,$A$8),"")</f>
        <v/>
      </c>
      <c r="C561" s="16" t="str">
        <f>IF(PersonId&lt;&gt;"",_xll.mdValue("Resident Last Name",_xlnm.Database,$A$8),"")</f>
        <v/>
      </c>
      <c r="D561" s="16" t="str">
        <f>IF(PersonId&lt;&gt;"",_xll.mdValue("Person Accomodation Code",_xlnm.Database,$A561),"")</f>
        <v/>
      </c>
      <c r="E561" s="28" t="str">
        <f t="shared" si="16"/>
        <v/>
      </c>
      <c r="F561" s="16" t="str">
        <f>IF('Paste Here'!$A555&lt;&gt;"",'Paste Here'!$A555,"")</f>
        <v/>
      </c>
      <c r="G561" s="16" t="str">
        <f>IF('Paste Here'!$B555&lt;&gt;"",'Paste Here'!$B555,"")</f>
        <v/>
      </c>
      <c r="H561" s="16" t="str">
        <f>IF('Paste Here'!$C555&lt;&gt;"",'Paste Here'!$C555,"")</f>
        <v/>
      </c>
      <c r="I561" s="25" t="str">
        <f>IF('Paste Here'!$D555&lt;&gt;"",'Paste Here'!$D555,"")</f>
        <v/>
      </c>
      <c r="J561" s="27" t="str">
        <f>IF('Paste Here'!$E555&lt;&gt;"",'Paste Here'!$E555,"")</f>
        <v/>
      </c>
      <c r="K561" s="16" t="str">
        <f>IF('Paste Here'!$F555&lt;&gt;"",'Paste Here'!$F555,"")</f>
        <v/>
      </c>
      <c r="L561" s="16" t="str">
        <f>IF('Paste Here'!$G555&lt;&gt;"",'Paste Here'!$G555,"")</f>
        <v/>
      </c>
      <c r="M561" s="18" t="str">
        <f t="shared" si="17"/>
        <v/>
      </c>
    </row>
    <row r="562" spans="1:13" s="17" customFormat="1" x14ac:dyDescent="0.25">
      <c r="A562" s="16" t="str">
        <f>IF(URN&lt;&gt;"",_xll.mdValue("Resident",_xlnm.Database,$F562),"")</f>
        <v/>
      </c>
      <c r="B562" s="16" t="str">
        <f>IF(PersonId&lt;&gt;"",_xll.mdValue("Resident First Name",_xlnm.Database,$A$8),"")</f>
        <v/>
      </c>
      <c r="C562" s="16" t="str">
        <f>IF(PersonId&lt;&gt;"",_xll.mdValue("Resident Last Name",_xlnm.Database,$A$8),"")</f>
        <v/>
      </c>
      <c r="D562" s="16" t="str">
        <f>IF(PersonId&lt;&gt;"",_xll.mdValue("Person Accomodation Code",_xlnm.Database,$A562),"")</f>
        <v/>
      </c>
      <c r="E562" s="28" t="str">
        <f t="shared" si="16"/>
        <v/>
      </c>
      <c r="F562" s="16" t="str">
        <f>IF('Paste Here'!$A556&lt;&gt;"",'Paste Here'!$A556,"")</f>
        <v/>
      </c>
      <c r="G562" s="16" t="str">
        <f>IF('Paste Here'!$B556&lt;&gt;"",'Paste Here'!$B556,"")</f>
        <v/>
      </c>
      <c r="H562" s="16" t="str">
        <f>IF('Paste Here'!$C556&lt;&gt;"",'Paste Here'!$C556,"")</f>
        <v/>
      </c>
      <c r="I562" s="25" t="str">
        <f>IF('Paste Here'!$D556&lt;&gt;"",'Paste Here'!$D556,"")</f>
        <v/>
      </c>
      <c r="J562" s="27" t="str">
        <f>IF('Paste Here'!$E556&lt;&gt;"",'Paste Here'!$E556,"")</f>
        <v/>
      </c>
      <c r="K562" s="16" t="str">
        <f>IF('Paste Here'!$F556&lt;&gt;"",'Paste Here'!$F556,"")</f>
        <v/>
      </c>
      <c r="L562" s="16" t="str">
        <f>IF('Paste Here'!$G556&lt;&gt;"",'Paste Here'!$G556,"")</f>
        <v/>
      </c>
      <c r="M562" s="18" t="str">
        <f t="shared" si="17"/>
        <v/>
      </c>
    </row>
    <row r="563" spans="1:13" s="17" customFormat="1" x14ac:dyDescent="0.25">
      <c r="A563" s="16" t="str">
        <f>IF(URN&lt;&gt;"",_xll.mdValue("Resident",_xlnm.Database,$F563),"")</f>
        <v/>
      </c>
      <c r="B563" s="16" t="str">
        <f>IF(PersonId&lt;&gt;"",_xll.mdValue("Resident First Name",_xlnm.Database,$A$8),"")</f>
        <v/>
      </c>
      <c r="C563" s="16" t="str">
        <f>IF(PersonId&lt;&gt;"",_xll.mdValue("Resident Last Name",_xlnm.Database,$A$8),"")</f>
        <v/>
      </c>
      <c r="D563" s="16" t="str">
        <f>IF(PersonId&lt;&gt;"",_xll.mdValue("Person Accomodation Code",_xlnm.Database,$A563),"")</f>
        <v/>
      </c>
      <c r="E563" s="28" t="str">
        <f t="shared" si="16"/>
        <v/>
      </c>
      <c r="F563" s="16" t="str">
        <f>IF('Paste Here'!$A557&lt;&gt;"",'Paste Here'!$A557,"")</f>
        <v/>
      </c>
      <c r="G563" s="16" t="str">
        <f>IF('Paste Here'!$B557&lt;&gt;"",'Paste Here'!$B557,"")</f>
        <v/>
      </c>
      <c r="H563" s="16" t="str">
        <f>IF('Paste Here'!$C557&lt;&gt;"",'Paste Here'!$C557,"")</f>
        <v/>
      </c>
      <c r="I563" s="25" t="str">
        <f>IF('Paste Here'!$D557&lt;&gt;"",'Paste Here'!$D557,"")</f>
        <v/>
      </c>
      <c r="J563" s="27" t="str">
        <f>IF('Paste Here'!$E557&lt;&gt;"",'Paste Here'!$E557,"")</f>
        <v/>
      </c>
      <c r="K563" s="16" t="str">
        <f>IF('Paste Here'!$F557&lt;&gt;"",'Paste Here'!$F557,"")</f>
        <v/>
      </c>
      <c r="L563" s="16" t="str">
        <f>IF('Paste Here'!$G557&lt;&gt;"",'Paste Here'!$G557,"")</f>
        <v/>
      </c>
      <c r="M563" s="18" t="str">
        <f t="shared" si="17"/>
        <v/>
      </c>
    </row>
    <row r="564" spans="1:13" s="17" customFormat="1" x14ac:dyDescent="0.25">
      <c r="A564" s="16" t="str">
        <f>IF(URN&lt;&gt;"",_xll.mdValue("Resident",_xlnm.Database,$F564),"")</f>
        <v/>
      </c>
      <c r="B564" s="16" t="str">
        <f>IF(PersonId&lt;&gt;"",_xll.mdValue("Resident First Name",_xlnm.Database,$A$8),"")</f>
        <v/>
      </c>
      <c r="C564" s="16" t="str">
        <f>IF(PersonId&lt;&gt;"",_xll.mdValue("Resident Last Name",_xlnm.Database,$A$8),"")</f>
        <v/>
      </c>
      <c r="D564" s="16" t="str">
        <f>IF(PersonId&lt;&gt;"",_xll.mdValue("Person Accomodation Code",_xlnm.Database,$A564),"")</f>
        <v/>
      </c>
      <c r="E564" s="28" t="str">
        <f t="shared" si="16"/>
        <v/>
      </c>
      <c r="F564" s="16" t="str">
        <f>IF('Paste Here'!$A558&lt;&gt;"",'Paste Here'!$A558,"")</f>
        <v/>
      </c>
      <c r="G564" s="16" t="str">
        <f>IF('Paste Here'!$B558&lt;&gt;"",'Paste Here'!$B558,"")</f>
        <v/>
      </c>
      <c r="H564" s="16" t="str">
        <f>IF('Paste Here'!$C558&lt;&gt;"",'Paste Here'!$C558,"")</f>
        <v/>
      </c>
      <c r="I564" s="25" t="str">
        <f>IF('Paste Here'!$D558&lt;&gt;"",'Paste Here'!$D558,"")</f>
        <v/>
      </c>
      <c r="J564" s="27" t="str">
        <f>IF('Paste Here'!$E558&lt;&gt;"",'Paste Here'!$E558,"")</f>
        <v/>
      </c>
      <c r="K564" s="16" t="str">
        <f>IF('Paste Here'!$F558&lt;&gt;"",'Paste Here'!$F558,"")</f>
        <v/>
      </c>
      <c r="L564" s="16" t="str">
        <f>IF('Paste Here'!$G558&lt;&gt;"",'Paste Here'!$G558,"")</f>
        <v/>
      </c>
      <c r="M564" s="18" t="str">
        <f t="shared" si="17"/>
        <v/>
      </c>
    </row>
    <row r="565" spans="1:13" s="17" customFormat="1" x14ac:dyDescent="0.25">
      <c r="A565" s="16" t="str">
        <f>IF(URN&lt;&gt;"",_xll.mdValue("Resident",_xlnm.Database,$F565),"")</f>
        <v/>
      </c>
      <c r="B565" s="16" t="str">
        <f>IF(PersonId&lt;&gt;"",_xll.mdValue("Resident First Name",_xlnm.Database,$A$8),"")</f>
        <v/>
      </c>
      <c r="C565" s="16" t="str">
        <f>IF(PersonId&lt;&gt;"",_xll.mdValue("Resident Last Name",_xlnm.Database,$A$8),"")</f>
        <v/>
      </c>
      <c r="D565" s="16" t="str">
        <f>IF(PersonId&lt;&gt;"",_xll.mdValue("Person Accomodation Code",_xlnm.Database,$A565),"")</f>
        <v/>
      </c>
      <c r="E565" s="28" t="str">
        <f t="shared" si="16"/>
        <v/>
      </c>
      <c r="F565" s="16" t="str">
        <f>IF('Paste Here'!$A559&lt;&gt;"",'Paste Here'!$A559,"")</f>
        <v/>
      </c>
      <c r="G565" s="16" t="str">
        <f>IF('Paste Here'!$B559&lt;&gt;"",'Paste Here'!$B559,"")</f>
        <v/>
      </c>
      <c r="H565" s="16" t="str">
        <f>IF('Paste Here'!$C559&lt;&gt;"",'Paste Here'!$C559,"")</f>
        <v/>
      </c>
      <c r="I565" s="25" t="str">
        <f>IF('Paste Here'!$D559&lt;&gt;"",'Paste Here'!$D559,"")</f>
        <v/>
      </c>
      <c r="J565" s="27" t="str">
        <f>IF('Paste Here'!$E559&lt;&gt;"",'Paste Here'!$E559,"")</f>
        <v/>
      </c>
      <c r="K565" s="16" t="str">
        <f>IF('Paste Here'!$F559&lt;&gt;"",'Paste Here'!$F559,"")</f>
        <v/>
      </c>
      <c r="L565" s="16" t="str">
        <f>IF('Paste Here'!$G559&lt;&gt;"",'Paste Here'!$G559,"")</f>
        <v/>
      </c>
      <c r="M565" s="18" t="str">
        <f t="shared" si="17"/>
        <v/>
      </c>
    </row>
    <row r="566" spans="1:13" s="17" customFormat="1" x14ac:dyDescent="0.25">
      <c r="A566" s="16" t="str">
        <f>IF(URN&lt;&gt;"",_xll.mdValue("Resident",_xlnm.Database,$F566),"")</f>
        <v/>
      </c>
      <c r="B566" s="16" t="str">
        <f>IF(PersonId&lt;&gt;"",_xll.mdValue("Resident First Name",_xlnm.Database,$A$8),"")</f>
        <v/>
      </c>
      <c r="C566" s="16" t="str">
        <f>IF(PersonId&lt;&gt;"",_xll.mdValue("Resident Last Name",_xlnm.Database,$A$8),"")</f>
        <v/>
      </c>
      <c r="D566" s="16" t="str">
        <f>IF(PersonId&lt;&gt;"",_xll.mdValue("Person Accomodation Code",_xlnm.Database,$A566),"")</f>
        <v/>
      </c>
      <c r="E566" s="28" t="str">
        <f t="shared" si="16"/>
        <v/>
      </c>
      <c r="F566" s="16" t="str">
        <f>IF('Paste Here'!$A560&lt;&gt;"",'Paste Here'!$A560,"")</f>
        <v/>
      </c>
      <c r="G566" s="16" t="str">
        <f>IF('Paste Here'!$B560&lt;&gt;"",'Paste Here'!$B560,"")</f>
        <v/>
      </c>
      <c r="H566" s="16" t="str">
        <f>IF('Paste Here'!$C560&lt;&gt;"",'Paste Here'!$C560,"")</f>
        <v/>
      </c>
      <c r="I566" s="25" t="str">
        <f>IF('Paste Here'!$D560&lt;&gt;"",'Paste Here'!$D560,"")</f>
        <v/>
      </c>
      <c r="J566" s="27" t="str">
        <f>IF('Paste Here'!$E560&lt;&gt;"",'Paste Here'!$E560,"")</f>
        <v/>
      </c>
      <c r="K566" s="16" t="str">
        <f>IF('Paste Here'!$F560&lt;&gt;"",'Paste Here'!$F560,"")</f>
        <v/>
      </c>
      <c r="L566" s="16" t="str">
        <f>IF('Paste Here'!$G560&lt;&gt;"",'Paste Here'!$G560,"")</f>
        <v/>
      </c>
      <c r="M566" s="18" t="str">
        <f t="shared" si="17"/>
        <v/>
      </c>
    </row>
    <row r="567" spans="1:13" s="17" customFormat="1" x14ac:dyDescent="0.25">
      <c r="A567" s="16" t="str">
        <f>IF(URN&lt;&gt;"",_xll.mdValue("Resident",_xlnm.Database,$F567),"")</f>
        <v/>
      </c>
      <c r="B567" s="16" t="str">
        <f>IF(PersonId&lt;&gt;"",_xll.mdValue("Resident First Name",_xlnm.Database,$A$8),"")</f>
        <v/>
      </c>
      <c r="C567" s="16" t="str">
        <f>IF(PersonId&lt;&gt;"",_xll.mdValue("Resident Last Name",_xlnm.Database,$A$8),"")</f>
        <v/>
      </c>
      <c r="D567" s="16" t="str">
        <f>IF(PersonId&lt;&gt;"",_xll.mdValue("Person Accomodation Code",_xlnm.Database,$A567),"")</f>
        <v/>
      </c>
      <c r="E567" s="28" t="str">
        <f t="shared" si="16"/>
        <v/>
      </c>
      <c r="F567" s="16" t="str">
        <f>IF('Paste Here'!$A561&lt;&gt;"",'Paste Here'!$A561,"")</f>
        <v/>
      </c>
      <c r="G567" s="16" t="str">
        <f>IF('Paste Here'!$B561&lt;&gt;"",'Paste Here'!$B561,"")</f>
        <v/>
      </c>
      <c r="H567" s="16" t="str">
        <f>IF('Paste Here'!$C561&lt;&gt;"",'Paste Here'!$C561,"")</f>
        <v/>
      </c>
      <c r="I567" s="25" t="str">
        <f>IF('Paste Here'!$D561&lt;&gt;"",'Paste Here'!$D561,"")</f>
        <v/>
      </c>
      <c r="J567" s="27" t="str">
        <f>IF('Paste Here'!$E561&lt;&gt;"",'Paste Here'!$E561,"")</f>
        <v/>
      </c>
      <c r="K567" s="16" t="str">
        <f>IF('Paste Here'!$F561&lt;&gt;"",'Paste Here'!$F561,"")</f>
        <v/>
      </c>
      <c r="L567" s="16" t="str">
        <f>IF('Paste Here'!$G561&lt;&gt;"",'Paste Here'!$G561,"")</f>
        <v/>
      </c>
      <c r="M567" s="18" t="str">
        <f t="shared" si="17"/>
        <v/>
      </c>
    </row>
    <row r="568" spans="1:13" s="17" customFormat="1" x14ac:dyDescent="0.25">
      <c r="A568" s="16" t="str">
        <f>IF(URN&lt;&gt;"",_xll.mdValue("Resident",_xlnm.Database,$F568),"")</f>
        <v/>
      </c>
      <c r="B568" s="16" t="str">
        <f>IF(PersonId&lt;&gt;"",_xll.mdValue("Resident First Name",_xlnm.Database,$A$8),"")</f>
        <v/>
      </c>
      <c r="C568" s="16" t="str">
        <f>IF(PersonId&lt;&gt;"",_xll.mdValue("Resident Last Name",_xlnm.Database,$A$8),"")</f>
        <v/>
      </c>
      <c r="D568" s="16" t="str">
        <f>IF(PersonId&lt;&gt;"",_xll.mdValue("Person Accomodation Code",_xlnm.Database,$A568),"")</f>
        <v/>
      </c>
      <c r="E568" s="28" t="str">
        <f t="shared" si="16"/>
        <v/>
      </c>
      <c r="F568" s="16" t="str">
        <f>IF('Paste Here'!$A562&lt;&gt;"",'Paste Here'!$A562,"")</f>
        <v/>
      </c>
      <c r="G568" s="16" t="str">
        <f>IF('Paste Here'!$B562&lt;&gt;"",'Paste Here'!$B562,"")</f>
        <v/>
      </c>
      <c r="H568" s="16" t="str">
        <f>IF('Paste Here'!$C562&lt;&gt;"",'Paste Here'!$C562,"")</f>
        <v/>
      </c>
      <c r="I568" s="25" t="str">
        <f>IF('Paste Here'!$D562&lt;&gt;"",'Paste Here'!$D562,"")</f>
        <v/>
      </c>
      <c r="J568" s="27" t="str">
        <f>IF('Paste Here'!$E562&lt;&gt;"",'Paste Here'!$E562,"")</f>
        <v/>
      </c>
      <c r="K568" s="16" t="str">
        <f>IF('Paste Here'!$F562&lt;&gt;"",'Paste Here'!$F562,"")</f>
        <v/>
      </c>
      <c r="L568" s="16" t="str">
        <f>IF('Paste Here'!$G562&lt;&gt;"",'Paste Here'!$G562,"")</f>
        <v/>
      </c>
      <c r="M568" s="18" t="str">
        <f t="shared" si="17"/>
        <v/>
      </c>
    </row>
    <row r="569" spans="1:13" s="17" customFormat="1" x14ac:dyDescent="0.25">
      <c r="A569" s="16" t="str">
        <f>IF(URN&lt;&gt;"",_xll.mdValue("Resident",_xlnm.Database,$F569),"")</f>
        <v/>
      </c>
      <c r="B569" s="16" t="str">
        <f>IF(PersonId&lt;&gt;"",_xll.mdValue("Resident First Name",_xlnm.Database,$A$8),"")</f>
        <v/>
      </c>
      <c r="C569" s="16" t="str">
        <f>IF(PersonId&lt;&gt;"",_xll.mdValue("Resident Last Name",_xlnm.Database,$A$8),"")</f>
        <v/>
      </c>
      <c r="D569" s="16" t="str">
        <f>IF(PersonId&lt;&gt;"",_xll.mdValue("Person Accomodation Code",_xlnm.Database,$A569),"")</f>
        <v/>
      </c>
      <c r="E569" s="28" t="str">
        <f t="shared" si="16"/>
        <v/>
      </c>
      <c r="F569" s="16" t="str">
        <f>IF('Paste Here'!$A563&lt;&gt;"",'Paste Here'!$A563,"")</f>
        <v/>
      </c>
      <c r="G569" s="16" t="str">
        <f>IF('Paste Here'!$B563&lt;&gt;"",'Paste Here'!$B563,"")</f>
        <v/>
      </c>
      <c r="H569" s="16" t="str">
        <f>IF('Paste Here'!$C563&lt;&gt;"",'Paste Here'!$C563,"")</f>
        <v/>
      </c>
      <c r="I569" s="25" t="str">
        <f>IF('Paste Here'!$D563&lt;&gt;"",'Paste Here'!$D563,"")</f>
        <v/>
      </c>
      <c r="J569" s="27" t="str">
        <f>IF('Paste Here'!$E563&lt;&gt;"",'Paste Here'!$E563,"")</f>
        <v/>
      </c>
      <c r="K569" s="16" t="str">
        <f>IF('Paste Here'!$F563&lt;&gt;"",'Paste Here'!$F563,"")</f>
        <v/>
      </c>
      <c r="L569" s="16" t="str">
        <f>IF('Paste Here'!$G563&lt;&gt;"",'Paste Here'!$G563,"")</f>
        <v/>
      </c>
      <c r="M569" s="18" t="str">
        <f t="shared" si="17"/>
        <v/>
      </c>
    </row>
    <row r="570" spans="1:13" s="17" customFormat="1" x14ac:dyDescent="0.25">
      <c r="A570" s="16" t="str">
        <f>IF(URN&lt;&gt;"",_xll.mdValue("Resident",_xlnm.Database,$F570),"")</f>
        <v/>
      </c>
      <c r="B570" s="16" t="str">
        <f>IF(PersonId&lt;&gt;"",_xll.mdValue("Resident First Name",_xlnm.Database,$A$8),"")</f>
        <v/>
      </c>
      <c r="C570" s="16" t="str">
        <f>IF(PersonId&lt;&gt;"",_xll.mdValue("Resident Last Name",_xlnm.Database,$A$8),"")</f>
        <v/>
      </c>
      <c r="D570" s="16" t="str">
        <f>IF(PersonId&lt;&gt;"",_xll.mdValue("Person Accomodation Code",_xlnm.Database,$A570),"")</f>
        <v/>
      </c>
      <c r="E570" s="28" t="str">
        <f t="shared" si="16"/>
        <v/>
      </c>
      <c r="F570" s="16" t="str">
        <f>IF('Paste Here'!$A564&lt;&gt;"",'Paste Here'!$A564,"")</f>
        <v/>
      </c>
      <c r="G570" s="16" t="str">
        <f>IF('Paste Here'!$B564&lt;&gt;"",'Paste Here'!$B564,"")</f>
        <v/>
      </c>
      <c r="H570" s="16" t="str">
        <f>IF('Paste Here'!$C564&lt;&gt;"",'Paste Here'!$C564,"")</f>
        <v/>
      </c>
      <c r="I570" s="25" t="str">
        <f>IF('Paste Here'!$D564&lt;&gt;"",'Paste Here'!$D564,"")</f>
        <v/>
      </c>
      <c r="J570" s="27" t="str">
        <f>IF('Paste Here'!$E564&lt;&gt;"",'Paste Here'!$E564,"")</f>
        <v/>
      </c>
      <c r="K570" s="16" t="str">
        <f>IF('Paste Here'!$F564&lt;&gt;"",'Paste Here'!$F564,"")</f>
        <v/>
      </c>
      <c r="L570" s="16" t="str">
        <f>IF('Paste Here'!$G564&lt;&gt;"",'Paste Here'!$G564,"")</f>
        <v/>
      </c>
      <c r="M570" s="18" t="str">
        <f t="shared" si="17"/>
        <v/>
      </c>
    </row>
    <row r="571" spans="1:13" s="17" customFormat="1" x14ac:dyDescent="0.25">
      <c r="A571" s="16" t="str">
        <f>IF(URN&lt;&gt;"",_xll.mdValue("Resident",_xlnm.Database,$F571),"")</f>
        <v/>
      </c>
      <c r="B571" s="16" t="str">
        <f>IF(PersonId&lt;&gt;"",_xll.mdValue("Resident First Name",_xlnm.Database,$A$8),"")</f>
        <v/>
      </c>
      <c r="C571" s="16" t="str">
        <f>IF(PersonId&lt;&gt;"",_xll.mdValue("Resident Last Name",_xlnm.Database,$A$8),"")</f>
        <v/>
      </c>
      <c r="D571" s="16" t="str">
        <f>IF(PersonId&lt;&gt;"",_xll.mdValue("Person Accomodation Code",_xlnm.Database,$A571),"")</f>
        <v/>
      </c>
      <c r="E571" s="28" t="str">
        <f t="shared" si="16"/>
        <v/>
      </c>
      <c r="F571" s="16" t="str">
        <f>IF('Paste Here'!$A565&lt;&gt;"",'Paste Here'!$A565,"")</f>
        <v/>
      </c>
      <c r="G571" s="16" t="str">
        <f>IF('Paste Here'!$B565&lt;&gt;"",'Paste Here'!$B565,"")</f>
        <v/>
      </c>
      <c r="H571" s="16" t="str">
        <f>IF('Paste Here'!$C565&lt;&gt;"",'Paste Here'!$C565,"")</f>
        <v/>
      </c>
      <c r="I571" s="25" t="str">
        <f>IF('Paste Here'!$D565&lt;&gt;"",'Paste Here'!$D565,"")</f>
        <v/>
      </c>
      <c r="J571" s="27" t="str">
        <f>IF('Paste Here'!$E565&lt;&gt;"",'Paste Here'!$E565,"")</f>
        <v/>
      </c>
      <c r="K571" s="16" t="str">
        <f>IF('Paste Here'!$F565&lt;&gt;"",'Paste Here'!$F565,"")</f>
        <v/>
      </c>
      <c r="L571" s="16" t="str">
        <f>IF('Paste Here'!$G565&lt;&gt;"",'Paste Here'!$G565,"")</f>
        <v/>
      </c>
      <c r="M571" s="18" t="str">
        <f t="shared" si="17"/>
        <v/>
      </c>
    </row>
    <row r="572" spans="1:13" s="17" customFormat="1" x14ac:dyDescent="0.25">
      <c r="A572" s="16" t="str">
        <f>IF(URN&lt;&gt;"",_xll.mdValue("Resident",_xlnm.Database,$F572),"")</f>
        <v/>
      </c>
      <c r="B572" s="16" t="str">
        <f>IF(PersonId&lt;&gt;"",_xll.mdValue("Resident First Name",_xlnm.Database,$A$8),"")</f>
        <v/>
      </c>
      <c r="C572" s="16" t="str">
        <f>IF(PersonId&lt;&gt;"",_xll.mdValue("Resident Last Name",_xlnm.Database,$A$8),"")</f>
        <v/>
      </c>
      <c r="D572" s="16" t="str">
        <f>IF(PersonId&lt;&gt;"",_xll.mdValue("Person Accomodation Code",_xlnm.Database,$A572),"")</f>
        <v/>
      </c>
      <c r="E572" s="28" t="str">
        <f t="shared" si="16"/>
        <v/>
      </c>
      <c r="F572" s="16" t="str">
        <f>IF('Paste Here'!$A566&lt;&gt;"",'Paste Here'!$A566,"")</f>
        <v/>
      </c>
      <c r="G572" s="16" t="str">
        <f>IF('Paste Here'!$B566&lt;&gt;"",'Paste Here'!$B566,"")</f>
        <v/>
      </c>
      <c r="H572" s="16" t="str">
        <f>IF('Paste Here'!$C566&lt;&gt;"",'Paste Here'!$C566,"")</f>
        <v/>
      </c>
      <c r="I572" s="25" t="str">
        <f>IF('Paste Here'!$D566&lt;&gt;"",'Paste Here'!$D566,"")</f>
        <v/>
      </c>
      <c r="J572" s="27" t="str">
        <f>IF('Paste Here'!$E566&lt;&gt;"",'Paste Here'!$E566,"")</f>
        <v/>
      </c>
      <c r="K572" s="16" t="str">
        <f>IF('Paste Here'!$F566&lt;&gt;"",'Paste Here'!$F566,"")</f>
        <v/>
      </c>
      <c r="L572" s="16" t="str">
        <f>IF('Paste Here'!$G566&lt;&gt;"",'Paste Here'!$G566,"")</f>
        <v/>
      </c>
      <c r="M572" s="18" t="str">
        <f t="shared" si="17"/>
        <v/>
      </c>
    </row>
    <row r="573" spans="1:13" s="17" customFormat="1" x14ac:dyDescent="0.25">
      <c r="A573" s="16" t="str">
        <f>IF(URN&lt;&gt;"",_xll.mdValue("Resident",_xlnm.Database,$F573),"")</f>
        <v/>
      </c>
      <c r="B573" s="16" t="str">
        <f>IF(PersonId&lt;&gt;"",_xll.mdValue("Resident First Name",_xlnm.Database,$A$8),"")</f>
        <v/>
      </c>
      <c r="C573" s="16" t="str">
        <f>IF(PersonId&lt;&gt;"",_xll.mdValue("Resident Last Name",_xlnm.Database,$A$8),"")</f>
        <v/>
      </c>
      <c r="D573" s="16" t="str">
        <f>IF(PersonId&lt;&gt;"",_xll.mdValue("Person Accomodation Code",_xlnm.Database,$A573),"")</f>
        <v/>
      </c>
      <c r="E573" s="28" t="str">
        <f t="shared" si="16"/>
        <v/>
      </c>
      <c r="F573" s="16" t="str">
        <f>IF('Paste Here'!$A567&lt;&gt;"",'Paste Here'!$A567,"")</f>
        <v/>
      </c>
      <c r="G573" s="16" t="str">
        <f>IF('Paste Here'!$B567&lt;&gt;"",'Paste Here'!$B567,"")</f>
        <v/>
      </c>
      <c r="H573" s="16" t="str">
        <f>IF('Paste Here'!$C567&lt;&gt;"",'Paste Here'!$C567,"")</f>
        <v/>
      </c>
      <c r="I573" s="25" t="str">
        <f>IF('Paste Here'!$D567&lt;&gt;"",'Paste Here'!$D567,"")</f>
        <v/>
      </c>
      <c r="J573" s="27" t="str">
        <f>IF('Paste Here'!$E567&lt;&gt;"",'Paste Here'!$E567,"")</f>
        <v/>
      </c>
      <c r="K573" s="16" t="str">
        <f>IF('Paste Here'!$F567&lt;&gt;"",'Paste Here'!$F567,"")</f>
        <v/>
      </c>
      <c r="L573" s="16" t="str">
        <f>IF('Paste Here'!$G567&lt;&gt;"",'Paste Here'!$G567,"")</f>
        <v/>
      </c>
      <c r="M573" s="18" t="str">
        <f t="shared" si="17"/>
        <v/>
      </c>
    </row>
    <row r="574" spans="1:13" s="17" customFormat="1" x14ac:dyDescent="0.25">
      <c r="A574" s="16" t="str">
        <f>IF(URN&lt;&gt;"",_xll.mdValue("Resident",_xlnm.Database,$F574),"")</f>
        <v/>
      </c>
      <c r="B574" s="16" t="str">
        <f>IF(PersonId&lt;&gt;"",_xll.mdValue("Resident First Name",_xlnm.Database,$A$8),"")</f>
        <v/>
      </c>
      <c r="C574" s="16" t="str">
        <f>IF(PersonId&lt;&gt;"",_xll.mdValue("Resident Last Name",_xlnm.Database,$A$8),"")</f>
        <v/>
      </c>
      <c r="D574" s="16" t="str">
        <f>IF(PersonId&lt;&gt;"",_xll.mdValue("Person Accomodation Code",_xlnm.Database,$A574),"")</f>
        <v/>
      </c>
      <c r="E574" s="28" t="str">
        <f t="shared" si="16"/>
        <v/>
      </c>
      <c r="F574" s="16" t="str">
        <f>IF('Paste Here'!$A568&lt;&gt;"",'Paste Here'!$A568,"")</f>
        <v/>
      </c>
      <c r="G574" s="16" t="str">
        <f>IF('Paste Here'!$B568&lt;&gt;"",'Paste Here'!$B568,"")</f>
        <v/>
      </c>
      <c r="H574" s="16" t="str">
        <f>IF('Paste Here'!$C568&lt;&gt;"",'Paste Here'!$C568,"")</f>
        <v/>
      </c>
      <c r="I574" s="25" t="str">
        <f>IF('Paste Here'!$D568&lt;&gt;"",'Paste Here'!$D568,"")</f>
        <v/>
      </c>
      <c r="J574" s="27" t="str">
        <f>IF('Paste Here'!$E568&lt;&gt;"",'Paste Here'!$E568,"")</f>
        <v/>
      </c>
      <c r="K574" s="16" t="str">
        <f>IF('Paste Here'!$F568&lt;&gt;"",'Paste Here'!$F568,"")</f>
        <v/>
      </c>
      <c r="L574" s="16" t="str">
        <f>IF('Paste Here'!$G568&lt;&gt;"",'Paste Here'!$G568,"")</f>
        <v/>
      </c>
      <c r="M574" s="18" t="str">
        <f t="shared" si="17"/>
        <v/>
      </c>
    </row>
    <row r="575" spans="1:13" s="17" customFormat="1" x14ac:dyDescent="0.25">
      <c r="A575" s="16" t="str">
        <f>IF(URN&lt;&gt;"",_xll.mdValue("Resident",_xlnm.Database,$F575),"")</f>
        <v/>
      </c>
      <c r="B575" s="16" t="str">
        <f>IF(PersonId&lt;&gt;"",_xll.mdValue("Resident First Name",_xlnm.Database,$A$8),"")</f>
        <v/>
      </c>
      <c r="C575" s="16" t="str">
        <f>IF(PersonId&lt;&gt;"",_xll.mdValue("Resident Last Name",_xlnm.Database,$A$8),"")</f>
        <v/>
      </c>
      <c r="D575" s="16" t="str">
        <f>IF(PersonId&lt;&gt;"",_xll.mdValue("Person Accomodation Code",_xlnm.Database,$A575),"")</f>
        <v/>
      </c>
      <c r="E575" s="28" t="str">
        <f t="shared" si="16"/>
        <v/>
      </c>
      <c r="F575" s="16" t="str">
        <f>IF('Paste Here'!$A569&lt;&gt;"",'Paste Here'!$A569,"")</f>
        <v/>
      </c>
      <c r="G575" s="16" t="str">
        <f>IF('Paste Here'!$B569&lt;&gt;"",'Paste Here'!$B569,"")</f>
        <v/>
      </c>
      <c r="H575" s="16" t="str">
        <f>IF('Paste Here'!$C569&lt;&gt;"",'Paste Here'!$C569,"")</f>
        <v/>
      </c>
      <c r="I575" s="25" t="str">
        <f>IF('Paste Here'!$D569&lt;&gt;"",'Paste Here'!$D569,"")</f>
        <v/>
      </c>
      <c r="J575" s="27" t="str">
        <f>IF('Paste Here'!$E569&lt;&gt;"",'Paste Here'!$E569,"")</f>
        <v/>
      </c>
      <c r="K575" s="16" t="str">
        <f>IF('Paste Here'!$F569&lt;&gt;"",'Paste Here'!$F569,"")</f>
        <v/>
      </c>
      <c r="L575" s="16" t="str">
        <f>IF('Paste Here'!$G569&lt;&gt;"",'Paste Here'!$G569,"")</f>
        <v/>
      </c>
      <c r="M575" s="18" t="str">
        <f t="shared" si="17"/>
        <v/>
      </c>
    </row>
    <row r="576" spans="1:13" s="17" customFormat="1" x14ac:dyDescent="0.25">
      <c r="A576" s="16" t="str">
        <f>IF(URN&lt;&gt;"",_xll.mdValue("Resident",_xlnm.Database,$F576),"")</f>
        <v/>
      </c>
      <c r="B576" s="16" t="str">
        <f>IF(PersonId&lt;&gt;"",_xll.mdValue("Resident First Name",_xlnm.Database,$A$8),"")</f>
        <v/>
      </c>
      <c r="C576" s="16" t="str">
        <f>IF(PersonId&lt;&gt;"",_xll.mdValue("Resident Last Name",_xlnm.Database,$A$8),"")</f>
        <v/>
      </c>
      <c r="D576" s="16" t="str">
        <f>IF(PersonId&lt;&gt;"",_xll.mdValue("Person Accomodation Code",_xlnm.Database,$A576),"")</f>
        <v/>
      </c>
      <c r="E576" s="28" t="str">
        <f t="shared" si="16"/>
        <v/>
      </c>
      <c r="F576" s="16" t="str">
        <f>IF('Paste Here'!$A570&lt;&gt;"",'Paste Here'!$A570,"")</f>
        <v/>
      </c>
      <c r="G576" s="16" t="str">
        <f>IF('Paste Here'!$B570&lt;&gt;"",'Paste Here'!$B570,"")</f>
        <v/>
      </c>
      <c r="H576" s="16" t="str">
        <f>IF('Paste Here'!$C570&lt;&gt;"",'Paste Here'!$C570,"")</f>
        <v/>
      </c>
      <c r="I576" s="25" t="str">
        <f>IF('Paste Here'!$D570&lt;&gt;"",'Paste Here'!$D570,"")</f>
        <v/>
      </c>
      <c r="J576" s="27" t="str">
        <f>IF('Paste Here'!$E570&lt;&gt;"",'Paste Here'!$E570,"")</f>
        <v/>
      </c>
      <c r="K576" s="16" t="str">
        <f>IF('Paste Here'!$F570&lt;&gt;"",'Paste Here'!$F570,"")</f>
        <v/>
      </c>
      <c r="L576" s="16" t="str">
        <f>IF('Paste Here'!$G570&lt;&gt;"",'Paste Here'!$G570,"")</f>
        <v/>
      </c>
      <c r="M576" s="18" t="str">
        <f t="shared" si="17"/>
        <v/>
      </c>
    </row>
    <row r="577" spans="1:13" s="17" customFormat="1" x14ac:dyDescent="0.25">
      <c r="A577" s="16" t="str">
        <f>IF(URN&lt;&gt;"",_xll.mdValue("Resident",_xlnm.Database,$F577),"")</f>
        <v/>
      </c>
      <c r="B577" s="16" t="str">
        <f>IF(PersonId&lt;&gt;"",_xll.mdValue("Resident First Name",_xlnm.Database,$A$8),"")</f>
        <v/>
      </c>
      <c r="C577" s="16" t="str">
        <f>IF(PersonId&lt;&gt;"",_xll.mdValue("Resident Last Name",_xlnm.Database,$A$8),"")</f>
        <v/>
      </c>
      <c r="D577" s="16" t="str">
        <f>IF(PersonId&lt;&gt;"",_xll.mdValue("Person Accomodation Code",_xlnm.Database,$A577),"")</f>
        <v/>
      </c>
      <c r="E577" s="28" t="str">
        <f t="shared" si="16"/>
        <v/>
      </c>
      <c r="F577" s="16" t="str">
        <f>IF('Paste Here'!$A571&lt;&gt;"",'Paste Here'!$A571,"")</f>
        <v/>
      </c>
      <c r="G577" s="16" t="str">
        <f>IF('Paste Here'!$B571&lt;&gt;"",'Paste Here'!$B571,"")</f>
        <v/>
      </c>
      <c r="H577" s="16" t="str">
        <f>IF('Paste Here'!$C571&lt;&gt;"",'Paste Here'!$C571,"")</f>
        <v/>
      </c>
      <c r="I577" s="25" t="str">
        <f>IF('Paste Here'!$D571&lt;&gt;"",'Paste Here'!$D571,"")</f>
        <v/>
      </c>
      <c r="J577" s="27" t="str">
        <f>IF('Paste Here'!$E571&lt;&gt;"",'Paste Here'!$E571,"")</f>
        <v/>
      </c>
      <c r="K577" s="16" t="str">
        <f>IF('Paste Here'!$F571&lt;&gt;"",'Paste Here'!$F571,"")</f>
        <v/>
      </c>
      <c r="L577" s="16" t="str">
        <f>IF('Paste Here'!$G571&lt;&gt;"",'Paste Here'!$G571,"")</f>
        <v/>
      </c>
      <c r="M577" s="18" t="str">
        <f t="shared" si="17"/>
        <v/>
      </c>
    </row>
    <row r="578" spans="1:13" s="17" customFormat="1" x14ac:dyDescent="0.25">
      <c r="A578" s="16" t="str">
        <f>IF(URN&lt;&gt;"",_xll.mdValue("Resident",_xlnm.Database,$F578),"")</f>
        <v/>
      </c>
      <c r="B578" s="16" t="str">
        <f>IF(PersonId&lt;&gt;"",_xll.mdValue("Resident First Name",_xlnm.Database,$A$8),"")</f>
        <v/>
      </c>
      <c r="C578" s="16" t="str">
        <f>IF(PersonId&lt;&gt;"",_xll.mdValue("Resident Last Name",_xlnm.Database,$A$8),"")</f>
        <v/>
      </c>
      <c r="D578" s="16" t="str">
        <f>IF(PersonId&lt;&gt;"",_xll.mdValue("Person Accomodation Code",_xlnm.Database,$A578),"")</f>
        <v/>
      </c>
      <c r="E578" s="28" t="str">
        <f t="shared" si="16"/>
        <v/>
      </c>
      <c r="F578" s="16" t="str">
        <f>IF('Paste Here'!$A572&lt;&gt;"",'Paste Here'!$A572,"")</f>
        <v/>
      </c>
      <c r="G578" s="16" t="str">
        <f>IF('Paste Here'!$B572&lt;&gt;"",'Paste Here'!$B572,"")</f>
        <v/>
      </c>
      <c r="H578" s="16" t="str">
        <f>IF('Paste Here'!$C572&lt;&gt;"",'Paste Here'!$C572,"")</f>
        <v/>
      </c>
      <c r="I578" s="25" t="str">
        <f>IF('Paste Here'!$D572&lt;&gt;"",'Paste Here'!$D572,"")</f>
        <v/>
      </c>
      <c r="J578" s="27" t="str">
        <f>IF('Paste Here'!$E572&lt;&gt;"",'Paste Here'!$E572,"")</f>
        <v/>
      </c>
      <c r="K578" s="16" t="str">
        <f>IF('Paste Here'!$F572&lt;&gt;"",'Paste Here'!$F572,"")</f>
        <v/>
      </c>
      <c r="L578" s="16" t="str">
        <f>IF('Paste Here'!$G572&lt;&gt;"",'Paste Here'!$G572,"")</f>
        <v/>
      </c>
      <c r="M578" s="18" t="str">
        <f t="shared" si="17"/>
        <v/>
      </c>
    </row>
    <row r="579" spans="1:13" s="17" customFormat="1" x14ac:dyDescent="0.25">
      <c r="A579" s="16" t="str">
        <f>IF(URN&lt;&gt;"",_xll.mdValue("Resident",_xlnm.Database,$F579),"")</f>
        <v/>
      </c>
      <c r="B579" s="16" t="str">
        <f>IF(PersonId&lt;&gt;"",_xll.mdValue("Resident First Name",_xlnm.Database,$A$8),"")</f>
        <v/>
      </c>
      <c r="C579" s="16" t="str">
        <f>IF(PersonId&lt;&gt;"",_xll.mdValue("Resident Last Name",_xlnm.Database,$A$8),"")</f>
        <v/>
      </c>
      <c r="D579" s="16" t="str">
        <f>IF(PersonId&lt;&gt;"",_xll.mdValue("Person Accomodation Code",_xlnm.Database,$A579),"")</f>
        <v/>
      </c>
      <c r="E579" s="28" t="str">
        <f t="shared" si="16"/>
        <v/>
      </c>
      <c r="F579" s="16" t="str">
        <f>IF('Paste Here'!$A573&lt;&gt;"",'Paste Here'!$A573,"")</f>
        <v/>
      </c>
      <c r="G579" s="16" t="str">
        <f>IF('Paste Here'!$B573&lt;&gt;"",'Paste Here'!$B573,"")</f>
        <v/>
      </c>
      <c r="H579" s="16" t="str">
        <f>IF('Paste Here'!$C573&lt;&gt;"",'Paste Here'!$C573,"")</f>
        <v/>
      </c>
      <c r="I579" s="25" t="str">
        <f>IF('Paste Here'!$D573&lt;&gt;"",'Paste Here'!$D573,"")</f>
        <v/>
      </c>
      <c r="J579" s="27" t="str">
        <f>IF('Paste Here'!$E573&lt;&gt;"",'Paste Here'!$E573,"")</f>
        <v/>
      </c>
      <c r="K579" s="16" t="str">
        <f>IF('Paste Here'!$F573&lt;&gt;"",'Paste Here'!$F573,"")</f>
        <v/>
      </c>
      <c r="L579" s="16" t="str">
        <f>IF('Paste Here'!$G573&lt;&gt;"",'Paste Here'!$G573,"")</f>
        <v/>
      </c>
      <c r="M579" s="18" t="str">
        <f t="shared" si="17"/>
        <v/>
      </c>
    </row>
    <row r="580" spans="1:13" s="17" customFormat="1" x14ac:dyDescent="0.25">
      <c r="A580" s="16" t="str">
        <f>IF(URN&lt;&gt;"",_xll.mdValue("Resident",_xlnm.Database,$F580),"")</f>
        <v/>
      </c>
      <c r="B580" s="16" t="str">
        <f>IF(PersonId&lt;&gt;"",_xll.mdValue("Resident First Name",_xlnm.Database,$A$8),"")</f>
        <v/>
      </c>
      <c r="C580" s="16" t="str">
        <f>IF(PersonId&lt;&gt;"",_xll.mdValue("Resident Last Name",_xlnm.Database,$A$8),"")</f>
        <v/>
      </c>
      <c r="D580" s="16" t="str">
        <f>IF(PersonId&lt;&gt;"",_xll.mdValue("Person Accomodation Code",_xlnm.Database,$A580),"")</f>
        <v/>
      </c>
      <c r="E580" s="28" t="str">
        <f t="shared" si="16"/>
        <v/>
      </c>
      <c r="F580" s="16" t="str">
        <f>IF('Paste Here'!$A574&lt;&gt;"",'Paste Here'!$A574,"")</f>
        <v/>
      </c>
      <c r="G580" s="16" t="str">
        <f>IF('Paste Here'!$B574&lt;&gt;"",'Paste Here'!$B574,"")</f>
        <v/>
      </c>
      <c r="H580" s="16" t="str">
        <f>IF('Paste Here'!$C574&lt;&gt;"",'Paste Here'!$C574,"")</f>
        <v/>
      </c>
      <c r="I580" s="25" t="str">
        <f>IF('Paste Here'!$D574&lt;&gt;"",'Paste Here'!$D574,"")</f>
        <v/>
      </c>
      <c r="J580" s="27" t="str">
        <f>IF('Paste Here'!$E574&lt;&gt;"",'Paste Here'!$E574,"")</f>
        <v/>
      </c>
      <c r="K580" s="16" t="str">
        <f>IF('Paste Here'!$F574&lt;&gt;"",'Paste Here'!$F574,"")</f>
        <v/>
      </c>
      <c r="L580" s="16" t="str">
        <f>IF('Paste Here'!$G574&lt;&gt;"",'Paste Here'!$G574,"")</f>
        <v/>
      </c>
      <c r="M580" s="18" t="str">
        <f t="shared" si="17"/>
        <v/>
      </c>
    </row>
    <row r="581" spans="1:13" s="17" customFormat="1" x14ac:dyDescent="0.25">
      <c r="A581" s="16" t="str">
        <f>IF(URN&lt;&gt;"",_xll.mdValue("Resident",_xlnm.Database,$F581),"")</f>
        <v/>
      </c>
      <c r="B581" s="16" t="str">
        <f>IF(PersonId&lt;&gt;"",_xll.mdValue("Resident First Name",_xlnm.Database,$A$8),"")</f>
        <v/>
      </c>
      <c r="C581" s="16" t="str">
        <f>IF(PersonId&lt;&gt;"",_xll.mdValue("Resident Last Name",_xlnm.Database,$A$8),"")</f>
        <v/>
      </c>
      <c r="D581" s="16" t="str">
        <f>IF(PersonId&lt;&gt;"",_xll.mdValue("Person Accomodation Code",_xlnm.Database,$A581),"")</f>
        <v/>
      </c>
      <c r="E581" s="28" t="str">
        <f t="shared" si="16"/>
        <v/>
      </c>
      <c r="F581" s="16" t="str">
        <f>IF('Paste Here'!$A575&lt;&gt;"",'Paste Here'!$A575,"")</f>
        <v/>
      </c>
      <c r="G581" s="16" t="str">
        <f>IF('Paste Here'!$B575&lt;&gt;"",'Paste Here'!$B575,"")</f>
        <v/>
      </c>
      <c r="H581" s="16" t="str">
        <f>IF('Paste Here'!$C575&lt;&gt;"",'Paste Here'!$C575,"")</f>
        <v/>
      </c>
      <c r="I581" s="25" t="str">
        <f>IF('Paste Here'!$D575&lt;&gt;"",'Paste Here'!$D575,"")</f>
        <v/>
      </c>
      <c r="J581" s="27" t="str">
        <f>IF('Paste Here'!$E575&lt;&gt;"",'Paste Here'!$E575,"")</f>
        <v/>
      </c>
      <c r="K581" s="16" t="str">
        <f>IF('Paste Here'!$F575&lt;&gt;"",'Paste Here'!$F575,"")</f>
        <v/>
      </c>
      <c r="L581" s="16" t="str">
        <f>IF('Paste Here'!$G575&lt;&gt;"",'Paste Here'!$G575,"")</f>
        <v/>
      </c>
      <c r="M581" s="18" t="str">
        <f t="shared" si="17"/>
        <v/>
      </c>
    </row>
    <row r="582" spans="1:13" s="17" customFormat="1" x14ac:dyDescent="0.25">
      <c r="A582" s="16" t="str">
        <f>IF(URN&lt;&gt;"",_xll.mdValue("Resident",_xlnm.Database,$F582),"")</f>
        <v/>
      </c>
      <c r="B582" s="16" t="str">
        <f>IF(PersonId&lt;&gt;"",_xll.mdValue("Resident First Name",_xlnm.Database,$A$8),"")</f>
        <v/>
      </c>
      <c r="C582" s="16" t="str">
        <f>IF(PersonId&lt;&gt;"",_xll.mdValue("Resident Last Name",_xlnm.Database,$A$8),"")</f>
        <v/>
      </c>
      <c r="D582" s="16" t="str">
        <f>IF(PersonId&lt;&gt;"",_xll.mdValue("Person Accomodation Code",_xlnm.Database,$A582),"")</f>
        <v/>
      </c>
      <c r="E582" s="28" t="str">
        <f t="shared" si="16"/>
        <v/>
      </c>
      <c r="F582" s="16" t="str">
        <f>IF('Paste Here'!$A576&lt;&gt;"",'Paste Here'!$A576,"")</f>
        <v/>
      </c>
      <c r="G582" s="16" t="str">
        <f>IF('Paste Here'!$B576&lt;&gt;"",'Paste Here'!$B576,"")</f>
        <v/>
      </c>
      <c r="H582" s="16" t="str">
        <f>IF('Paste Here'!$C576&lt;&gt;"",'Paste Here'!$C576,"")</f>
        <v/>
      </c>
      <c r="I582" s="25" t="str">
        <f>IF('Paste Here'!$D576&lt;&gt;"",'Paste Here'!$D576,"")</f>
        <v/>
      </c>
      <c r="J582" s="27" t="str">
        <f>IF('Paste Here'!$E576&lt;&gt;"",'Paste Here'!$E576,"")</f>
        <v/>
      </c>
      <c r="K582" s="16" t="str">
        <f>IF('Paste Here'!$F576&lt;&gt;"",'Paste Here'!$F576,"")</f>
        <v/>
      </c>
      <c r="L582" s="16" t="str">
        <f>IF('Paste Here'!$G576&lt;&gt;"",'Paste Here'!$G576,"")</f>
        <v/>
      </c>
      <c r="M582" s="18" t="str">
        <f t="shared" si="17"/>
        <v/>
      </c>
    </row>
    <row r="583" spans="1:13" s="17" customFormat="1" x14ac:dyDescent="0.25">
      <c r="A583" s="16" t="str">
        <f>IF(URN&lt;&gt;"",_xll.mdValue("Resident",_xlnm.Database,$F583),"")</f>
        <v/>
      </c>
      <c r="B583" s="16" t="str">
        <f>IF(PersonId&lt;&gt;"",_xll.mdValue("Resident First Name",_xlnm.Database,$A$8),"")</f>
        <v/>
      </c>
      <c r="C583" s="16" t="str">
        <f>IF(PersonId&lt;&gt;"",_xll.mdValue("Resident Last Name",_xlnm.Database,$A$8),"")</f>
        <v/>
      </c>
      <c r="D583" s="16" t="str">
        <f>IF(PersonId&lt;&gt;"",_xll.mdValue("Person Accomodation Code",_xlnm.Database,$A583),"")</f>
        <v/>
      </c>
      <c r="E583" s="28" t="str">
        <f t="shared" si="16"/>
        <v/>
      </c>
      <c r="F583" s="16" t="str">
        <f>IF('Paste Here'!$A577&lt;&gt;"",'Paste Here'!$A577,"")</f>
        <v/>
      </c>
      <c r="G583" s="16" t="str">
        <f>IF('Paste Here'!$B577&lt;&gt;"",'Paste Here'!$B577,"")</f>
        <v/>
      </c>
      <c r="H583" s="16" t="str">
        <f>IF('Paste Here'!$C577&lt;&gt;"",'Paste Here'!$C577,"")</f>
        <v/>
      </c>
      <c r="I583" s="25" t="str">
        <f>IF('Paste Here'!$D577&lt;&gt;"",'Paste Here'!$D577,"")</f>
        <v/>
      </c>
      <c r="J583" s="27" t="str">
        <f>IF('Paste Here'!$E577&lt;&gt;"",'Paste Here'!$E577,"")</f>
        <v/>
      </c>
      <c r="K583" s="16" t="str">
        <f>IF('Paste Here'!$F577&lt;&gt;"",'Paste Here'!$F577,"")</f>
        <v/>
      </c>
      <c r="L583" s="16" t="str">
        <f>IF('Paste Here'!$G577&lt;&gt;"",'Paste Here'!$G577,"")</f>
        <v/>
      </c>
      <c r="M583" s="18" t="str">
        <f t="shared" si="17"/>
        <v/>
      </c>
    </row>
    <row r="584" spans="1:13" s="17" customFormat="1" x14ac:dyDescent="0.25">
      <c r="A584" s="16" t="str">
        <f>IF(URN&lt;&gt;"",_xll.mdValue("Resident",_xlnm.Database,$F584),"")</f>
        <v/>
      </c>
      <c r="B584" s="16" t="str">
        <f>IF(PersonId&lt;&gt;"",_xll.mdValue("Resident First Name",_xlnm.Database,$A$8),"")</f>
        <v/>
      </c>
      <c r="C584" s="16" t="str">
        <f>IF(PersonId&lt;&gt;"",_xll.mdValue("Resident Last Name",_xlnm.Database,$A$8),"")</f>
        <v/>
      </c>
      <c r="D584" s="16" t="str">
        <f>IF(PersonId&lt;&gt;"",_xll.mdValue("Person Accomodation Code",_xlnm.Database,$A584),"")</f>
        <v/>
      </c>
      <c r="E584" s="28" t="str">
        <f t="shared" ref="E584:E647" si="18">IF(ClientCare_Accommodation&lt;&gt;"",IF(ClientCare_Accommodation&lt;&gt;AccommodationCode,"Missing Accommodation",""),"")</f>
        <v/>
      </c>
      <c r="F584" s="16" t="str">
        <f>IF('Paste Here'!$A578&lt;&gt;"",'Paste Here'!$A578,"")</f>
        <v/>
      </c>
      <c r="G584" s="16" t="str">
        <f>IF('Paste Here'!$B578&lt;&gt;"",'Paste Here'!$B578,"")</f>
        <v/>
      </c>
      <c r="H584" s="16" t="str">
        <f>IF('Paste Here'!$C578&lt;&gt;"",'Paste Here'!$C578,"")</f>
        <v/>
      </c>
      <c r="I584" s="25" t="str">
        <f>IF('Paste Here'!$D578&lt;&gt;"",'Paste Here'!$D578,"")</f>
        <v/>
      </c>
      <c r="J584" s="27" t="str">
        <f>IF('Paste Here'!$E578&lt;&gt;"",'Paste Here'!$E578,"")</f>
        <v/>
      </c>
      <c r="K584" s="16" t="str">
        <f>IF('Paste Here'!$F578&lt;&gt;"",'Paste Here'!$F578,"")</f>
        <v/>
      </c>
      <c r="L584" s="16" t="str">
        <f>IF('Paste Here'!$G578&lt;&gt;"",'Paste Here'!$G578,"")</f>
        <v/>
      </c>
      <c r="M584" s="18" t="str">
        <f t="shared" ref="M584:M647" si="19">IF(PersonId&lt;&gt;"","Normal","")</f>
        <v/>
      </c>
    </row>
    <row r="585" spans="1:13" s="17" customFormat="1" x14ac:dyDescent="0.25">
      <c r="A585" s="16" t="str">
        <f>IF(URN&lt;&gt;"",_xll.mdValue("Resident",_xlnm.Database,$F585),"")</f>
        <v/>
      </c>
      <c r="B585" s="16" t="str">
        <f>IF(PersonId&lt;&gt;"",_xll.mdValue("Resident First Name",_xlnm.Database,$A$8),"")</f>
        <v/>
      </c>
      <c r="C585" s="16" t="str">
        <f>IF(PersonId&lt;&gt;"",_xll.mdValue("Resident Last Name",_xlnm.Database,$A$8),"")</f>
        <v/>
      </c>
      <c r="D585" s="16" t="str">
        <f>IF(PersonId&lt;&gt;"",_xll.mdValue("Person Accomodation Code",_xlnm.Database,$A585),"")</f>
        <v/>
      </c>
      <c r="E585" s="28" t="str">
        <f t="shared" si="18"/>
        <v/>
      </c>
      <c r="F585" s="16" t="str">
        <f>IF('Paste Here'!$A579&lt;&gt;"",'Paste Here'!$A579,"")</f>
        <v/>
      </c>
      <c r="G585" s="16" t="str">
        <f>IF('Paste Here'!$B579&lt;&gt;"",'Paste Here'!$B579,"")</f>
        <v/>
      </c>
      <c r="H585" s="16" t="str">
        <f>IF('Paste Here'!$C579&lt;&gt;"",'Paste Here'!$C579,"")</f>
        <v/>
      </c>
      <c r="I585" s="25" t="str">
        <f>IF('Paste Here'!$D579&lt;&gt;"",'Paste Here'!$D579,"")</f>
        <v/>
      </c>
      <c r="J585" s="27" t="str">
        <f>IF('Paste Here'!$E579&lt;&gt;"",'Paste Here'!$E579,"")</f>
        <v/>
      </c>
      <c r="K585" s="16" t="str">
        <f>IF('Paste Here'!$F579&lt;&gt;"",'Paste Here'!$F579,"")</f>
        <v/>
      </c>
      <c r="L585" s="16" t="str">
        <f>IF('Paste Here'!$G579&lt;&gt;"",'Paste Here'!$G579,"")</f>
        <v/>
      </c>
      <c r="M585" s="18" t="str">
        <f t="shared" si="19"/>
        <v/>
      </c>
    </row>
    <row r="586" spans="1:13" s="17" customFormat="1" x14ac:dyDescent="0.25">
      <c r="A586" s="16" t="str">
        <f>IF(URN&lt;&gt;"",_xll.mdValue("Resident",_xlnm.Database,$F586),"")</f>
        <v/>
      </c>
      <c r="B586" s="16" t="str">
        <f>IF(PersonId&lt;&gt;"",_xll.mdValue("Resident First Name",_xlnm.Database,$A$8),"")</f>
        <v/>
      </c>
      <c r="C586" s="16" t="str">
        <f>IF(PersonId&lt;&gt;"",_xll.mdValue("Resident Last Name",_xlnm.Database,$A$8),"")</f>
        <v/>
      </c>
      <c r="D586" s="16" t="str">
        <f>IF(PersonId&lt;&gt;"",_xll.mdValue("Person Accomodation Code",_xlnm.Database,$A586),"")</f>
        <v/>
      </c>
      <c r="E586" s="28" t="str">
        <f t="shared" si="18"/>
        <v/>
      </c>
      <c r="F586" s="16" t="str">
        <f>IF('Paste Here'!$A580&lt;&gt;"",'Paste Here'!$A580,"")</f>
        <v/>
      </c>
      <c r="G586" s="16" t="str">
        <f>IF('Paste Here'!$B580&lt;&gt;"",'Paste Here'!$B580,"")</f>
        <v/>
      </c>
      <c r="H586" s="16" t="str">
        <f>IF('Paste Here'!$C580&lt;&gt;"",'Paste Here'!$C580,"")</f>
        <v/>
      </c>
      <c r="I586" s="25" t="str">
        <f>IF('Paste Here'!$D580&lt;&gt;"",'Paste Here'!$D580,"")</f>
        <v/>
      </c>
      <c r="J586" s="27" t="str">
        <f>IF('Paste Here'!$E580&lt;&gt;"",'Paste Here'!$E580,"")</f>
        <v/>
      </c>
      <c r="K586" s="16" t="str">
        <f>IF('Paste Here'!$F580&lt;&gt;"",'Paste Here'!$F580,"")</f>
        <v/>
      </c>
      <c r="L586" s="16" t="str">
        <f>IF('Paste Here'!$G580&lt;&gt;"",'Paste Here'!$G580,"")</f>
        <v/>
      </c>
      <c r="M586" s="18" t="str">
        <f t="shared" si="19"/>
        <v/>
      </c>
    </row>
    <row r="587" spans="1:13" s="17" customFormat="1" x14ac:dyDescent="0.25">
      <c r="A587" s="16" t="str">
        <f>IF(URN&lt;&gt;"",_xll.mdValue("Resident",_xlnm.Database,$F587),"")</f>
        <v/>
      </c>
      <c r="B587" s="16" t="str">
        <f>IF(PersonId&lt;&gt;"",_xll.mdValue("Resident First Name",_xlnm.Database,$A$8),"")</f>
        <v/>
      </c>
      <c r="C587" s="16" t="str">
        <f>IF(PersonId&lt;&gt;"",_xll.mdValue("Resident Last Name",_xlnm.Database,$A$8),"")</f>
        <v/>
      </c>
      <c r="D587" s="16" t="str">
        <f>IF(PersonId&lt;&gt;"",_xll.mdValue("Person Accomodation Code",_xlnm.Database,$A587),"")</f>
        <v/>
      </c>
      <c r="E587" s="28" t="str">
        <f t="shared" si="18"/>
        <v/>
      </c>
      <c r="F587" s="16" t="str">
        <f>IF('Paste Here'!$A581&lt;&gt;"",'Paste Here'!$A581,"")</f>
        <v/>
      </c>
      <c r="G587" s="16" t="str">
        <f>IF('Paste Here'!$B581&lt;&gt;"",'Paste Here'!$B581,"")</f>
        <v/>
      </c>
      <c r="H587" s="16" t="str">
        <f>IF('Paste Here'!$C581&lt;&gt;"",'Paste Here'!$C581,"")</f>
        <v/>
      </c>
      <c r="I587" s="25" t="str">
        <f>IF('Paste Here'!$D581&lt;&gt;"",'Paste Here'!$D581,"")</f>
        <v/>
      </c>
      <c r="J587" s="27" t="str">
        <f>IF('Paste Here'!$E581&lt;&gt;"",'Paste Here'!$E581,"")</f>
        <v/>
      </c>
      <c r="K587" s="16" t="str">
        <f>IF('Paste Here'!$F581&lt;&gt;"",'Paste Here'!$F581,"")</f>
        <v/>
      </c>
      <c r="L587" s="16" t="str">
        <f>IF('Paste Here'!$G581&lt;&gt;"",'Paste Here'!$G581,"")</f>
        <v/>
      </c>
      <c r="M587" s="18" t="str">
        <f t="shared" si="19"/>
        <v/>
      </c>
    </row>
    <row r="588" spans="1:13" s="17" customFormat="1" x14ac:dyDescent="0.25">
      <c r="A588" s="16" t="str">
        <f>IF(URN&lt;&gt;"",_xll.mdValue("Resident",_xlnm.Database,$F588),"")</f>
        <v/>
      </c>
      <c r="B588" s="16" t="str">
        <f>IF(PersonId&lt;&gt;"",_xll.mdValue("Resident First Name",_xlnm.Database,$A$8),"")</f>
        <v/>
      </c>
      <c r="C588" s="16" t="str">
        <f>IF(PersonId&lt;&gt;"",_xll.mdValue("Resident Last Name",_xlnm.Database,$A$8),"")</f>
        <v/>
      </c>
      <c r="D588" s="16" t="str">
        <f>IF(PersonId&lt;&gt;"",_xll.mdValue("Person Accomodation Code",_xlnm.Database,$A588),"")</f>
        <v/>
      </c>
      <c r="E588" s="28" t="str">
        <f t="shared" si="18"/>
        <v/>
      </c>
      <c r="F588" s="16" t="str">
        <f>IF('Paste Here'!$A582&lt;&gt;"",'Paste Here'!$A582,"")</f>
        <v/>
      </c>
      <c r="G588" s="16" t="str">
        <f>IF('Paste Here'!$B582&lt;&gt;"",'Paste Here'!$B582,"")</f>
        <v/>
      </c>
      <c r="H588" s="16" t="str">
        <f>IF('Paste Here'!$C582&lt;&gt;"",'Paste Here'!$C582,"")</f>
        <v/>
      </c>
      <c r="I588" s="25" t="str">
        <f>IF('Paste Here'!$D582&lt;&gt;"",'Paste Here'!$D582,"")</f>
        <v/>
      </c>
      <c r="J588" s="27" t="str">
        <f>IF('Paste Here'!$E582&lt;&gt;"",'Paste Here'!$E582,"")</f>
        <v/>
      </c>
      <c r="K588" s="16" t="str">
        <f>IF('Paste Here'!$F582&lt;&gt;"",'Paste Here'!$F582,"")</f>
        <v/>
      </c>
      <c r="L588" s="16" t="str">
        <f>IF('Paste Here'!$G582&lt;&gt;"",'Paste Here'!$G582,"")</f>
        <v/>
      </c>
      <c r="M588" s="18" t="str">
        <f t="shared" si="19"/>
        <v/>
      </c>
    </row>
    <row r="589" spans="1:13" s="17" customFormat="1" x14ac:dyDescent="0.25">
      <c r="A589" s="16" t="str">
        <f>IF(URN&lt;&gt;"",_xll.mdValue("Resident",_xlnm.Database,$F589),"")</f>
        <v/>
      </c>
      <c r="B589" s="16" t="str">
        <f>IF(PersonId&lt;&gt;"",_xll.mdValue("Resident First Name",_xlnm.Database,$A$8),"")</f>
        <v/>
      </c>
      <c r="C589" s="16" t="str">
        <f>IF(PersonId&lt;&gt;"",_xll.mdValue("Resident Last Name",_xlnm.Database,$A$8),"")</f>
        <v/>
      </c>
      <c r="D589" s="16" t="str">
        <f>IF(PersonId&lt;&gt;"",_xll.mdValue("Person Accomodation Code",_xlnm.Database,$A589),"")</f>
        <v/>
      </c>
      <c r="E589" s="28" t="str">
        <f t="shared" si="18"/>
        <v/>
      </c>
      <c r="F589" s="16" t="str">
        <f>IF('Paste Here'!$A583&lt;&gt;"",'Paste Here'!$A583,"")</f>
        <v/>
      </c>
      <c r="G589" s="16" t="str">
        <f>IF('Paste Here'!$B583&lt;&gt;"",'Paste Here'!$B583,"")</f>
        <v/>
      </c>
      <c r="H589" s="16" t="str">
        <f>IF('Paste Here'!$C583&lt;&gt;"",'Paste Here'!$C583,"")</f>
        <v/>
      </c>
      <c r="I589" s="25" t="str">
        <f>IF('Paste Here'!$D583&lt;&gt;"",'Paste Here'!$D583,"")</f>
        <v/>
      </c>
      <c r="J589" s="27" t="str">
        <f>IF('Paste Here'!$E583&lt;&gt;"",'Paste Here'!$E583,"")</f>
        <v/>
      </c>
      <c r="K589" s="16" t="str">
        <f>IF('Paste Here'!$F583&lt;&gt;"",'Paste Here'!$F583,"")</f>
        <v/>
      </c>
      <c r="L589" s="16" t="str">
        <f>IF('Paste Here'!$G583&lt;&gt;"",'Paste Here'!$G583,"")</f>
        <v/>
      </c>
      <c r="M589" s="18" t="str">
        <f t="shared" si="19"/>
        <v/>
      </c>
    </row>
    <row r="590" spans="1:13" s="17" customFormat="1" x14ac:dyDescent="0.25">
      <c r="A590" s="16" t="str">
        <f>IF(URN&lt;&gt;"",_xll.mdValue("Resident",_xlnm.Database,$F590),"")</f>
        <v/>
      </c>
      <c r="B590" s="16" t="str">
        <f>IF(PersonId&lt;&gt;"",_xll.mdValue("Resident First Name",_xlnm.Database,$A$8),"")</f>
        <v/>
      </c>
      <c r="C590" s="16" t="str">
        <f>IF(PersonId&lt;&gt;"",_xll.mdValue("Resident Last Name",_xlnm.Database,$A$8),"")</f>
        <v/>
      </c>
      <c r="D590" s="16" t="str">
        <f>IF(PersonId&lt;&gt;"",_xll.mdValue("Person Accomodation Code",_xlnm.Database,$A590),"")</f>
        <v/>
      </c>
      <c r="E590" s="28" t="str">
        <f t="shared" si="18"/>
        <v/>
      </c>
      <c r="F590" s="16" t="str">
        <f>IF('Paste Here'!$A584&lt;&gt;"",'Paste Here'!$A584,"")</f>
        <v/>
      </c>
      <c r="G590" s="16" t="str">
        <f>IF('Paste Here'!$B584&lt;&gt;"",'Paste Here'!$B584,"")</f>
        <v/>
      </c>
      <c r="H590" s="16" t="str">
        <f>IF('Paste Here'!$C584&lt;&gt;"",'Paste Here'!$C584,"")</f>
        <v/>
      </c>
      <c r="I590" s="25" t="str">
        <f>IF('Paste Here'!$D584&lt;&gt;"",'Paste Here'!$D584,"")</f>
        <v/>
      </c>
      <c r="J590" s="27" t="str">
        <f>IF('Paste Here'!$E584&lt;&gt;"",'Paste Here'!$E584,"")</f>
        <v/>
      </c>
      <c r="K590" s="16" t="str">
        <f>IF('Paste Here'!$F584&lt;&gt;"",'Paste Here'!$F584,"")</f>
        <v/>
      </c>
      <c r="L590" s="16" t="str">
        <f>IF('Paste Here'!$G584&lt;&gt;"",'Paste Here'!$G584,"")</f>
        <v/>
      </c>
      <c r="M590" s="18" t="str">
        <f t="shared" si="19"/>
        <v/>
      </c>
    </row>
    <row r="591" spans="1:13" s="17" customFormat="1" x14ac:dyDescent="0.25">
      <c r="A591" s="16" t="str">
        <f>IF(URN&lt;&gt;"",_xll.mdValue("Resident",_xlnm.Database,$F591),"")</f>
        <v/>
      </c>
      <c r="B591" s="16" t="str">
        <f>IF(PersonId&lt;&gt;"",_xll.mdValue("Resident First Name",_xlnm.Database,$A$8),"")</f>
        <v/>
      </c>
      <c r="C591" s="16" t="str">
        <f>IF(PersonId&lt;&gt;"",_xll.mdValue("Resident Last Name",_xlnm.Database,$A$8),"")</f>
        <v/>
      </c>
      <c r="D591" s="16" t="str">
        <f>IF(PersonId&lt;&gt;"",_xll.mdValue("Person Accomodation Code",_xlnm.Database,$A591),"")</f>
        <v/>
      </c>
      <c r="E591" s="28" t="str">
        <f t="shared" si="18"/>
        <v/>
      </c>
      <c r="F591" s="16" t="str">
        <f>IF('Paste Here'!$A585&lt;&gt;"",'Paste Here'!$A585,"")</f>
        <v/>
      </c>
      <c r="G591" s="16" t="str">
        <f>IF('Paste Here'!$B585&lt;&gt;"",'Paste Here'!$B585,"")</f>
        <v/>
      </c>
      <c r="H591" s="16" t="str">
        <f>IF('Paste Here'!$C585&lt;&gt;"",'Paste Here'!$C585,"")</f>
        <v/>
      </c>
      <c r="I591" s="25" t="str">
        <f>IF('Paste Here'!$D585&lt;&gt;"",'Paste Here'!$D585,"")</f>
        <v/>
      </c>
      <c r="J591" s="27" t="str">
        <f>IF('Paste Here'!$E585&lt;&gt;"",'Paste Here'!$E585,"")</f>
        <v/>
      </c>
      <c r="K591" s="16" t="str">
        <f>IF('Paste Here'!$F585&lt;&gt;"",'Paste Here'!$F585,"")</f>
        <v/>
      </c>
      <c r="L591" s="16" t="str">
        <f>IF('Paste Here'!$G585&lt;&gt;"",'Paste Here'!$G585,"")</f>
        <v/>
      </c>
      <c r="M591" s="18" t="str">
        <f t="shared" si="19"/>
        <v/>
      </c>
    </row>
    <row r="592" spans="1:13" s="17" customFormat="1" x14ac:dyDescent="0.25">
      <c r="A592" s="16" t="str">
        <f>IF(URN&lt;&gt;"",_xll.mdValue("Resident",_xlnm.Database,$F592),"")</f>
        <v/>
      </c>
      <c r="B592" s="16" t="str">
        <f>IF(PersonId&lt;&gt;"",_xll.mdValue("Resident First Name",_xlnm.Database,$A$8),"")</f>
        <v/>
      </c>
      <c r="C592" s="16" t="str">
        <f>IF(PersonId&lt;&gt;"",_xll.mdValue("Resident Last Name",_xlnm.Database,$A$8),"")</f>
        <v/>
      </c>
      <c r="D592" s="16" t="str">
        <f>IF(PersonId&lt;&gt;"",_xll.mdValue("Person Accomodation Code",_xlnm.Database,$A592),"")</f>
        <v/>
      </c>
      <c r="E592" s="28" t="str">
        <f t="shared" si="18"/>
        <v/>
      </c>
      <c r="F592" s="16" t="str">
        <f>IF('Paste Here'!$A586&lt;&gt;"",'Paste Here'!$A586,"")</f>
        <v/>
      </c>
      <c r="G592" s="16" t="str">
        <f>IF('Paste Here'!$B586&lt;&gt;"",'Paste Here'!$B586,"")</f>
        <v/>
      </c>
      <c r="H592" s="16" t="str">
        <f>IF('Paste Here'!$C586&lt;&gt;"",'Paste Here'!$C586,"")</f>
        <v/>
      </c>
      <c r="I592" s="25" t="str">
        <f>IF('Paste Here'!$D586&lt;&gt;"",'Paste Here'!$D586,"")</f>
        <v/>
      </c>
      <c r="J592" s="27" t="str">
        <f>IF('Paste Here'!$E586&lt;&gt;"",'Paste Here'!$E586,"")</f>
        <v/>
      </c>
      <c r="K592" s="16" t="str">
        <f>IF('Paste Here'!$F586&lt;&gt;"",'Paste Here'!$F586,"")</f>
        <v/>
      </c>
      <c r="L592" s="16" t="str">
        <f>IF('Paste Here'!$G586&lt;&gt;"",'Paste Here'!$G586,"")</f>
        <v/>
      </c>
      <c r="M592" s="18" t="str">
        <f t="shared" si="19"/>
        <v/>
      </c>
    </row>
    <row r="593" spans="1:13" s="17" customFormat="1" x14ac:dyDescent="0.25">
      <c r="A593" s="16" t="str">
        <f>IF(URN&lt;&gt;"",_xll.mdValue("Resident",_xlnm.Database,$F593),"")</f>
        <v/>
      </c>
      <c r="B593" s="16" t="str">
        <f>IF(PersonId&lt;&gt;"",_xll.mdValue("Resident First Name",_xlnm.Database,$A$8),"")</f>
        <v/>
      </c>
      <c r="C593" s="16" t="str">
        <f>IF(PersonId&lt;&gt;"",_xll.mdValue("Resident Last Name",_xlnm.Database,$A$8),"")</f>
        <v/>
      </c>
      <c r="D593" s="16" t="str">
        <f>IF(PersonId&lt;&gt;"",_xll.mdValue("Person Accomodation Code",_xlnm.Database,$A593),"")</f>
        <v/>
      </c>
      <c r="E593" s="28" t="str">
        <f t="shared" si="18"/>
        <v/>
      </c>
      <c r="F593" s="16" t="str">
        <f>IF('Paste Here'!$A587&lt;&gt;"",'Paste Here'!$A587,"")</f>
        <v/>
      </c>
      <c r="G593" s="16" t="str">
        <f>IF('Paste Here'!$B587&lt;&gt;"",'Paste Here'!$B587,"")</f>
        <v/>
      </c>
      <c r="H593" s="16" t="str">
        <f>IF('Paste Here'!$C587&lt;&gt;"",'Paste Here'!$C587,"")</f>
        <v/>
      </c>
      <c r="I593" s="25" t="str">
        <f>IF('Paste Here'!$D587&lt;&gt;"",'Paste Here'!$D587,"")</f>
        <v/>
      </c>
      <c r="J593" s="27" t="str">
        <f>IF('Paste Here'!$E587&lt;&gt;"",'Paste Here'!$E587,"")</f>
        <v/>
      </c>
      <c r="K593" s="16" t="str">
        <f>IF('Paste Here'!$F587&lt;&gt;"",'Paste Here'!$F587,"")</f>
        <v/>
      </c>
      <c r="L593" s="16" t="str">
        <f>IF('Paste Here'!$G587&lt;&gt;"",'Paste Here'!$G587,"")</f>
        <v/>
      </c>
      <c r="M593" s="18" t="str">
        <f t="shared" si="19"/>
        <v/>
      </c>
    </row>
    <row r="594" spans="1:13" s="17" customFormat="1" x14ac:dyDescent="0.25">
      <c r="A594" s="16" t="str">
        <f>IF(URN&lt;&gt;"",_xll.mdValue("Resident",_xlnm.Database,$F594),"")</f>
        <v/>
      </c>
      <c r="B594" s="16" t="str">
        <f>IF(PersonId&lt;&gt;"",_xll.mdValue("Resident First Name",_xlnm.Database,$A$8),"")</f>
        <v/>
      </c>
      <c r="C594" s="16" t="str">
        <f>IF(PersonId&lt;&gt;"",_xll.mdValue("Resident Last Name",_xlnm.Database,$A$8),"")</f>
        <v/>
      </c>
      <c r="D594" s="16" t="str">
        <f>IF(PersonId&lt;&gt;"",_xll.mdValue("Person Accomodation Code",_xlnm.Database,$A594),"")</f>
        <v/>
      </c>
      <c r="E594" s="28" t="str">
        <f t="shared" si="18"/>
        <v/>
      </c>
      <c r="F594" s="16" t="str">
        <f>IF('Paste Here'!$A588&lt;&gt;"",'Paste Here'!$A588,"")</f>
        <v/>
      </c>
      <c r="G594" s="16" t="str">
        <f>IF('Paste Here'!$B588&lt;&gt;"",'Paste Here'!$B588,"")</f>
        <v/>
      </c>
      <c r="H594" s="16" t="str">
        <f>IF('Paste Here'!$C588&lt;&gt;"",'Paste Here'!$C588,"")</f>
        <v/>
      </c>
      <c r="I594" s="25" t="str">
        <f>IF('Paste Here'!$D588&lt;&gt;"",'Paste Here'!$D588,"")</f>
        <v/>
      </c>
      <c r="J594" s="27" t="str">
        <f>IF('Paste Here'!$E588&lt;&gt;"",'Paste Here'!$E588,"")</f>
        <v/>
      </c>
      <c r="K594" s="16" t="str">
        <f>IF('Paste Here'!$F588&lt;&gt;"",'Paste Here'!$F588,"")</f>
        <v/>
      </c>
      <c r="L594" s="16" t="str">
        <f>IF('Paste Here'!$G588&lt;&gt;"",'Paste Here'!$G588,"")</f>
        <v/>
      </c>
      <c r="M594" s="18" t="str">
        <f t="shared" si="19"/>
        <v/>
      </c>
    </row>
    <row r="595" spans="1:13" s="17" customFormat="1" x14ac:dyDescent="0.25">
      <c r="A595" s="16" t="str">
        <f>IF(URN&lt;&gt;"",_xll.mdValue("Resident",_xlnm.Database,$F595),"")</f>
        <v/>
      </c>
      <c r="B595" s="16" t="str">
        <f>IF(PersonId&lt;&gt;"",_xll.mdValue("Resident First Name",_xlnm.Database,$A$8),"")</f>
        <v/>
      </c>
      <c r="C595" s="16" t="str">
        <f>IF(PersonId&lt;&gt;"",_xll.mdValue("Resident Last Name",_xlnm.Database,$A$8),"")</f>
        <v/>
      </c>
      <c r="D595" s="16" t="str">
        <f>IF(PersonId&lt;&gt;"",_xll.mdValue("Person Accomodation Code",_xlnm.Database,$A595),"")</f>
        <v/>
      </c>
      <c r="E595" s="28" t="str">
        <f t="shared" si="18"/>
        <v/>
      </c>
      <c r="F595" s="16" t="str">
        <f>IF('Paste Here'!$A589&lt;&gt;"",'Paste Here'!$A589,"")</f>
        <v/>
      </c>
      <c r="G595" s="16" t="str">
        <f>IF('Paste Here'!$B589&lt;&gt;"",'Paste Here'!$B589,"")</f>
        <v/>
      </c>
      <c r="H595" s="16" t="str">
        <f>IF('Paste Here'!$C589&lt;&gt;"",'Paste Here'!$C589,"")</f>
        <v/>
      </c>
      <c r="I595" s="25" t="str">
        <f>IF('Paste Here'!$D589&lt;&gt;"",'Paste Here'!$D589,"")</f>
        <v/>
      </c>
      <c r="J595" s="27" t="str">
        <f>IF('Paste Here'!$E589&lt;&gt;"",'Paste Here'!$E589,"")</f>
        <v/>
      </c>
      <c r="K595" s="16" t="str">
        <f>IF('Paste Here'!$F589&lt;&gt;"",'Paste Here'!$F589,"")</f>
        <v/>
      </c>
      <c r="L595" s="16" t="str">
        <f>IF('Paste Here'!$G589&lt;&gt;"",'Paste Here'!$G589,"")</f>
        <v/>
      </c>
      <c r="M595" s="18" t="str">
        <f t="shared" si="19"/>
        <v/>
      </c>
    </row>
    <row r="596" spans="1:13" s="17" customFormat="1" x14ac:dyDescent="0.25">
      <c r="A596" s="16" t="str">
        <f>IF(URN&lt;&gt;"",_xll.mdValue("Resident",_xlnm.Database,$F596),"")</f>
        <v/>
      </c>
      <c r="B596" s="16" t="str">
        <f>IF(PersonId&lt;&gt;"",_xll.mdValue("Resident First Name",_xlnm.Database,$A$8),"")</f>
        <v/>
      </c>
      <c r="C596" s="16" t="str">
        <f>IF(PersonId&lt;&gt;"",_xll.mdValue("Resident Last Name",_xlnm.Database,$A$8),"")</f>
        <v/>
      </c>
      <c r="D596" s="16" t="str">
        <f>IF(PersonId&lt;&gt;"",_xll.mdValue("Person Accomodation Code",_xlnm.Database,$A596),"")</f>
        <v/>
      </c>
      <c r="E596" s="28" t="str">
        <f t="shared" si="18"/>
        <v/>
      </c>
      <c r="F596" s="16" t="str">
        <f>IF('Paste Here'!$A590&lt;&gt;"",'Paste Here'!$A590,"")</f>
        <v/>
      </c>
      <c r="G596" s="16" t="str">
        <f>IF('Paste Here'!$B590&lt;&gt;"",'Paste Here'!$B590,"")</f>
        <v/>
      </c>
      <c r="H596" s="16" t="str">
        <f>IF('Paste Here'!$C590&lt;&gt;"",'Paste Here'!$C590,"")</f>
        <v/>
      </c>
      <c r="I596" s="25" t="str">
        <f>IF('Paste Here'!$D590&lt;&gt;"",'Paste Here'!$D590,"")</f>
        <v/>
      </c>
      <c r="J596" s="27" t="str">
        <f>IF('Paste Here'!$E590&lt;&gt;"",'Paste Here'!$E590,"")</f>
        <v/>
      </c>
      <c r="K596" s="16" t="str">
        <f>IF('Paste Here'!$F590&lt;&gt;"",'Paste Here'!$F590,"")</f>
        <v/>
      </c>
      <c r="L596" s="16" t="str">
        <f>IF('Paste Here'!$G590&lt;&gt;"",'Paste Here'!$G590,"")</f>
        <v/>
      </c>
      <c r="M596" s="18" t="str">
        <f t="shared" si="19"/>
        <v/>
      </c>
    </row>
    <row r="597" spans="1:13" s="17" customFormat="1" x14ac:dyDescent="0.25">
      <c r="A597" s="16" t="str">
        <f>IF(URN&lt;&gt;"",_xll.mdValue("Resident",_xlnm.Database,$F597),"")</f>
        <v/>
      </c>
      <c r="B597" s="16" t="str">
        <f>IF(PersonId&lt;&gt;"",_xll.mdValue("Resident First Name",_xlnm.Database,$A$8),"")</f>
        <v/>
      </c>
      <c r="C597" s="16" t="str">
        <f>IF(PersonId&lt;&gt;"",_xll.mdValue("Resident Last Name",_xlnm.Database,$A$8),"")</f>
        <v/>
      </c>
      <c r="D597" s="16" t="str">
        <f>IF(PersonId&lt;&gt;"",_xll.mdValue("Person Accomodation Code",_xlnm.Database,$A597),"")</f>
        <v/>
      </c>
      <c r="E597" s="28" t="str">
        <f t="shared" si="18"/>
        <v/>
      </c>
      <c r="F597" s="16" t="str">
        <f>IF('Paste Here'!$A591&lt;&gt;"",'Paste Here'!$A591,"")</f>
        <v/>
      </c>
      <c r="G597" s="16" t="str">
        <f>IF('Paste Here'!$B591&lt;&gt;"",'Paste Here'!$B591,"")</f>
        <v/>
      </c>
      <c r="H597" s="16" t="str">
        <f>IF('Paste Here'!$C591&lt;&gt;"",'Paste Here'!$C591,"")</f>
        <v/>
      </c>
      <c r="I597" s="25" t="str">
        <f>IF('Paste Here'!$D591&lt;&gt;"",'Paste Here'!$D591,"")</f>
        <v/>
      </c>
      <c r="J597" s="27" t="str">
        <f>IF('Paste Here'!$E591&lt;&gt;"",'Paste Here'!$E591,"")</f>
        <v/>
      </c>
      <c r="K597" s="16" t="str">
        <f>IF('Paste Here'!$F591&lt;&gt;"",'Paste Here'!$F591,"")</f>
        <v/>
      </c>
      <c r="L597" s="16" t="str">
        <f>IF('Paste Here'!$G591&lt;&gt;"",'Paste Here'!$G591,"")</f>
        <v/>
      </c>
      <c r="M597" s="18" t="str">
        <f t="shared" si="19"/>
        <v/>
      </c>
    </row>
    <row r="598" spans="1:13" s="17" customFormat="1" x14ac:dyDescent="0.25">
      <c r="A598" s="16" t="str">
        <f>IF(URN&lt;&gt;"",_xll.mdValue("Resident",_xlnm.Database,$F598),"")</f>
        <v/>
      </c>
      <c r="B598" s="16" t="str">
        <f>IF(PersonId&lt;&gt;"",_xll.mdValue("Resident First Name",_xlnm.Database,$A$8),"")</f>
        <v/>
      </c>
      <c r="C598" s="16" t="str">
        <f>IF(PersonId&lt;&gt;"",_xll.mdValue("Resident Last Name",_xlnm.Database,$A$8),"")</f>
        <v/>
      </c>
      <c r="D598" s="16" t="str">
        <f>IF(PersonId&lt;&gt;"",_xll.mdValue("Person Accomodation Code",_xlnm.Database,$A598),"")</f>
        <v/>
      </c>
      <c r="E598" s="28" t="str">
        <f t="shared" si="18"/>
        <v/>
      </c>
      <c r="F598" s="16" t="str">
        <f>IF('Paste Here'!$A592&lt;&gt;"",'Paste Here'!$A592,"")</f>
        <v/>
      </c>
      <c r="G598" s="16" t="str">
        <f>IF('Paste Here'!$B592&lt;&gt;"",'Paste Here'!$B592,"")</f>
        <v/>
      </c>
      <c r="H598" s="16" t="str">
        <f>IF('Paste Here'!$C592&lt;&gt;"",'Paste Here'!$C592,"")</f>
        <v/>
      </c>
      <c r="I598" s="25" t="str">
        <f>IF('Paste Here'!$D592&lt;&gt;"",'Paste Here'!$D592,"")</f>
        <v/>
      </c>
      <c r="J598" s="27" t="str">
        <f>IF('Paste Here'!$E592&lt;&gt;"",'Paste Here'!$E592,"")</f>
        <v/>
      </c>
      <c r="K598" s="16" t="str">
        <f>IF('Paste Here'!$F592&lt;&gt;"",'Paste Here'!$F592,"")</f>
        <v/>
      </c>
      <c r="L598" s="16" t="str">
        <f>IF('Paste Here'!$G592&lt;&gt;"",'Paste Here'!$G592,"")</f>
        <v/>
      </c>
      <c r="M598" s="18" t="str">
        <f t="shared" si="19"/>
        <v/>
      </c>
    </row>
    <row r="599" spans="1:13" s="17" customFormat="1" x14ac:dyDescent="0.25">
      <c r="A599" s="16" t="str">
        <f>IF(URN&lt;&gt;"",_xll.mdValue("Resident",_xlnm.Database,$F599),"")</f>
        <v/>
      </c>
      <c r="B599" s="16" t="str">
        <f>IF(PersonId&lt;&gt;"",_xll.mdValue("Resident First Name",_xlnm.Database,$A$8),"")</f>
        <v/>
      </c>
      <c r="C599" s="16" t="str">
        <f>IF(PersonId&lt;&gt;"",_xll.mdValue("Resident Last Name",_xlnm.Database,$A$8),"")</f>
        <v/>
      </c>
      <c r="D599" s="16" t="str">
        <f>IF(PersonId&lt;&gt;"",_xll.mdValue("Person Accomodation Code",_xlnm.Database,$A599),"")</f>
        <v/>
      </c>
      <c r="E599" s="28" t="str">
        <f t="shared" si="18"/>
        <v/>
      </c>
      <c r="F599" s="16" t="str">
        <f>IF('Paste Here'!$A593&lt;&gt;"",'Paste Here'!$A593,"")</f>
        <v/>
      </c>
      <c r="G599" s="16" t="str">
        <f>IF('Paste Here'!$B593&lt;&gt;"",'Paste Here'!$B593,"")</f>
        <v/>
      </c>
      <c r="H599" s="16" t="str">
        <f>IF('Paste Here'!$C593&lt;&gt;"",'Paste Here'!$C593,"")</f>
        <v/>
      </c>
      <c r="I599" s="25" t="str">
        <f>IF('Paste Here'!$D593&lt;&gt;"",'Paste Here'!$D593,"")</f>
        <v/>
      </c>
      <c r="J599" s="27" t="str">
        <f>IF('Paste Here'!$E593&lt;&gt;"",'Paste Here'!$E593,"")</f>
        <v/>
      </c>
      <c r="K599" s="16" t="str">
        <f>IF('Paste Here'!$F593&lt;&gt;"",'Paste Here'!$F593,"")</f>
        <v/>
      </c>
      <c r="L599" s="16" t="str">
        <f>IF('Paste Here'!$G593&lt;&gt;"",'Paste Here'!$G593,"")</f>
        <v/>
      </c>
      <c r="M599" s="18" t="str">
        <f t="shared" si="19"/>
        <v/>
      </c>
    </row>
    <row r="600" spans="1:13" s="17" customFormat="1" x14ac:dyDescent="0.25">
      <c r="A600" s="16" t="str">
        <f>IF(URN&lt;&gt;"",_xll.mdValue("Resident",_xlnm.Database,$F600),"")</f>
        <v/>
      </c>
      <c r="B600" s="16" t="str">
        <f>IF(PersonId&lt;&gt;"",_xll.mdValue("Resident First Name",_xlnm.Database,$A$8),"")</f>
        <v/>
      </c>
      <c r="C600" s="16" t="str">
        <f>IF(PersonId&lt;&gt;"",_xll.mdValue("Resident Last Name",_xlnm.Database,$A$8),"")</f>
        <v/>
      </c>
      <c r="D600" s="16" t="str">
        <f>IF(PersonId&lt;&gt;"",_xll.mdValue("Person Accomodation Code",_xlnm.Database,$A600),"")</f>
        <v/>
      </c>
      <c r="E600" s="28" t="str">
        <f t="shared" si="18"/>
        <v/>
      </c>
      <c r="F600" s="16" t="str">
        <f>IF('Paste Here'!$A594&lt;&gt;"",'Paste Here'!$A594,"")</f>
        <v/>
      </c>
      <c r="G600" s="16" t="str">
        <f>IF('Paste Here'!$B594&lt;&gt;"",'Paste Here'!$B594,"")</f>
        <v/>
      </c>
      <c r="H600" s="16" t="str">
        <f>IF('Paste Here'!$C594&lt;&gt;"",'Paste Here'!$C594,"")</f>
        <v/>
      </c>
      <c r="I600" s="25" t="str">
        <f>IF('Paste Here'!$D594&lt;&gt;"",'Paste Here'!$D594,"")</f>
        <v/>
      </c>
      <c r="J600" s="27" t="str">
        <f>IF('Paste Here'!$E594&lt;&gt;"",'Paste Here'!$E594,"")</f>
        <v/>
      </c>
      <c r="K600" s="16" t="str">
        <f>IF('Paste Here'!$F594&lt;&gt;"",'Paste Here'!$F594,"")</f>
        <v/>
      </c>
      <c r="L600" s="16" t="str">
        <f>IF('Paste Here'!$G594&lt;&gt;"",'Paste Here'!$G594,"")</f>
        <v/>
      </c>
      <c r="M600" s="18" t="str">
        <f t="shared" si="19"/>
        <v/>
      </c>
    </row>
    <row r="601" spans="1:13" s="17" customFormat="1" x14ac:dyDescent="0.25">
      <c r="A601" s="16" t="str">
        <f>IF(URN&lt;&gt;"",_xll.mdValue("Resident",_xlnm.Database,$F601),"")</f>
        <v/>
      </c>
      <c r="B601" s="16" t="str">
        <f>IF(PersonId&lt;&gt;"",_xll.mdValue("Resident First Name",_xlnm.Database,$A$8),"")</f>
        <v/>
      </c>
      <c r="C601" s="16" t="str">
        <f>IF(PersonId&lt;&gt;"",_xll.mdValue("Resident Last Name",_xlnm.Database,$A$8),"")</f>
        <v/>
      </c>
      <c r="D601" s="16" t="str">
        <f>IF(PersonId&lt;&gt;"",_xll.mdValue("Person Accomodation Code",_xlnm.Database,$A601),"")</f>
        <v/>
      </c>
      <c r="E601" s="28" t="str">
        <f t="shared" si="18"/>
        <v/>
      </c>
      <c r="F601" s="16" t="str">
        <f>IF('Paste Here'!$A595&lt;&gt;"",'Paste Here'!$A595,"")</f>
        <v/>
      </c>
      <c r="G601" s="16" t="str">
        <f>IF('Paste Here'!$B595&lt;&gt;"",'Paste Here'!$B595,"")</f>
        <v/>
      </c>
      <c r="H601" s="16" t="str">
        <f>IF('Paste Here'!$C595&lt;&gt;"",'Paste Here'!$C595,"")</f>
        <v/>
      </c>
      <c r="I601" s="25" t="str">
        <f>IF('Paste Here'!$D595&lt;&gt;"",'Paste Here'!$D595,"")</f>
        <v/>
      </c>
      <c r="J601" s="27" t="str">
        <f>IF('Paste Here'!$E595&lt;&gt;"",'Paste Here'!$E595,"")</f>
        <v/>
      </c>
      <c r="K601" s="16" t="str">
        <f>IF('Paste Here'!$F595&lt;&gt;"",'Paste Here'!$F595,"")</f>
        <v/>
      </c>
      <c r="L601" s="16" t="str">
        <f>IF('Paste Here'!$G595&lt;&gt;"",'Paste Here'!$G595,"")</f>
        <v/>
      </c>
      <c r="M601" s="18" t="str">
        <f t="shared" si="19"/>
        <v/>
      </c>
    </row>
    <row r="602" spans="1:13" s="17" customFormat="1" x14ac:dyDescent="0.25">
      <c r="A602" s="16" t="str">
        <f>IF(URN&lt;&gt;"",_xll.mdValue("Resident",_xlnm.Database,$F602),"")</f>
        <v/>
      </c>
      <c r="B602" s="16" t="str">
        <f>IF(PersonId&lt;&gt;"",_xll.mdValue("Resident First Name",_xlnm.Database,$A$8),"")</f>
        <v/>
      </c>
      <c r="C602" s="16" t="str">
        <f>IF(PersonId&lt;&gt;"",_xll.mdValue("Resident Last Name",_xlnm.Database,$A$8),"")</f>
        <v/>
      </c>
      <c r="D602" s="16" t="str">
        <f>IF(PersonId&lt;&gt;"",_xll.mdValue("Person Accomodation Code",_xlnm.Database,$A602),"")</f>
        <v/>
      </c>
      <c r="E602" s="28" t="str">
        <f t="shared" si="18"/>
        <v/>
      </c>
      <c r="F602" s="16" t="str">
        <f>IF('Paste Here'!$A596&lt;&gt;"",'Paste Here'!$A596,"")</f>
        <v/>
      </c>
      <c r="G602" s="16" t="str">
        <f>IF('Paste Here'!$B596&lt;&gt;"",'Paste Here'!$B596,"")</f>
        <v/>
      </c>
      <c r="H602" s="16" t="str">
        <f>IF('Paste Here'!$C596&lt;&gt;"",'Paste Here'!$C596,"")</f>
        <v/>
      </c>
      <c r="I602" s="25" t="str">
        <f>IF('Paste Here'!$D596&lt;&gt;"",'Paste Here'!$D596,"")</f>
        <v/>
      </c>
      <c r="J602" s="27" t="str">
        <f>IF('Paste Here'!$E596&lt;&gt;"",'Paste Here'!$E596,"")</f>
        <v/>
      </c>
      <c r="K602" s="16" t="str">
        <f>IF('Paste Here'!$F596&lt;&gt;"",'Paste Here'!$F596,"")</f>
        <v/>
      </c>
      <c r="L602" s="16" t="str">
        <f>IF('Paste Here'!$G596&lt;&gt;"",'Paste Here'!$G596,"")</f>
        <v/>
      </c>
      <c r="M602" s="18" t="str">
        <f t="shared" si="19"/>
        <v/>
      </c>
    </row>
    <row r="603" spans="1:13" s="17" customFormat="1" x14ac:dyDescent="0.25">
      <c r="A603" s="16" t="str">
        <f>IF(URN&lt;&gt;"",_xll.mdValue("Resident",_xlnm.Database,$F603),"")</f>
        <v/>
      </c>
      <c r="B603" s="16" t="str">
        <f>IF(PersonId&lt;&gt;"",_xll.mdValue("Resident First Name",_xlnm.Database,$A$8),"")</f>
        <v/>
      </c>
      <c r="C603" s="16" t="str">
        <f>IF(PersonId&lt;&gt;"",_xll.mdValue("Resident Last Name",_xlnm.Database,$A$8),"")</f>
        <v/>
      </c>
      <c r="D603" s="16" t="str">
        <f>IF(PersonId&lt;&gt;"",_xll.mdValue("Person Accomodation Code",_xlnm.Database,$A603),"")</f>
        <v/>
      </c>
      <c r="E603" s="28" t="str">
        <f t="shared" si="18"/>
        <v/>
      </c>
      <c r="F603" s="16" t="str">
        <f>IF('Paste Here'!$A597&lt;&gt;"",'Paste Here'!$A597,"")</f>
        <v/>
      </c>
      <c r="G603" s="16" t="str">
        <f>IF('Paste Here'!$B597&lt;&gt;"",'Paste Here'!$B597,"")</f>
        <v/>
      </c>
      <c r="H603" s="16" t="str">
        <f>IF('Paste Here'!$C597&lt;&gt;"",'Paste Here'!$C597,"")</f>
        <v/>
      </c>
      <c r="I603" s="25" t="str">
        <f>IF('Paste Here'!$D597&lt;&gt;"",'Paste Here'!$D597,"")</f>
        <v/>
      </c>
      <c r="J603" s="27" t="str">
        <f>IF('Paste Here'!$E597&lt;&gt;"",'Paste Here'!$E597,"")</f>
        <v/>
      </c>
      <c r="K603" s="16" t="str">
        <f>IF('Paste Here'!$F597&lt;&gt;"",'Paste Here'!$F597,"")</f>
        <v/>
      </c>
      <c r="L603" s="16" t="str">
        <f>IF('Paste Here'!$G597&lt;&gt;"",'Paste Here'!$G597,"")</f>
        <v/>
      </c>
      <c r="M603" s="18" t="str">
        <f t="shared" si="19"/>
        <v/>
      </c>
    </row>
    <row r="604" spans="1:13" s="17" customFormat="1" x14ac:dyDescent="0.25">
      <c r="A604" s="16" t="str">
        <f>IF(URN&lt;&gt;"",_xll.mdValue("Resident",_xlnm.Database,$F604),"")</f>
        <v/>
      </c>
      <c r="B604" s="16" t="str">
        <f>IF(PersonId&lt;&gt;"",_xll.mdValue("Resident First Name",_xlnm.Database,$A$8),"")</f>
        <v/>
      </c>
      <c r="C604" s="16" t="str">
        <f>IF(PersonId&lt;&gt;"",_xll.mdValue("Resident Last Name",_xlnm.Database,$A$8),"")</f>
        <v/>
      </c>
      <c r="D604" s="16" t="str">
        <f>IF(PersonId&lt;&gt;"",_xll.mdValue("Person Accomodation Code",_xlnm.Database,$A604),"")</f>
        <v/>
      </c>
      <c r="E604" s="28" t="str">
        <f t="shared" si="18"/>
        <v/>
      </c>
      <c r="F604" s="16" t="str">
        <f>IF('Paste Here'!$A598&lt;&gt;"",'Paste Here'!$A598,"")</f>
        <v/>
      </c>
      <c r="G604" s="16" t="str">
        <f>IF('Paste Here'!$B598&lt;&gt;"",'Paste Here'!$B598,"")</f>
        <v/>
      </c>
      <c r="H604" s="16" t="str">
        <f>IF('Paste Here'!$C598&lt;&gt;"",'Paste Here'!$C598,"")</f>
        <v/>
      </c>
      <c r="I604" s="25" t="str">
        <f>IF('Paste Here'!$D598&lt;&gt;"",'Paste Here'!$D598,"")</f>
        <v/>
      </c>
      <c r="J604" s="27" t="str">
        <f>IF('Paste Here'!$E598&lt;&gt;"",'Paste Here'!$E598,"")</f>
        <v/>
      </c>
      <c r="K604" s="16" t="str">
        <f>IF('Paste Here'!$F598&lt;&gt;"",'Paste Here'!$F598,"")</f>
        <v/>
      </c>
      <c r="L604" s="16" t="str">
        <f>IF('Paste Here'!$G598&lt;&gt;"",'Paste Here'!$G598,"")</f>
        <v/>
      </c>
      <c r="M604" s="18" t="str">
        <f t="shared" si="19"/>
        <v/>
      </c>
    </row>
    <row r="605" spans="1:13" s="17" customFormat="1" x14ac:dyDescent="0.25">
      <c r="A605" s="16" t="str">
        <f>IF(URN&lt;&gt;"",_xll.mdValue("Resident",_xlnm.Database,$F605),"")</f>
        <v/>
      </c>
      <c r="B605" s="16" t="str">
        <f>IF(PersonId&lt;&gt;"",_xll.mdValue("Resident First Name",_xlnm.Database,$A$8),"")</f>
        <v/>
      </c>
      <c r="C605" s="16" t="str">
        <f>IF(PersonId&lt;&gt;"",_xll.mdValue("Resident Last Name",_xlnm.Database,$A$8),"")</f>
        <v/>
      </c>
      <c r="D605" s="16" t="str">
        <f>IF(PersonId&lt;&gt;"",_xll.mdValue("Person Accomodation Code",_xlnm.Database,$A605),"")</f>
        <v/>
      </c>
      <c r="E605" s="28" t="str">
        <f t="shared" si="18"/>
        <v/>
      </c>
      <c r="F605" s="16" t="str">
        <f>IF('Paste Here'!$A599&lt;&gt;"",'Paste Here'!$A599,"")</f>
        <v/>
      </c>
      <c r="G605" s="16" t="str">
        <f>IF('Paste Here'!$B599&lt;&gt;"",'Paste Here'!$B599,"")</f>
        <v/>
      </c>
      <c r="H605" s="16" t="str">
        <f>IF('Paste Here'!$C599&lt;&gt;"",'Paste Here'!$C599,"")</f>
        <v/>
      </c>
      <c r="I605" s="25" t="str">
        <f>IF('Paste Here'!$D599&lt;&gt;"",'Paste Here'!$D599,"")</f>
        <v/>
      </c>
      <c r="J605" s="27" t="str">
        <f>IF('Paste Here'!$E599&lt;&gt;"",'Paste Here'!$E599,"")</f>
        <v/>
      </c>
      <c r="K605" s="16" t="str">
        <f>IF('Paste Here'!$F599&lt;&gt;"",'Paste Here'!$F599,"")</f>
        <v/>
      </c>
      <c r="L605" s="16" t="str">
        <f>IF('Paste Here'!$G599&lt;&gt;"",'Paste Here'!$G599,"")</f>
        <v/>
      </c>
      <c r="M605" s="18" t="str">
        <f t="shared" si="19"/>
        <v/>
      </c>
    </row>
    <row r="606" spans="1:13" s="17" customFormat="1" x14ac:dyDescent="0.25">
      <c r="A606" s="16" t="str">
        <f>IF(URN&lt;&gt;"",_xll.mdValue("Resident",_xlnm.Database,$F606),"")</f>
        <v/>
      </c>
      <c r="B606" s="16" t="str">
        <f>IF(PersonId&lt;&gt;"",_xll.mdValue("Resident First Name",_xlnm.Database,$A$8),"")</f>
        <v/>
      </c>
      <c r="C606" s="16" t="str">
        <f>IF(PersonId&lt;&gt;"",_xll.mdValue("Resident Last Name",_xlnm.Database,$A$8),"")</f>
        <v/>
      </c>
      <c r="D606" s="16" t="str">
        <f>IF(PersonId&lt;&gt;"",_xll.mdValue("Person Accomodation Code",_xlnm.Database,$A606),"")</f>
        <v/>
      </c>
      <c r="E606" s="28" t="str">
        <f t="shared" si="18"/>
        <v/>
      </c>
      <c r="F606" s="16" t="str">
        <f>IF('Paste Here'!$A600&lt;&gt;"",'Paste Here'!$A600,"")</f>
        <v/>
      </c>
      <c r="G606" s="16" t="str">
        <f>IF('Paste Here'!$B600&lt;&gt;"",'Paste Here'!$B600,"")</f>
        <v/>
      </c>
      <c r="H606" s="16" t="str">
        <f>IF('Paste Here'!$C600&lt;&gt;"",'Paste Here'!$C600,"")</f>
        <v/>
      </c>
      <c r="I606" s="25" t="str">
        <f>IF('Paste Here'!$D600&lt;&gt;"",'Paste Here'!$D600,"")</f>
        <v/>
      </c>
      <c r="J606" s="27" t="str">
        <f>IF('Paste Here'!$E600&lt;&gt;"",'Paste Here'!$E600,"")</f>
        <v/>
      </c>
      <c r="K606" s="16" t="str">
        <f>IF('Paste Here'!$F600&lt;&gt;"",'Paste Here'!$F600,"")</f>
        <v/>
      </c>
      <c r="L606" s="16" t="str">
        <f>IF('Paste Here'!$G600&lt;&gt;"",'Paste Here'!$G600,"")</f>
        <v/>
      </c>
      <c r="M606" s="18" t="str">
        <f t="shared" si="19"/>
        <v/>
      </c>
    </row>
    <row r="607" spans="1:13" s="17" customFormat="1" x14ac:dyDescent="0.25">
      <c r="A607" s="16" t="str">
        <f>IF(URN&lt;&gt;"",_xll.mdValue("Resident",_xlnm.Database,$F607),"")</f>
        <v/>
      </c>
      <c r="B607" s="16" t="str">
        <f>IF(PersonId&lt;&gt;"",_xll.mdValue("Resident First Name",_xlnm.Database,$A$8),"")</f>
        <v/>
      </c>
      <c r="C607" s="16" t="str">
        <f>IF(PersonId&lt;&gt;"",_xll.mdValue("Resident Last Name",_xlnm.Database,$A$8),"")</f>
        <v/>
      </c>
      <c r="D607" s="16" t="str">
        <f>IF(PersonId&lt;&gt;"",_xll.mdValue("Person Accomodation Code",_xlnm.Database,$A607),"")</f>
        <v/>
      </c>
      <c r="E607" s="28" t="str">
        <f t="shared" si="18"/>
        <v/>
      </c>
      <c r="F607" s="16" t="str">
        <f>IF('Paste Here'!$A601&lt;&gt;"",'Paste Here'!$A601,"")</f>
        <v/>
      </c>
      <c r="G607" s="16" t="str">
        <f>IF('Paste Here'!$B601&lt;&gt;"",'Paste Here'!$B601,"")</f>
        <v/>
      </c>
      <c r="H607" s="16" t="str">
        <f>IF('Paste Here'!$C601&lt;&gt;"",'Paste Here'!$C601,"")</f>
        <v/>
      </c>
      <c r="I607" s="25" t="str">
        <f>IF('Paste Here'!$D601&lt;&gt;"",'Paste Here'!$D601,"")</f>
        <v/>
      </c>
      <c r="J607" s="27" t="str">
        <f>IF('Paste Here'!$E601&lt;&gt;"",'Paste Here'!$E601,"")</f>
        <v/>
      </c>
      <c r="K607" s="16" t="str">
        <f>IF('Paste Here'!$F601&lt;&gt;"",'Paste Here'!$F601,"")</f>
        <v/>
      </c>
      <c r="L607" s="16" t="str">
        <f>IF('Paste Here'!$G601&lt;&gt;"",'Paste Here'!$G601,"")</f>
        <v/>
      </c>
      <c r="M607" s="18" t="str">
        <f t="shared" si="19"/>
        <v/>
      </c>
    </row>
    <row r="608" spans="1:13" s="17" customFormat="1" x14ac:dyDescent="0.25">
      <c r="A608" s="16" t="str">
        <f>IF(URN&lt;&gt;"",_xll.mdValue("Resident",_xlnm.Database,$F608),"")</f>
        <v/>
      </c>
      <c r="B608" s="16" t="str">
        <f>IF(PersonId&lt;&gt;"",_xll.mdValue("Resident First Name",_xlnm.Database,$A$8),"")</f>
        <v/>
      </c>
      <c r="C608" s="16" t="str">
        <f>IF(PersonId&lt;&gt;"",_xll.mdValue("Resident Last Name",_xlnm.Database,$A$8),"")</f>
        <v/>
      </c>
      <c r="D608" s="16" t="str">
        <f>IF(PersonId&lt;&gt;"",_xll.mdValue("Person Accomodation Code",_xlnm.Database,$A608),"")</f>
        <v/>
      </c>
      <c r="E608" s="28" t="str">
        <f t="shared" si="18"/>
        <v/>
      </c>
      <c r="F608" s="16" t="str">
        <f>IF('Paste Here'!$A602&lt;&gt;"",'Paste Here'!$A602,"")</f>
        <v/>
      </c>
      <c r="G608" s="16" t="str">
        <f>IF('Paste Here'!$B602&lt;&gt;"",'Paste Here'!$B602,"")</f>
        <v/>
      </c>
      <c r="H608" s="16" t="str">
        <f>IF('Paste Here'!$C602&lt;&gt;"",'Paste Here'!$C602,"")</f>
        <v/>
      </c>
      <c r="I608" s="25" t="str">
        <f>IF('Paste Here'!$D602&lt;&gt;"",'Paste Here'!$D602,"")</f>
        <v/>
      </c>
      <c r="J608" s="27" t="str">
        <f>IF('Paste Here'!$E602&lt;&gt;"",'Paste Here'!$E602,"")</f>
        <v/>
      </c>
      <c r="K608" s="16" t="str">
        <f>IF('Paste Here'!$F602&lt;&gt;"",'Paste Here'!$F602,"")</f>
        <v/>
      </c>
      <c r="L608" s="16" t="str">
        <f>IF('Paste Here'!$G602&lt;&gt;"",'Paste Here'!$G602,"")</f>
        <v/>
      </c>
      <c r="M608" s="18" t="str">
        <f t="shared" si="19"/>
        <v/>
      </c>
    </row>
    <row r="609" spans="1:13" s="17" customFormat="1" x14ac:dyDescent="0.25">
      <c r="A609" s="16" t="str">
        <f>IF(URN&lt;&gt;"",_xll.mdValue("Resident",_xlnm.Database,$F609),"")</f>
        <v/>
      </c>
      <c r="B609" s="16" t="str">
        <f>IF(PersonId&lt;&gt;"",_xll.mdValue("Resident First Name",_xlnm.Database,$A$8),"")</f>
        <v/>
      </c>
      <c r="C609" s="16" t="str">
        <f>IF(PersonId&lt;&gt;"",_xll.mdValue("Resident Last Name",_xlnm.Database,$A$8),"")</f>
        <v/>
      </c>
      <c r="D609" s="16" t="str">
        <f>IF(PersonId&lt;&gt;"",_xll.mdValue("Person Accomodation Code",_xlnm.Database,$A609),"")</f>
        <v/>
      </c>
      <c r="E609" s="28" t="str">
        <f t="shared" si="18"/>
        <v/>
      </c>
      <c r="F609" s="16" t="str">
        <f>IF('Paste Here'!$A603&lt;&gt;"",'Paste Here'!$A603,"")</f>
        <v/>
      </c>
      <c r="G609" s="16" t="str">
        <f>IF('Paste Here'!$B603&lt;&gt;"",'Paste Here'!$B603,"")</f>
        <v/>
      </c>
      <c r="H609" s="16" t="str">
        <f>IF('Paste Here'!$C603&lt;&gt;"",'Paste Here'!$C603,"")</f>
        <v/>
      </c>
      <c r="I609" s="25" t="str">
        <f>IF('Paste Here'!$D603&lt;&gt;"",'Paste Here'!$D603,"")</f>
        <v/>
      </c>
      <c r="J609" s="27" t="str">
        <f>IF('Paste Here'!$E603&lt;&gt;"",'Paste Here'!$E603,"")</f>
        <v/>
      </c>
      <c r="K609" s="16" t="str">
        <f>IF('Paste Here'!$F603&lt;&gt;"",'Paste Here'!$F603,"")</f>
        <v/>
      </c>
      <c r="L609" s="16" t="str">
        <f>IF('Paste Here'!$G603&lt;&gt;"",'Paste Here'!$G603,"")</f>
        <v/>
      </c>
      <c r="M609" s="18" t="str">
        <f t="shared" si="19"/>
        <v/>
      </c>
    </row>
    <row r="610" spans="1:13" s="17" customFormat="1" x14ac:dyDescent="0.25">
      <c r="A610" s="16" t="str">
        <f>IF(URN&lt;&gt;"",_xll.mdValue("Resident",_xlnm.Database,$F610),"")</f>
        <v/>
      </c>
      <c r="B610" s="16" t="str">
        <f>IF(PersonId&lt;&gt;"",_xll.mdValue("Resident First Name",_xlnm.Database,$A$8),"")</f>
        <v/>
      </c>
      <c r="C610" s="16" t="str">
        <f>IF(PersonId&lt;&gt;"",_xll.mdValue("Resident Last Name",_xlnm.Database,$A$8),"")</f>
        <v/>
      </c>
      <c r="D610" s="16" t="str">
        <f>IF(PersonId&lt;&gt;"",_xll.mdValue("Person Accomodation Code",_xlnm.Database,$A610),"")</f>
        <v/>
      </c>
      <c r="E610" s="28" t="str">
        <f t="shared" si="18"/>
        <v/>
      </c>
      <c r="F610" s="16" t="str">
        <f>IF('Paste Here'!$A604&lt;&gt;"",'Paste Here'!$A604,"")</f>
        <v/>
      </c>
      <c r="G610" s="16" t="str">
        <f>IF('Paste Here'!$B604&lt;&gt;"",'Paste Here'!$B604,"")</f>
        <v/>
      </c>
      <c r="H610" s="16" t="str">
        <f>IF('Paste Here'!$C604&lt;&gt;"",'Paste Here'!$C604,"")</f>
        <v/>
      </c>
      <c r="I610" s="25" t="str">
        <f>IF('Paste Here'!$D604&lt;&gt;"",'Paste Here'!$D604,"")</f>
        <v/>
      </c>
      <c r="J610" s="27" t="str">
        <f>IF('Paste Here'!$E604&lt;&gt;"",'Paste Here'!$E604,"")</f>
        <v/>
      </c>
      <c r="K610" s="16" t="str">
        <f>IF('Paste Here'!$F604&lt;&gt;"",'Paste Here'!$F604,"")</f>
        <v/>
      </c>
      <c r="L610" s="16" t="str">
        <f>IF('Paste Here'!$G604&lt;&gt;"",'Paste Here'!$G604,"")</f>
        <v/>
      </c>
      <c r="M610" s="18" t="str">
        <f t="shared" si="19"/>
        <v/>
      </c>
    </row>
    <row r="611" spans="1:13" s="17" customFormat="1" x14ac:dyDescent="0.25">
      <c r="A611" s="16" t="str">
        <f>IF(URN&lt;&gt;"",_xll.mdValue("Resident",_xlnm.Database,$F611),"")</f>
        <v/>
      </c>
      <c r="B611" s="16" t="str">
        <f>IF(PersonId&lt;&gt;"",_xll.mdValue("Resident First Name",_xlnm.Database,$A$8),"")</f>
        <v/>
      </c>
      <c r="C611" s="16" t="str">
        <f>IF(PersonId&lt;&gt;"",_xll.mdValue("Resident Last Name",_xlnm.Database,$A$8),"")</f>
        <v/>
      </c>
      <c r="D611" s="16" t="str">
        <f>IF(PersonId&lt;&gt;"",_xll.mdValue("Person Accomodation Code",_xlnm.Database,$A611),"")</f>
        <v/>
      </c>
      <c r="E611" s="28" t="str">
        <f t="shared" si="18"/>
        <v/>
      </c>
      <c r="F611" s="16" t="str">
        <f>IF('Paste Here'!$A605&lt;&gt;"",'Paste Here'!$A605,"")</f>
        <v/>
      </c>
      <c r="G611" s="16" t="str">
        <f>IF('Paste Here'!$B605&lt;&gt;"",'Paste Here'!$B605,"")</f>
        <v/>
      </c>
      <c r="H611" s="16" t="str">
        <f>IF('Paste Here'!$C605&lt;&gt;"",'Paste Here'!$C605,"")</f>
        <v/>
      </c>
      <c r="I611" s="25" t="str">
        <f>IF('Paste Here'!$D605&lt;&gt;"",'Paste Here'!$D605,"")</f>
        <v/>
      </c>
      <c r="J611" s="27" t="str">
        <f>IF('Paste Here'!$E605&lt;&gt;"",'Paste Here'!$E605,"")</f>
        <v/>
      </c>
      <c r="K611" s="16" t="str">
        <f>IF('Paste Here'!$F605&lt;&gt;"",'Paste Here'!$F605,"")</f>
        <v/>
      </c>
      <c r="L611" s="16" t="str">
        <f>IF('Paste Here'!$G605&lt;&gt;"",'Paste Here'!$G605,"")</f>
        <v/>
      </c>
      <c r="M611" s="18" t="str">
        <f t="shared" si="19"/>
        <v/>
      </c>
    </row>
    <row r="612" spans="1:13" s="17" customFormat="1" x14ac:dyDescent="0.25">
      <c r="A612" s="16" t="str">
        <f>IF(URN&lt;&gt;"",_xll.mdValue("Resident",_xlnm.Database,$F612),"")</f>
        <v/>
      </c>
      <c r="B612" s="16" t="str">
        <f>IF(PersonId&lt;&gt;"",_xll.mdValue("Resident First Name",_xlnm.Database,$A$8),"")</f>
        <v/>
      </c>
      <c r="C612" s="16" t="str">
        <f>IF(PersonId&lt;&gt;"",_xll.mdValue("Resident Last Name",_xlnm.Database,$A$8),"")</f>
        <v/>
      </c>
      <c r="D612" s="16" t="str">
        <f>IF(PersonId&lt;&gt;"",_xll.mdValue("Person Accomodation Code",_xlnm.Database,$A612),"")</f>
        <v/>
      </c>
      <c r="E612" s="28" t="str">
        <f t="shared" si="18"/>
        <v/>
      </c>
      <c r="F612" s="16" t="str">
        <f>IF('Paste Here'!$A606&lt;&gt;"",'Paste Here'!$A606,"")</f>
        <v/>
      </c>
      <c r="G612" s="16" t="str">
        <f>IF('Paste Here'!$B606&lt;&gt;"",'Paste Here'!$B606,"")</f>
        <v/>
      </c>
      <c r="H612" s="16" t="str">
        <f>IF('Paste Here'!$C606&lt;&gt;"",'Paste Here'!$C606,"")</f>
        <v/>
      </c>
      <c r="I612" s="25" t="str">
        <f>IF('Paste Here'!$D606&lt;&gt;"",'Paste Here'!$D606,"")</f>
        <v/>
      </c>
      <c r="J612" s="27" t="str">
        <f>IF('Paste Here'!$E606&lt;&gt;"",'Paste Here'!$E606,"")</f>
        <v/>
      </c>
      <c r="K612" s="16" t="str">
        <f>IF('Paste Here'!$F606&lt;&gt;"",'Paste Here'!$F606,"")</f>
        <v/>
      </c>
      <c r="L612" s="16" t="str">
        <f>IF('Paste Here'!$G606&lt;&gt;"",'Paste Here'!$G606,"")</f>
        <v/>
      </c>
      <c r="M612" s="18" t="str">
        <f t="shared" si="19"/>
        <v/>
      </c>
    </row>
    <row r="613" spans="1:13" s="17" customFormat="1" x14ac:dyDescent="0.25">
      <c r="A613" s="16" t="str">
        <f>IF(URN&lt;&gt;"",_xll.mdValue("Resident",_xlnm.Database,$F613),"")</f>
        <v/>
      </c>
      <c r="B613" s="16" t="str">
        <f>IF(PersonId&lt;&gt;"",_xll.mdValue("Resident First Name",_xlnm.Database,$A$8),"")</f>
        <v/>
      </c>
      <c r="C613" s="16" t="str">
        <f>IF(PersonId&lt;&gt;"",_xll.mdValue("Resident Last Name",_xlnm.Database,$A$8),"")</f>
        <v/>
      </c>
      <c r="D613" s="16" t="str">
        <f>IF(PersonId&lt;&gt;"",_xll.mdValue("Person Accomodation Code",_xlnm.Database,$A613),"")</f>
        <v/>
      </c>
      <c r="E613" s="28" t="str">
        <f t="shared" si="18"/>
        <v/>
      </c>
      <c r="F613" s="16" t="str">
        <f>IF('Paste Here'!$A607&lt;&gt;"",'Paste Here'!$A607,"")</f>
        <v/>
      </c>
      <c r="G613" s="16" t="str">
        <f>IF('Paste Here'!$B607&lt;&gt;"",'Paste Here'!$B607,"")</f>
        <v/>
      </c>
      <c r="H613" s="16" t="str">
        <f>IF('Paste Here'!$C607&lt;&gt;"",'Paste Here'!$C607,"")</f>
        <v/>
      </c>
      <c r="I613" s="25" t="str">
        <f>IF('Paste Here'!$D607&lt;&gt;"",'Paste Here'!$D607,"")</f>
        <v/>
      </c>
      <c r="J613" s="27" t="str">
        <f>IF('Paste Here'!$E607&lt;&gt;"",'Paste Here'!$E607,"")</f>
        <v/>
      </c>
      <c r="K613" s="16" t="str">
        <f>IF('Paste Here'!$F607&lt;&gt;"",'Paste Here'!$F607,"")</f>
        <v/>
      </c>
      <c r="L613" s="16" t="str">
        <f>IF('Paste Here'!$G607&lt;&gt;"",'Paste Here'!$G607,"")</f>
        <v/>
      </c>
      <c r="M613" s="18" t="str">
        <f t="shared" si="19"/>
        <v/>
      </c>
    </row>
    <row r="614" spans="1:13" s="17" customFormat="1" x14ac:dyDescent="0.25">
      <c r="A614" s="16" t="str">
        <f>IF(URN&lt;&gt;"",_xll.mdValue("Resident",_xlnm.Database,$F614),"")</f>
        <v/>
      </c>
      <c r="B614" s="16" t="str">
        <f>IF(PersonId&lt;&gt;"",_xll.mdValue("Resident First Name",_xlnm.Database,$A$8),"")</f>
        <v/>
      </c>
      <c r="C614" s="16" t="str">
        <f>IF(PersonId&lt;&gt;"",_xll.mdValue("Resident Last Name",_xlnm.Database,$A$8),"")</f>
        <v/>
      </c>
      <c r="D614" s="16" t="str">
        <f>IF(PersonId&lt;&gt;"",_xll.mdValue("Person Accomodation Code",_xlnm.Database,$A614),"")</f>
        <v/>
      </c>
      <c r="E614" s="28" t="str">
        <f t="shared" si="18"/>
        <v/>
      </c>
      <c r="F614" s="16" t="str">
        <f>IF('Paste Here'!$A608&lt;&gt;"",'Paste Here'!$A608,"")</f>
        <v/>
      </c>
      <c r="G614" s="16" t="str">
        <f>IF('Paste Here'!$B608&lt;&gt;"",'Paste Here'!$B608,"")</f>
        <v/>
      </c>
      <c r="H614" s="16" t="str">
        <f>IF('Paste Here'!$C608&lt;&gt;"",'Paste Here'!$C608,"")</f>
        <v/>
      </c>
      <c r="I614" s="25" t="str">
        <f>IF('Paste Here'!$D608&lt;&gt;"",'Paste Here'!$D608,"")</f>
        <v/>
      </c>
      <c r="J614" s="27" t="str">
        <f>IF('Paste Here'!$E608&lt;&gt;"",'Paste Here'!$E608,"")</f>
        <v/>
      </c>
      <c r="K614" s="16" t="str">
        <f>IF('Paste Here'!$F608&lt;&gt;"",'Paste Here'!$F608,"")</f>
        <v/>
      </c>
      <c r="L614" s="16" t="str">
        <f>IF('Paste Here'!$G608&lt;&gt;"",'Paste Here'!$G608,"")</f>
        <v/>
      </c>
      <c r="M614" s="18" t="str">
        <f t="shared" si="19"/>
        <v/>
      </c>
    </row>
    <row r="615" spans="1:13" s="17" customFormat="1" x14ac:dyDescent="0.25">
      <c r="A615" s="16" t="str">
        <f>IF(URN&lt;&gt;"",_xll.mdValue("Resident",_xlnm.Database,$F615),"")</f>
        <v/>
      </c>
      <c r="B615" s="16" t="str">
        <f>IF(PersonId&lt;&gt;"",_xll.mdValue("Resident First Name",_xlnm.Database,$A$8),"")</f>
        <v/>
      </c>
      <c r="C615" s="16" t="str">
        <f>IF(PersonId&lt;&gt;"",_xll.mdValue("Resident Last Name",_xlnm.Database,$A$8),"")</f>
        <v/>
      </c>
      <c r="D615" s="16" t="str">
        <f>IF(PersonId&lt;&gt;"",_xll.mdValue("Person Accomodation Code",_xlnm.Database,$A615),"")</f>
        <v/>
      </c>
      <c r="E615" s="28" t="str">
        <f t="shared" si="18"/>
        <v/>
      </c>
      <c r="F615" s="16" t="str">
        <f>IF('Paste Here'!$A609&lt;&gt;"",'Paste Here'!$A609,"")</f>
        <v/>
      </c>
      <c r="G615" s="16" t="str">
        <f>IF('Paste Here'!$B609&lt;&gt;"",'Paste Here'!$B609,"")</f>
        <v/>
      </c>
      <c r="H615" s="16" t="str">
        <f>IF('Paste Here'!$C609&lt;&gt;"",'Paste Here'!$C609,"")</f>
        <v/>
      </c>
      <c r="I615" s="25" t="str">
        <f>IF('Paste Here'!$D609&lt;&gt;"",'Paste Here'!$D609,"")</f>
        <v/>
      </c>
      <c r="J615" s="27" t="str">
        <f>IF('Paste Here'!$E609&lt;&gt;"",'Paste Here'!$E609,"")</f>
        <v/>
      </c>
      <c r="K615" s="16" t="str">
        <f>IF('Paste Here'!$F609&lt;&gt;"",'Paste Here'!$F609,"")</f>
        <v/>
      </c>
      <c r="L615" s="16" t="str">
        <f>IF('Paste Here'!$G609&lt;&gt;"",'Paste Here'!$G609,"")</f>
        <v/>
      </c>
      <c r="M615" s="18" t="str">
        <f t="shared" si="19"/>
        <v/>
      </c>
    </row>
    <row r="616" spans="1:13" s="17" customFormat="1" x14ac:dyDescent="0.25">
      <c r="A616" s="16" t="str">
        <f>IF(URN&lt;&gt;"",_xll.mdValue("Resident",_xlnm.Database,$F616),"")</f>
        <v/>
      </c>
      <c r="B616" s="16" t="str">
        <f>IF(PersonId&lt;&gt;"",_xll.mdValue("Resident First Name",_xlnm.Database,$A$8),"")</f>
        <v/>
      </c>
      <c r="C616" s="16" t="str">
        <f>IF(PersonId&lt;&gt;"",_xll.mdValue("Resident Last Name",_xlnm.Database,$A$8),"")</f>
        <v/>
      </c>
      <c r="D616" s="16" t="str">
        <f>IF(PersonId&lt;&gt;"",_xll.mdValue("Person Accomodation Code",_xlnm.Database,$A616),"")</f>
        <v/>
      </c>
      <c r="E616" s="28" t="str">
        <f t="shared" si="18"/>
        <v/>
      </c>
      <c r="F616" s="16" t="str">
        <f>IF('Paste Here'!$A610&lt;&gt;"",'Paste Here'!$A610,"")</f>
        <v/>
      </c>
      <c r="G616" s="16" t="str">
        <f>IF('Paste Here'!$B610&lt;&gt;"",'Paste Here'!$B610,"")</f>
        <v/>
      </c>
      <c r="H616" s="16" t="str">
        <f>IF('Paste Here'!$C610&lt;&gt;"",'Paste Here'!$C610,"")</f>
        <v/>
      </c>
      <c r="I616" s="25" t="str">
        <f>IF('Paste Here'!$D610&lt;&gt;"",'Paste Here'!$D610,"")</f>
        <v/>
      </c>
      <c r="J616" s="27" t="str">
        <f>IF('Paste Here'!$E610&lt;&gt;"",'Paste Here'!$E610,"")</f>
        <v/>
      </c>
      <c r="K616" s="16" t="str">
        <f>IF('Paste Here'!$F610&lt;&gt;"",'Paste Here'!$F610,"")</f>
        <v/>
      </c>
      <c r="L616" s="16" t="str">
        <f>IF('Paste Here'!$G610&lt;&gt;"",'Paste Here'!$G610,"")</f>
        <v/>
      </c>
      <c r="M616" s="18" t="str">
        <f t="shared" si="19"/>
        <v/>
      </c>
    </row>
    <row r="617" spans="1:13" s="17" customFormat="1" x14ac:dyDescent="0.25">
      <c r="A617" s="16" t="str">
        <f>IF(URN&lt;&gt;"",_xll.mdValue("Resident",_xlnm.Database,$F617),"")</f>
        <v/>
      </c>
      <c r="B617" s="16" t="str">
        <f>IF(PersonId&lt;&gt;"",_xll.mdValue("Resident First Name",_xlnm.Database,$A$8),"")</f>
        <v/>
      </c>
      <c r="C617" s="16" t="str">
        <f>IF(PersonId&lt;&gt;"",_xll.mdValue("Resident Last Name",_xlnm.Database,$A$8),"")</f>
        <v/>
      </c>
      <c r="D617" s="16" t="str">
        <f>IF(PersonId&lt;&gt;"",_xll.mdValue("Person Accomodation Code",_xlnm.Database,$A617),"")</f>
        <v/>
      </c>
      <c r="E617" s="28" t="str">
        <f t="shared" si="18"/>
        <v/>
      </c>
      <c r="F617" s="16" t="str">
        <f>IF('Paste Here'!$A611&lt;&gt;"",'Paste Here'!$A611,"")</f>
        <v/>
      </c>
      <c r="G617" s="16" t="str">
        <f>IF('Paste Here'!$B611&lt;&gt;"",'Paste Here'!$B611,"")</f>
        <v/>
      </c>
      <c r="H617" s="16" t="str">
        <f>IF('Paste Here'!$C611&lt;&gt;"",'Paste Here'!$C611,"")</f>
        <v/>
      </c>
      <c r="I617" s="25" t="str">
        <f>IF('Paste Here'!$D611&lt;&gt;"",'Paste Here'!$D611,"")</f>
        <v/>
      </c>
      <c r="J617" s="27" t="str">
        <f>IF('Paste Here'!$E611&lt;&gt;"",'Paste Here'!$E611,"")</f>
        <v/>
      </c>
      <c r="K617" s="16" t="str">
        <f>IF('Paste Here'!$F611&lt;&gt;"",'Paste Here'!$F611,"")</f>
        <v/>
      </c>
      <c r="L617" s="16" t="str">
        <f>IF('Paste Here'!$G611&lt;&gt;"",'Paste Here'!$G611,"")</f>
        <v/>
      </c>
      <c r="M617" s="18" t="str">
        <f t="shared" si="19"/>
        <v/>
      </c>
    </row>
    <row r="618" spans="1:13" s="17" customFormat="1" x14ac:dyDescent="0.25">
      <c r="A618" s="16" t="str">
        <f>IF(URN&lt;&gt;"",_xll.mdValue("Resident",_xlnm.Database,$F618),"")</f>
        <v/>
      </c>
      <c r="B618" s="16" t="str">
        <f>IF(PersonId&lt;&gt;"",_xll.mdValue("Resident First Name",_xlnm.Database,$A$8),"")</f>
        <v/>
      </c>
      <c r="C618" s="16" t="str">
        <f>IF(PersonId&lt;&gt;"",_xll.mdValue("Resident Last Name",_xlnm.Database,$A$8),"")</f>
        <v/>
      </c>
      <c r="D618" s="16" t="str">
        <f>IF(PersonId&lt;&gt;"",_xll.mdValue("Person Accomodation Code",_xlnm.Database,$A618),"")</f>
        <v/>
      </c>
      <c r="E618" s="28" t="str">
        <f t="shared" si="18"/>
        <v/>
      </c>
      <c r="F618" s="16" t="str">
        <f>IF('Paste Here'!$A612&lt;&gt;"",'Paste Here'!$A612,"")</f>
        <v/>
      </c>
      <c r="G618" s="16" t="str">
        <f>IF('Paste Here'!$B612&lt;&gt;"",'Paste Here'!$B612,"")</f>
        <v/>
      </c>
      <c r="H618" s="16" t="str">
        <f>IF('Paste Here'!$C612&lt;&gt;"",'Paste Here'!$C612,"")</f>
        <v/>
      </c>
      <c r="I618" s="25" t="str">
        <f>IF('Paste Here'!$D612&lt;&gt;"",'Paste Here'!$D612,"")</f>
        <v/>
      </c>
      <c r="J618" s="27" t="str">
        <f>IF('Paste Here'!$E612&lt;&gt;"",'Paste Here'!$E612,"")</f>
        <v/>
      </c>
      <c r="K618" s="16" t="str">
        <f>IF('Paste Here'!$F612&lt;&gt;"",'Paste Here'!$F612,"")</f>
        <v/>
      </c>
      <c r="L618" s="16" t="str">
        <f>IF('Paste Here'!$G612&lt;&gt;"",'Paste Here'!$G612,"")</f>
        <v/>
      </c>
      <c r="M618" s="18" t="str">
        <f t="shared" si="19"/>
        <v/>
      </c>
    </row>
    <row r="619" spans="1:13" s="17" customFormat="1" x14ac:dyDescent="0.25">
      <c r="A619" s="16" t="str">
        <f>IF(URN&lt;&gt;"",_xll.mdValue("Resident",_xlnm.Database,$F619),"")</f>
        <v/>
      </c>
      <c r="B619" s="16" t="str">
        <f>IF(PersonId&lt;&gt;"",_xll.mdValue("Resident First Name",_xlnm.Database,$A$8),"")</f>
        <v/>
      </c>
      <c r="C619" s="16" t="str">
        <f>IF(PersonId&lt;&gt;"",_xll.mdValue("Resident Last Name",_xlnm.Database,$A$8),"")</f>
        <v/>
      </c>
      <c r="D619" s="16" t="str">
        <f>IF(PersonId&lt;&gt;"",_xll.mdValue("Person Accomodation Code",_xlnm.Database,$A619),"")</f>
        <v/>
      </c>
      <c r="E619" s="28" t="str">
        <f t="shared" si="18"/>
        <v/>
      </c>
      <c r="F619" s="16" t="str">
        <f>IF('Paste Here'!$A613&lt;&gt;"",'Paste Here'!$A613,"")</f>
        <v/>
      </c>
      <c r="G619" s="16" t="str">
        <f>IF('Paste Here'!$B613&lt;&gt;"",'Paste Here'!$B613,"")</f>
        <v/>
      </c>
      <c r="H619" s="16" t="str">
        <f>IF('Paste Here'!$C613&lt;&gt;"",'Paste Here'!$C613,"")</f>
        <v/>
      </c>
      <c r="I619" s="25" t="str">
        <f>IF('Paste Here'!$D613&lt;&gt;"",'Paste Here'!$D613,"")</f>
        <v/>
      </c>
      <c r="J619" s="27" t="str">
        <f>IF('Paste Here'!$E613&lt;&gt;"",'Paste Here'!$E613,"")</f>
        <v/>
      </c>
      <c r="K619" s="16" t="str">
        <f>IF('Paste Here'!$F613&lt;&gt;"",'Paste Here'!$F613,"")</f>
        <v/>
      </c>
      <c r="L619" s="16" t="str">
        <f>IF('Paste Here'!$G613&lt;&gt;"",'Paste Here'!$G613,"")</f>
        <v/>
      </c>
      <c r="M619" s="18" t="str">
        <f t="shared" si="19"/>
        <v/>
      </c>
    </row>
    <row r="620" spans="1:13" s="17" customFormat="1" x14ac:dyDescent="0.25">
      <c r="A620" s="16" t="str">
        <f>IF(URN&lt;&gt;"",_xll.mdValue("Resident",_xlnm.Database,$F620),"")</f>
        <v/>
      </c>
      <c r="B620" s="16" t="str">
        <f>IF(PersonId&lt;&gt;"",_xll.mdValue("Resident First Name",_xlnm.Database,$A$8),"")</f>
        <v/>
      </c>
      <c r="C620" s="16" t="str">
        <f>IF(PersonId&lt;&gt;"",_xll.mdValue("Resident Last Name",_xlnm.Database,$A$8),"")</f>
        <v/>
      </c>
      <c r="D620" s="16" t="str">
        <f>IF(PersonId&lt;&gt;"",_xll.mdValue("Person Accomodation Code",_xlnm.Database,$A620),"")</f>
        <v/>
      </c>
      <c r="E620" s="28" t="str">
        <f t="shared" si="18"/>
        <v/>
      </c>
      <c r="F620" s="16" t="str">
        <f>IF('Paste Here'!$A614&lt;&gt;"",'Paste Here'!$A614,"")</f>
        <v/>
      </c>
      <c r="G620" s="16" t="str">
        <f>IF('Paste Here'!$B614&lt;&gt;"",'Paste Here'!$B614,"")</f>
        <v/>
      </c>
      <c r="H620" s="16" t="str">
        <f>IF('Paste Here'!$C614&lt;&gt;"",'Paste Here'!$C614,"")</f>
        <v/>
      </c>
      <c r="I620" s="25" t="str">
        <f>IF('Paste Here'!$D614&lt;&gt;"",'Paste Here'!$D614,"")</f>
        <v/>
      </c>
      <c r="J620" s="27" t="str">
        <f>IF('Paste Here'!$E614&lt;&gt;"",'Paste Here'!$E614,"")</f>
        <v/>
      </c>
      <c r="K620" s="16" t="str">
        <f>IF('Paste Here'!$F614&lt;&gt;"",'Paste Here'!$F614,"")</f>
        <v/>
      </c>
      <c r="L620" s="16" t="str">
        <f>IF('Paste Here'!$G614&lt;&gt;"",'Paste Here'!$G614,"")</f>
        <v/>
      </c>
      <c r="M620" s="18" t="str">
        <f t="shared" si="19"/>
        <v/>
      </c>
    </row>
    <row r="621" spans="1:13" s="17" customFormat="1" x14ac:dyDescent="0.25">
      <c r="A621" s="16" t="str">
        <f>IF(URN&lt;&gt;"",_xll.mdValue("Resident",_xlnm.Database,$F621),"")</f>
        <v/>
      </c>
      <c r="B621" s="16" t="str">
        <f>IF(PersonId&lt;&gt;"",_xll.mdValue("Resident First Name",_xlnm.Database,$A$8),"")</f>
        <v/>
      </c>
      <c r="C621" s="16" t="str">
        <f>IF(PersonId&lt;&gt;"",_xll.mdValue("Resident Last Name",_xlnm.Database,$A$8),"")</f>
        <v/>
      </c>
      <c r="D621" s="16" t="str">
        <f>IF(PersonId&lt;&gt;"",_xll.mdValue("Person Accomodation Code",_xlnm.Database,$A621),"")</f>
        <v/>
      </c>
      <c r="E621" s="28" t="str">
        <f t="shared" si="18"/>
        <v/>
      </c>
      <c r="F621" s="16" t="str">
        <f>IF('Paste Here'!$A615&lt;&gt;"",'Paste Here'!$A615,"")</f>
        <v/>
      </c>
      <c r="G621" s="16" t="str">
        <f>IF('Paste Here'!$B615&lt;&gt;"",'Paste Here'!$B615,"")</f>
        <v/>
      </c>
      <c r="H621" s="16" t="str">
        <f>IF('Paste Here'!$C615&lt;&gt;"",'Paste Here'!$C615,"")</f>
        <v/>
      </c>
      <c r="I621" s="25" t="str">
        <f>IF('Paste Here'!$D615&lt;&gt;"",'Paste Here'!$D615,"")</f>
        <v/>
      </c>
      <c r="J621" s="27" t="str">
        <f>IF('Paste Here'!$E615&lt;&gt;"",'Paste Here'!$E615,"")</f>
        <v/>
      </c>
      <c r="K621" s="16" t="str">
        <f>IF('Paste Here'!$F615&lt;&gt;"",'Paste Here'!$F615,"")</f>
        <v/>
      </c>
      <c r="L621" s="16" t="str">
        <f>IF('Paste Here'!$G615&lt;&gt;"",'Paste Here'!$G615,"")</f>
        <v/>
      </c>
      <c r="M621" s="18" t="str">
        <f t="shared" si="19"/>
        <v/>
      </c>
    </row>
    <row r="622" spans="1:13" s="17" customFormat="1" x14ac:dyDescent="0.25">
      <c r="A622" s="16" t="str">
        <f>IF(URN&lt;&gt;"",_xll.mdValue("Resident",_xlnm.Database,$F622),"")</f>
        <v/>
      </c>
      <c r="B622" s="16" t="str">
        <f>IF(PersonId&lt;&gt;"",_xll.mdValue("Resident First Name",_xlnm.Database,$A$8),"")</f>
        <v/>
      </c>
      <c r="C622" s="16" t="str">
        <f>IF(PersonId&lt;&gt;"",_xll.mdValue("Resident Last Name",_xlnm.Database,$A$8),"")</f>
        <v/>
      </c>
      <c r="D622" s="16" t="str">
        <f>IF(PersonId&lt;&gt;"",_xll.mdValue("Person Accomodation Code",_xlnm.Database,$A622),"")</f>
        <v/>
      </c>
      <c r="E622" s="28" t="str">
        <f t="shared" si="18"/>
        <v/>
      </c>
      <c r="F622" s="16" t="str">
        <f>IF('Paste Here'!$A616&lt;&gt;"",'Paste Here'!$A616,"")</f>
        <v/>
      </c>
      <c r="G622" s="16" t="str">
        <f>IF('Paste Here'!$B616&lt;&gt;"",'Paste Here'!$B616,"")</f>
        <v/>
      </c>
      <c r="H622" s="16" t="str">
        <f>IF('Paste Here'!$C616&lt;&gt;"",'Paste Here'!$C616,"")</f>
        <v/>
      </c>
      <c r="I622" s="25" t="str">
        <f>IF('Paste Here'!$D616&lt;&gt;"",'Paste Here'!$D616,"")</f>
        <v/>
      </c>
      <c r="J622" s="27" t="str">
        <f>IF('Paste Here'!$E616&lt;&gt;"",'Paste Here'!$E616,"")</f>
        <v/>
      </c>
      <c r="K622" s="16" t="str">
        <f>IF('Paste Here'!$F616&lt;&gt;"",'Paste Here'!$F616,"")</f>
        <v/>
      </c>
      <c r="L622" s="16" t="str">
        <f>IF('Paste Here'!$G616&lt;&gt;"",'Paste Here'!$G616,"")</f>
        <v/>
      </c>
      <c r="M622" s="18" t="str">
        <f t="shared" si="19"/>
        <v/>
      </c>
    </row>
    <row r="623" spans="1:13" s="17" customFormat="1" x14ac:dyDescent="0.25">
      <c r="A623" s="16" t="str">
        <f>IF(URN&lt;&gt;"",_xll.mdValue("Resident",_xlnm.Database,$F623),"")</f>
        <v/>
      </c>
      <c r="B623" s="16" t="str">
        <f>IF(PersonId&lt;&gt;"",_xll.mdValue("Resident First Name",_xlnm.Database,$A$8),"")</f>
        <v/>
      </c>
      <c r="C623" s="16" t="str">
        <f>IF(PersonId&lt;&gt;"",_xll.mdValue("Resident Last Name",_xlnm.Database,$A$8),"")</f>
        <v/>
      </c>
      <c r="D623" s="16" t="str">
        <f>IF(PersonId&lt;&gt;"",_xll.mdValue("Person Accomodation Code",_xlnm.Database,$A623),"")</f>
        <v/>
      </c>
      <c r="E623" s="28" t="str">
        <f t="shared" si="18"/>
        <v/>
      </c>
      <c r="F623" s="16" t="str">
        <f>IF('Paste Here'!$A617&lt;&gt;"",'Paste Here'!$A617,"")</f>
        <v/>
      </c>
      <c r="G623" s="16" t="str">
        <f>IF('Paste Here'!$B617&lt;&gt;"",'Paste Here'!$B617,"")</f>
        <v/>
      </c>
      <c r="H623" s="16" t="str">
        <f>IF('Paste Here'!$C617&lt;&gt;"",'Paste Here'!$C617,"")</f>
        <v/>
      </c>
      <c r="I623" s="25" t="str">
        <f>IF('Paste Here'!$D617&lt;&gt;"",'Paste Here'!$D617,"")</f>
        <v/>
      </c>
      <c r="J623" s="27" t="str">
        <f>IF('Paste Here'!$E617&lt;&gt;"",'Paste Here'!$E617,"")</f>
        <v/>
      </c>
      <c r="K623" s="16" t="str">
        <f>IF('Paste Here'!$F617&lt;&gt;"",'Paste Here'!$F617,"")</f>
        <v/>
      </c>
      <c r="L623" s="16" t="str">
        <f>IF('Paste Here'!$G617&lt;&gt;"",'Paste Here'!$G617,"")</f>
        <v/>
      </c>
      <c r="M623" s="18" t="str">
        <f t="shared" si="19"/>
        <v/>
      </c>
    </row>
    <row r="624" spans="1:13" s="17" customFormat="1" x14ac:dyDescent="0.25">
      <c r="A624" s="16" t="str">
        <f>IF(URN&lt;&gt;"",_xll.mdValue("Resident",_xlnm.Database,$F624),"")</f>
        <v/>
      </c>
      <c r="B624" s="16" t="str">
        <f>IF(PersonId&lt;&gt;"",_xll.mdValue("Resident First Name",_xlnm.Database,$A$8),"")</f>
        <v/>
      </c>
      <c r="C624" s="16" t="str">
        <f>IF(PersonId&lt;&gt;"",_xll.mdValue("Resident Last Name",_xlnm.Database,$A$8),"")</f>
        <v/>
      </c>
      <c r="D624" s="16" t="str">
        <f>IF(PersonId&lt;&gt;"",_xll.mdValue("Person Accomodation Code",_xlnm.Database,$A624),"")</f>
        <v/>
      </c>
      <c r="E624" s="28" t="str">
        <f t="shared" si="18"/>
        <v/>
      </c>
      <c r="F624" s="16" t="str">
        <f>IF('Paste Here'!$A618&lt;&gt;"",'Paste Here'!$A618,"")</f>
        <v/>
      </c>
      <c r="G624" s="16" t="str">
        <f>IF('Paste Here'!$B618&lt;&gt;"",'Paste Here'!$B618,"")</f>
        <v/>
      </c>
      <c r="H624" s="16" t="str">
        <f>IF('Paste Here'!$C618&lt;&gt;"",'Paste Here'!$C618,"")</f>
        <v/>
      </c>
      <c r="I624" s="25" t="str">
        <f>IF('Paste Here'!$D618&lt;&gt;"",'Paste Here'!$D618,"")</f>
        <v/>
      </c>
      <c r="J624" s="27" t="str">
        <f>IF('Paste Here'!$E618&lt;&gt;"",'Paste Here'!$E618,"")</f>
        <v/>
      </c>
      <c r="K624" s="16" t="str">
        <f>IF('Paste Here'!$F618&lt;&gt;"",'Paste Here'!$F618,"")</f>
        <v/>
      </c>
      <c r="L624" s="16" t="str">
        <f>IF('Paste Here'!$G618&lt;&gt;"",'Paste Here'!$G618,"")</f>
        <v/>
      </c>
      <c r="M624" s="18" t="str">
        <f t="shared" si="19"/>
        <v/>
      </c>
    </row>
    <row r="625" spans="1:13" s="17" customFormat="1" x14ac:dyDescent="0.25">
      <c r="A625" s="16" t="str">
        <f>IF(URN&lt;&gt;"",_xll.mdValue("Resident",_xlnm.Database,$F625),"")</f>
        <v/>
      </c>
      <c r="B625" s="16" t="str">
        <f>IF(PersonId&lt;&gt;"",_xll.mdValue("Resident First Name",_xlnm.Database,$A$8),"")</f>
        <v/>
      </c>
      <c r="C625" s="16" t="str">
        <f>IF(PersonId&lt;&gt;"",_xll.mdValue("Resident Last Name",_xlnm.Database,$A$8),"")</f>
        <v/>
      </c>
      <c r="D625" s="16" t="str">
        <f>IF(PersonId&lt;&gt;"",_xll.mdValue("Person Accomodation Code",_xlnm.Database,$A625),"")</f>
        <v/>
      </c>
      <c r="E625" s="28" t="str">
        <f t="shared" si="18"/>
        <v/>
      </c>
      <c r="F625" s="16" t="str">
        <f>IF('Paste Here'!$A619&lt;&gt;"",'Paste Here'!$A619,"")</f>
        <v/>
      </c>
      <c r="G625" s="16" t="str">
        <f>IF('Paste Here'!$B619&lt;&gt;"",'Paste Here'!$B619,"")</f>
        <v/>
      </c>
      <c r="H625" s="16" t="str">
        <f>IF('Paste Here'!$C619&lt;&gt;"",'Paste Here'!$C619,"")</f>
        <v/>
      </c>
      <c r="I625" s="25" t="str">
        <f>IF('Paste Here'!$D619&lt;&gt;"",'Paste Here'!$D619,"")</f>
        <v/>
      </c>
      <c r="J625" s="27" t="str">
        <f>IF('Paste Here'!$E619&lt;&gt;"",'Paste Here'!$E619,"")</f>
        <v/>
      </c>
      <c r="K625" s="16" t="str">
        <f>IF('Paste Here'!$F619&lt;&gt;"",'Paste Here'!$F619,"")</f>
        <v/>
      </c>
      <c r="L625" s="16" t="str">
        <f>IF('Paste Here'!$G619&lt;&gt;"",'Paste Here'!$G619,"")</f>
        <v/>
      </c>
      <c r="M625" s="18" t="str">
        <f t="shared" si="19"/>
        <v/>
      </c>
    </row>
    <row r="626" spans="1:13" s="17" customFormat="1" x14ac:dyDescent="0.25">
      <c r="A626" s="16" t="str">
        <f>IF(URN&lt;&gt;"",_xll.mdValue("Resident",_xlnm.Database,$F626),"")</f>
        <v/>
      </c>
      <c r="B626" s="16" t="str">
        <f>IF(PersonId&lt;&gt;"",_xll.mdValue("Resident First Name",_xlnm.Database,$A$8),"")</f>
        <v/>
      </c>
      <c r="C626" s="16" t="str">
        <f>IF(PersonId&lt;&gt;"",_xll.mdValue("Resident Last Name",_xlnm.Database,$A$8),"")</f>
        <v/>
      </c>
      <c r="D626" s="16" t="str">
        <f>IF(PersonId&lt;&gt;"",_xll.mdValue("Person Accomodation Code",_xlnm.Database,$A626),"")</f>
        <v/>
      </c>
      <c r="E626" s="28" t="str">
        <f t="shared" si="18"/>
        <v/>
      </c>
      <c r="F626" s="16" t="str">
        <f>IF('Paste Here'!$A620&lt;&gt;"",'Paste Here'!$A620,"")</f>
        <v/>
      </c>
      <c r="G626" s="16" t="str">
        <f>IF('Paste Here'!$B620&lt;&gt;"",'Paste Here'!$B620,"")</f>
        <v/>
      </c>
      <c r="H626" s="16" t="str">
        <f>IF('Paste Here'!$C620&lt;&gt;"",'Paste Here'!$C620,"")</f>
        <v/>
      </c>
      <c r="I626" s="25" t="str">
        <f>IF('Paste Here'!$D620&lt;&gt;"",'Paste Here'!$D620,"")</f>
        <v/>
      </c>
      <c r="J626" s="27" t="str">
        <f>IF('Paste Here'!$E620&lt;&gt;"",'Paste Here'!$E620,"")</f>
        <v/>
      </c>
      <c r="K626" s="16" t="str">
        <f>IF('Paste Here'!$F620&lt;&gt;"",'Paste Here'!$F620,"")</f>
        <v/>
      </c>
      <c r="L626" s="16" t="str">
        <f>IF('Paste Here'!$G620&lt;&gt;"",'Paste Here'!$G620,"")</f>
        <v/>
      </c>
      <c r="M626" s="18" t="str">
        <f t="shared" si="19"/>
        <v/>
      </c>
    </row>
    <row r="627" spans="1:13" s="17" customFormat="1" x14ac:dyDescent="0.25">
      <c r="A627" s="16" t="str">
        <f>IF(URN&lt;&gt;"",_xll.mdValue("Resident",_xlnm.Database,$F627),"")</f>
        <v/>
      </c>
      <c r="B627" s="16" t="str">
        <f>IF(PersonId&lt;&gt;"",_xll.mdValue("Resident First Name",_xlnm.Database,$A$8),"")</f>
        <v/>
      </c>
      <c r="C627" s="16" t="str">
        <f>IF(PersonId&lt;&gt;"",_xll.mdValue("Resident Last Name",_xlnm.Database,$A$8),"")</f>
        <v/>
      </c>
      <c r="D627" s="16" t="str">
        <f>IF(PersonId&lt;&gt;"",_xll.mdValue("Person Accomodation Code",_xlnm.Database,$A627),"")</f>
        <v/>
      </c>
      <c r="E627" s="28" t="str">
        <f t="shared" si="18"/>
        <v/>
      </c>
      <c r="F627" s="16" t="str">
        <f>IF('Paste Here'!$A621&lt;&gt;"",'Paste Here'!$A621,"")</f>
        <v/>
      </c>
      <c r="G627" s="16" t="str">
        <f>IF('Paste Here'!$B621&lt;&gt;"",'Paste Here'!$B621,"")</f>
        <v/>
      </c>
      <c r="H627" s="16" t="str">
        <f>IF('Paste Here'!$C621&lt;&gt;"",'Paste Here'!$C621,"")</f>
        <v/>
      </c>
      <c r="I627" s="25" t="str">
        <f>IF('Paste Here'!$D621&lt;&gt;"",'Paste Here'!$D621,"")</f>
        <v/>
      </c>
      <c r="J627" s="27" t="str">
        <f>IF('Paste Here'!$E621&lt;&gt;"",'Paste Here'!$E621,"")</f>
        <v/>
      </c>
      <c r="K627" s="16" t="str">
        <f>IF('Paste Here'!$F621&lt;&gt;"",'Paste Here'!$F621,"")</f>
        <v/>
      </c>
      <c r="L627" s="16" t="str">
        <f>IF('Paste Here'!$G621&lt;&gt;"",'Paste Here'!$G621,"")</f>
        <v/>
      </c>
      <c r="M627" s="18" t="str">
        <f t="shared" si="19"/>
        <v/>
      </c>
    </row>
    <row r="628" spans="1:13" s="17" customFormat="1" x14ac:dyDescent="0.25">
      <c r="A628" s="16" t="str">
        <f>IF(URN&lt;&gt;"",_xll.mdValue("Resident",_xlnm.Database,$F628),"")</f>
        <v/>
      </c>
      <c r="B628" s="16" t="str">
        <f>IF(PersonId&lt;&gt;"",_xll.mdValue("Resident First Name",_xlnm.Database,$A$8),"")</f>
        <v/>
      </c>
      <c r="C628" s="16" t="str">
        <f>IF(PersonId&lt;&gt;"",_xll.mdValue("Resident Last Name",_xlnm.Database,$A$8),"")</f>
        <v/>
      </c>
      <c r="D628" s="16" t="str">
        <f>IF(PersonId&lt;&gt;"",_xll.mdValue("Person Accomodation Code",_xlnm.Database,$A628),"")</f>
        <v/>
      </c>
      <c r="E628" s="28" t="str">
        <f t="shared" si="18"/>
        <v/>
      </c>
      <c r="F628" s="16" t="str">
        <f>IF('Paste Here'!$A622&lt;&gt;"",'Paste Here'!$A622,"")</f>
        <v/>
      </c>
      <c r="G628" s="16" t="str">
        <f>IF('Paste Here'!$B622&lt;&gt;"",'Paste Here'!$B622,"")</f>
        <v/>
      </c>
      <c r="H628" s="16" t="str">
        <f>IF('Paste Here'!$C622&lt;&gt;"",'Paste Here'!$C622,"")</f>
        <v/>
      </c>
      <c r="I628" s="25" t="str">
        <f>IF('Paste Here'!$D622&lt;&gt;"",'Paste Here'!$D622,"")</f>
        <v/>
      </c>
      <c r="J628" s="27" t="str">
        <f>IF('Paste Here'!$E622&lt;&gt;"",'Paste Here'!$E622,"")</f>
        <v/>
      </c>
      <c r="K628" s="16" t="str">
        <f>IF('Paste Here'!$F622&lt;&gt;"",'Paste Here'!$F622,"")</f>
        <v/>
      </c>
      <c r="L628" s="16" t="str">
        <f>IF('Paste Here'!$G622&lt;&gt;"",'Paste Here'!$G622,"")</f>
        <v/>
      </c>
      <c r="M628" s="18" t="str">
        <f t="shared" si="19"/>
        <v/>
      </c>
    </row>
    <row r="629" spans="1:13" s="17" customFormat="1" x14ac:dyDescent="0.25">
      <c r="A629" s="16" t="str">
        <f>IF(URN&lt;&gt;"",_xll.mdValue("Resident",_xlnm.Database,$F629),"")</f>
        <v/>
      </c>
      <c r="B629" s="16" t="str">
        <f>IF(PersonId&lt;&gt;"",_xll.mdValue("Resident First Name",_xlnm.Database,$A$8),"")</f>
        <v/>
      </c>
      <c r="C629" s="16" t="str">
        <f>IF(PersonId&lt;&gt;"",_xll.mdValue("Resident Last Name",_xlnm.Database,$A$8),"")</f>
        <v/>
      </c>
      <c r="D629" s="16" t="str">
        <f>IF(PersonId&lt;&gt;"",_xll.mdValue("Person Accomodation Code",_xlnm.Database,$A629),"")</f>
        <v/>
      </c>
      <c r="E629" s="28" t="str">
        <f t="shared" si="18"/>
        <v/>
      </c>
      <c r="F629" s="16" t="str">
        <f>IF('Paste Here'!$A623&lt;&gt;"",'Paste Here'!$A623,"")</f>
        <v/>
      </c>
      <c r="G629" s="16" t="str">
        <f>IF('Paste Here'!$B623&lt;&gt;"",'Paste Here'!$B623,"")</f>
        <v/>
      </c>
      <c r="H629" s="16" t="str">
        <f>IF('Paste Here'!$C623&lt;&gt;"",'Paste Here'!$C623,"")</f>
        <v/>
      </c>
      <c r="I629" s="25" t="str">
        <f>IF('Paste Here'!$D623&lt;&gt;"",'Paste Here'!$D623,"")</f>
        <v/>
      </c>
      <c r="J629" s="27" t="str">
        <f>IF('Paste Here'!$E623&lt;&gt;"",'Paste Here'!$E623,"")</f>
        <v/>
      </c>
      <c r="K629" s="16" t="str">
        <f>IF('Paste Here'!$F623&lt;&gt;"",'Paste Here'!$F623,"")</f>
        <v/>
      </c>
      <c r="L629" s="16" t="str">
        <f>IF('Paste Here'!$G623&lt;&gt;"",'Paste Here'!$G623,"")</f>
        <v/>
      </c>
      <c r="M629" s="18" t="str">
        <f t="shared" si="19"/>
        <v/>
      </c>
    </row>
    <row r="630" spans="1:13" s="17" customFormat="1" x14ac:dyDescent="0.25">
      <c r="A630" s="16" t="str">
        <f>IF(URN&lt;&gt;"",_xll.mdValue("Resident",_xlnm.Database,$F630),"")</f>
        <v/>
      </c>
      <c r="B630" s="16" t="str">
        <f>IF(PersonId&lt;&gt;"",_xll.mdValue("Resident First Name",_xlnm.Database,$A$8),"")</f>
        <v/>
      </c>
      <c r="C630" s="16" t="str">
        <f>IF(PersonId&lt;&gt;"",_xll.mdValue("Resident Last Name",_xlnm.Database,$A$8),"")</f>
        <v/>
      </c>
      <c r="D630" s="16" t="str">
        <f>IF(PersonId&lt;&gt;"",_xll.mdValue("Person Accomodation Code",_xlnm.Database,$A630),"")</f>
        <v/>
      </c>
      <c r="E630" s="28" t="str">
        <f t="shared" si="18"/>
        <v/>
      </c>
      <c r="F630" s="16" t="str">
        <f>IF('Paste Here'!$A624&lt;&gt;"",'Paste Here'!$A624,"")</f>
        <v/>
      </c>
      <c r="G630" s="16" t="str">
        <f>IF('Paste Here'!$B624&lt;&gt;"",'Paste Here'!$B624,"")</f>
        <v/>
      </c>
      <c r="H630" s="16" t="str">
        <f>IF('Paste Here'!$C624&lt;&gt;"",'Paste Here'!$C624,"")</f>
        <v/>
      </c>
      <c r="I630" s="25" t="str">
        <f>IF('Paste Here'!$D624&lt;&gt;"",'Paste Here'!$D624,"")</f>
        <v/>
      </c>
      <c r="J630" s="27" t="str">
        <f>IF('Paste Here'!$E624&lt;&gt;"",'Paste Here'!$E624,"")</f>
        <v/>
      </c>
      <c r="K630" s="16" t="str">
        <f>IF('Paste Here'!$F624&lt;&gt;"",'Paste Here'!$F624,"")</f>
        <v/>
      </c>
      <c r="L630" s="16" t="str">
        <f>IF('Paste Here'!$G624&lt;&gt;"",'Paste Here'!$G624,"")</f>
        <v/>
      </c>
      <c r="M630" s="18" t="str">
        <f t="shared" si="19"/>
        <v/>
      </c>
    </row>
    <row r="631" spans="1:13" s="17" customFormat="1" x14ac:dyDescent="0.25">
      <c r="A631" s="16" t="str">
        <f>IF(URN&lt;&gt;"",_xll.mdValue("Resident",_xlnm.Database,$F631),"")</f>
        <v/>
      </c>
      <c r="B631" s="16" t="str">
        <f>IF(PersonId&lt;&gt;"",_xll.mdValue("Resident First Name",_xlnm.Database,$A$8),"")</f>
        <v/>
      </c>
      <c r="C631" s="16" t="str">
        <f>IF(PersonId&lt;&gt;"",_xll.mdValue("Resident Last Name",_xlnm.Database,$A$8),"")</f>
        <v/>
      </c>
      <c r="D631" s="16" t="str">
        <f>IF(PersonId&lt;&gt;"",_xll.mdValue("Person Accomodation Code",_xlnm.Database,$A631),"")</f>
        <v/>
      </c>
      <c r="E631" s="28" t="str">
        <f t="shared" si="18"/>
        <v/>
      </c>
      <c r="F631" s="16" t="str">
        <f>IF('Paste Here'!$A625&lt;&gt;"",'Paste Here'!$A625,"")</f>
        <v/>
      </c>
      <c r="G631" s="16" t="str">
        <f>IF('Paste Here'!$B625&lt;&gt;"",'Paste Here'!$B625,"")</f>
        <v/>
      </c>
      <c r="H631" s="16" t="str">
        <f>IF('Paste Here'!$C625&lt;&gt;"",'Paste Here'!$C625,"")</f>
        <v/>
      </c>
      <c r="I631" s="25" t="str">
        <f>IF('Paste Here'!$D625&lt;&gt;"",'Paste Here'!$D625,"")</f>
        <v/>
      </c>
      <c r="J631" s="27" t="str">
        <f>IF('Paste Here'!$E625&lt;&gt;"",'Paste Here'!$E625,"")</f>
        <v/>
      </c>
      <c r="K631" s="16" t="str">
        <f>IF('Paste Here'!$F625&lt;&gt;"",'Paste Here'!$F625,"")</f>
        <v/>
      </c>
      <c r="L631" s="16" t="str">
        <f>IF('Paste Here'!$G625&lt;&gt;"",'Paste Here'!$G625,"")</f>
        <v/>
      </c>
      <c r="M631" s="18" t="str">
        <f t="shared" si="19"/>
        <v/>
      </c>
    </row>
    <row r="632" spans="1:13" s="17" customFormat="1" x14ac:dyDescent="0.25">
      <c r="A632" s="16" t="str">
        <f>IF(URN&lt;&gt;"",_xll.mdValue("Resident",_xlnm.Database,$F632),"")</f>
        <v/>
      </c>
      <c r="B632" s="16" t="str">
        <f>IF(PersonId&lt;&gt;"",_xll.mdValue("Resident First Name",_xlnm.Database,$A$8),"")</f>
        <v/>
      </c>
      <c r="C632" s="16" t="str">
        <f>IF(PersonId&lt;&gt;"",_xll.mdValue("Resident Last Name",_xlnm.Database,$A$8),"")</f>
        <v/>
      </c>
      <c r="D632" s="16" t="str">
        <f>IF(PersonId&lt;&gt;"",_xll.mdValue("Person Accomodation Code",_xlnm.Database,$A632),"")</f>
        <v/>
      </c>
      <c r="E632" s="28" t="str">
        <f t="shared" si="18"/>
        <v/>
      </c>
      <c r="F632" s="16" t="str">
        <f>IF('Paste Here'!$A626&lt;&gt;"",'Paste Here'!$A626,"")</f>
        <v/>
      </c>
      <c r="G632" s="16" t="str">
        <f>IF('Paste Here'!$B626&lt;&gt;"",'Paste Here'!$B626,"")</f>
        <v/>
      </c>
      <c r="H632" s="16" t="str">
        <f>IF('Paste Here'!$C626&lt;&gt;"",'Paste Here'!$C626,"")</f>
        <v/>
      </c>
      <c r="I632" s="25" t="str">
        <f>IF('Paste Here'!$D626&lt;&gt;"",'Paste Here'!$D626,"")</f>
        <v/>
      </c>
      <c r="J632" s="27" t="str">
        <f>IF('Paste Here'!$E626&lt;&gt;"",'Paste Here'!$E626,"")</f>
        <v/>
      </c>
      <c r="K632" s="16" t="str">
        <f>IF('Paste Here'!$F626&lt;&gt;"",'Paste Here'!$F626,"")</f>
        <v/>
      </c>
      <c r="L632" s="16" t="str">
        <f>IF('Paste Here'!$G626&lt;&gt;"",'Paste Here'!$G626,"")</f>
        <v/>
      </c>
      <c r="M632" s="18" t="str">
        <f t="shared" si="19"/>
        <v/>
      </c>
    </row>
    <row r="633" spans="1:13" s="17" customFormat="1" x14ac:dyDescent="0.25">
      <c r="A633" s="16" t="str">
        <f>IF(URN&lt;&gt;"",_xll.mdValue("Resident",_xlnm.Database,$F633),"")</f>
        <v/>
      </c>
      <c r="B633" s="16" t="str">
        <f>IF(PersonId&lt;&gt;"",_xll.mdValue("Resident First Name",_xlnm.Database,$A$8),"")</f>
        <v/>
      </c>
      <c r="C633" s="16" t="str">
        <f>IF(PersonId&lt;&gt;"",_xll.mdValue("Resident Last Name",_xlnm.Database,$A$8),"")</f>
        <v/>
      </c>
      <c r="D633" s="16" t="str">
        <f>IF(PersonId&lt;&gt;"",_xll.mdValue("Person Accomodation Code",_xlnm.Database,$A633),"")</f>
        <v/>
      </c>
      <c r="E633" s="28" t="str">
        <f t="shared" si="18"/>
        <v/>
      </c>
      <c r="F633" s="16" t="str">
        <f>IF('Paste Here'!$A627&lt;&gt;"",'Paste Here'!$A627,"")</f>
        <v/>
      </c>
      <c r="G633" s="16" t="str">
        <f>IF('Paste Here'!$B627&lt;&gt;"",'Paste Here'!$B627,"")</f>
        <v/>
      </c>
      <c r="H633" s="16" t="str">
        <f>IF('Paste Here'!$C627&lt;&gt;"",'Paste Here'!$C627,"")</f>
        <v/>
      </c>
      <c r="I633" s="25" t="str">
        <f>IF('Paste Here'!$D627&lt;&gt;"",'Paste Here'!$D627,"")</f>
        <v/>
      </c>
      <c r="J633" s="27" t="str">
        <f>IF('Paste Here'!$E627&lt;&gt;"",'Paste Here'!$E627,"")</f>
        <v/>
      </c>
      <c r="K633" s="16" t="str">
        <f>IF('Paste Here'!$F627&lt;&gt;"",'Paste Here'!$F627,"")</f>
        <v/>
      </c>
      <c r="L633" s="16" t="str">
        <f>IF('Paste Here'!$G627&lt;&gt;"",'Paste Here'!$G627,"")</f>
        <v/>
      </c>
      <c r="M633" s="18" t="str">
        <f t="shared" si="19"/>
        <v/>
      </c>
    </row>
    <row r="634" spans="1:13" s="17" customFormat="1" x14ac:dyDescent="0.25">
      <c r="A634" s="16" t="str">
        <f>IF(URN&lt;&gt;"",_xll.mdValue("Resident",_xlnm.Database,$F634),"")</f>
        <v/>
      </c>
      <c r="B634" s="16" t="str">
        <f>IF(PersonId&lt;&gt;"",_xll.mdValue("Resident First Name",_xlnm.Database,$A$8),"")</f>
        <v/>
      </c>
      <c r="C634" s="16" t="str">
        <f>IF(PersonId&lt;&gt;"",_xll.mdValue("Resident Last Name",_xlnm.Database,$A$8),"")</f>
        <v/>
      </c>
      <c r="D634" s="16" t="str">
        <f>IF(PersonId&lt;&gt;"",_xll.mdValue("Person Accomodation Code",_xlnm.Database,$A634),"")</f>
        <v/>
      </c>
      <c r="E634" s="28" t="str">
        <f t="shared" si="18"/>
        <v/>
      </c>
      <c r="F634" s="16" t="str">
        <f>IF('Paste Here'!$A628&lt;&gt;"",'Paste Here'!$A628,"")</f>
        <v/>
      </c>
      <c r="G634" s="16" t="str">
        <f>IF('Paste Here'!$B628&lt;&gt;"",'Paste Here'!$B628,"")</f>
        <v/>
      </c>
      <c r="H634" s="16" t="str">
        <f>IF('Paste Here'!$C628&lt;&gt;"",'Paste Here'!$C628,"")</f>
        <v/>
      </c>
      <c r="I634" s="25" t="str">
        <f>IF('Paste Here'!$D628&lt;&gt;"",'Paste Here'!$D628,"")</f>
        <v/>
      </c>
      <c r="J634" s="27" t="str">
        <f>IF('Paste Here'!$E628&lt;&gt;"",'Paste Here'!$E628,"")</f>
        <v/>
      </c>
      <c r="K634" s="16" t="str">
        <f>IF('Paste Here'!$F628&lt;&gt;"",'Paste Here'!$F628,"")</f>
        <v/>
      </c>
      <c r="L634" s="16" t="str">
        <f>IF('Paste Here'!$G628&lt;&gt;"",'Paste Here'!$G628,"")</f>
        <v/>
      </c>
      <c r="M634" s="18" t="str">
        <f t="shared" si="19"/>
        <v/>
      </c>
    </row>
    <row r="635" spans="1:13" s="17" customFormat="1" x14ac:dyDescent="0.25">
      <c r="A635" s="16" t="str">
        <f>IF(URN&lt;&gt;"",_xll.mdValue("Resident",_xlnm.Database,$F635),"")</f>
        <v/>
      </c>
      <c r="B635" s="16" t="str">
        <f>IF(PersonId&lt;&gt;"",_xll.mdValue("Resident First Name",_xlnm.Database,$A$8),"")</f>
        <v/>
      </c>
      <c r="C635" s="16" t="str">
        <f>IF(PersonId&lt;&gt;"",_xll.mdValue("Resident Last Name",_xlnm.Database,$A$8),"")</f>
        <v/>
      </c>
      <c r="D635" s="16" t="str">
        <f>IF(PersonId&lt;&gt;"",_xll.mdValue("Person Accomodation Code",_xlnm.Database,$A635),"")</f>
        <v/>
      </c>
      <c r="E635" s="28" t="str">
        <f t="shared" si="18"/>
        <v/>
      </c>
      <c r="F635" s="16" t="str">
        <f>IF('Paste Here'!$A629&lt;&gt;"",'Paste Here'!$A629,"")</f>
        <v/>
      </c>
      <c r="G635" s="16" t="str">
        <f>IF('Paste Here'!$B629&lt;&gt;"",'Paste Here'!$B629,"")</f>
        <v/>
      </c>
      <c r="H635" s="16" t="str">
        <f>IF('Paste Here'!$C629&lt;&gt;"",'Paste Here'!$C629,"")</f>
        <v/>
      </c>
      <c r="I635" s="25" t="str">
        <f>IF('Paste Here'!$D629&lt;&gt;"",'Paste Here'!$D629,"")</f>
        <v/>
      </c>
      <c r="J635" s="27" t="str">
        <f>IF('Paste Here'!$E629&lt;&gt;"",'Paste Here'!$E629,"")</f>
        <v/>
      </c>
      <c r="K635" s="16" t="str">
        <f>IF('Paste Here'!$F629&lt;&gt;"",'Paste Here'!$F629,"")</f>
        <v/>
      </c>
      <c r="L635" s="16" t="str">
        <f>IF('Paste Here'!$G629&lt;&gt;"",'Paste Here'!$G629,"")</f>
        <v/>
      </c>
      <c r="M635" s="18" t="str">
        <f t="shared" si="19"/>
        <v/>
      </c>
    </row>
    <row r="636" spans="1:13" s="17" customFormat="1" x14ac:dyDescent="0.25">
      <c r="A636" s="16" t="str">
        <f>IF(URN&lt;&gt;"",_xll.mdValue("Resident",_xlnm.Database,$F636),"")</f>
        <v/>
      </c>
      <c r="B636" s="16" t="str">
        <f>IF(PersonId&lt;&gt;"",_xll.mdValue("Resident First Name",_xlnm.Database,$A$8),"")</f>
        <v/>
      </c>
      <c r="C636" s="16" t="str">
        <f>IF(PersonId&lt;&gt;"",_xll.mdValue("Resident Last Name",_xlnm.Database,$A$8),"")</f>
        <v/>
      </c>
      <c r="D636" s="16" t="str">
        <f>IF(PersonId&lt;&gt;"",_xll.mdValue("Person Accomodation Code",_xlnm.Database,$A636),"")</f>
        <v/>
      </c>
      <c r="E636" s="28" t="str">
        <f t="shared" si="18"/>
        <v/>
      </c>
      <c r="F636" s="16" t="str">
        <f>IF('Paste Here'!$A630&lt;&gt;"",'Paste Here'!$A630,"")</f>
        <v/>
      </c>
      <c r="G636" s="16" t="str">
        <f>IF('Paste Here'!$B630&lt;&gt;"",'Paste Here'!$B630,"")</f>
        <v/>
      </c>
      <c r="H636" s="16" t="str">
        <f>IF('Paste Here'!$C630&lt;&gt;"",'Paste Here'!$C630,"")</f>
        <v/>
      </c>
      <c r="I636" s="25" t="str">
        <f>IF('Paste Here'!$D630&lt;&gt;"",'Paste Here'!$D630,"")</f>
        <v/>
      </c>
      <c r="J636" s="27" t="str">
        <f>IF('Paste Here'!$E630&lt;&gt;"",'Paste Here'!$E630,"")</f>
        <v/>
      </c>
      <c r="K636" s="16" t="str">
        <f>IF('Paste Here'!$F630&lt;&gt;"",'Paste Here'!$F630,"")</f>
        <v/>
      </c>
      <c r="L636" s="16" t="str">
        <f>IF('Paste Here'!$G630&lt;&gt;"",'Paste Here'!$G630,"")</f>
        <v/>
      </c>
      <c r="M636" s="18" t="str">
        <f t="shared" si="19"/>
        <v/>
      </c>
    </row>
    <row r="637" spans="1:13" s="17" customFormat="1" x14ac:dyDescent="0.25">
      <c r="A637" s="16" t="str">
        <f>IF(URN&lt;&gt;"",_xll.mdValue("Resident",_xlnm.Database,$F637),"")</f>
        <v/>
      </c>
      <c r="B637" s="16" t="str">
        <f>IF(PersonId&lt;&gt;"",_xll.mdValue("Resident First Name",_xlnm.Database,$A$8),"")</f>
        <v/>
      </c>
      <c r="C637" s="16" t="str">
        <f>IF(PersonId&lt;&gt;"",_xll.mdValue("Resident Last Name",_xlnm.Database,$A$8),"")</f>
        <v/>
      </c>
      <c r="D637" s="16" t="str">
        <f>IF(PersonId&lt;&gt;"",_xll.mdValue("Person Accomodation Code",_xlnm.Database,$A637),"")</f>
        <v/>
      </c>
      <c r="E637" s="28" t="str">
        <f t="shared" si="18"/>
        <v/>
      </c>
      <c r="F637" s="16" t="str">
        <f>IF('Paste Here'!$A631&lt;&gt;"",'Paste Here'!$A631,"")</f>
        <v/>
      </c>
      <c r="G637" s="16" t="str">
        <f>IF('Paste Here'!$B631&lt;&gt;"",'Paste Here'!$B631,"")</f>
        <v/>
      </c>
      <c r="H637" s="16" t="str">
        <f>IF('Paste Here'!$C631&lt;&gt;"",'Paste Here'!$C631,"")</f>
        <v/>
      </c>
      <c r="I637" s="25" t="str">
        <f>IF('Paste Here'!$D631&lt;&gt;"",'Paste Here'!$D631,"")</f>
        <v/>
      </c>
      <c r="J637" s="27" t="str">
        <f>IF('Paste Here'!$E631&lt;&gt;"",'Paste Here'!$E631,"")</f>
        <v/>
      </c>
      <c r="K637" s="16" t="str">
        <f>IF('Paste Here'!$F631&lt;&gt;"",'Paste Here'!$F631,"")</f>
        <v/>
      </c>
      <c r="L637" s="16" t="str">
        <f>IF('Paste Here'!$G631&lt;&gt;"",'Paste Here'!$G631,"")</f>
        <v/>
      </c>
      <c r="M637" s="18" t="str">
        <f t="shared" si="19"/>
        <v/>
      </c>
    </row>
    <row r="638" spans="1:13" s="17" customFormat="1" x14ac:dyDescent="0.25">
      <c r="A638" s="16" t="str">
        <f>IF(URN&lt;&gt;"",_xll.mdValue("Resident",_xlnm.Database,$F638),"")</f>
        <v/>
      </c>
      <c r="B638" s="16" t="str">
        <f>IF(PersonId&lt;&gt;"",_xll.mdValue("Resident First Name",_xlnm.Database,$A$8),"")</f>
        <v/>
      </c>
      <c r="C638" s="16" t="str">
        <f>IF(PersonId&lt;&gt;"",_xll.mdValue("Resident Last Name",_xlnm.Database,$A$8),"")</f>
        <v/>
      </c>
      <c r="D638" s="16" t="str">
        <f>IF(PersonId&lt;&gt;"",_xll.mdValue("Person Accomodation Code",_xlnm.Database,$A638),"")</f>
        <v/>
      </c>
      <c r="E638" s="28" t="str">
        <f t="shared" si="18"/>
        <v/>
      </c>
      <c r="F638" s="16" t="str">
        <f>IF('Paste Here'!$A632&lt;&gt;"",'Paste Here'!$A632,"")</f>
        <v/>
      </c>
      <c r="G638" s="16" t="str">
        <f>IF('Paste Here'!$B632&lt;&gt;"",'Paste Here'!$B632,"")</f>
        <v/>
      </c>
      <c r="H638" s="16" t="str">
        <f>IF('Paste Here'!$C632&lt;&gt;"",'Paste Here'!$C632,"")</f>
        <v/>
      </c>
      <c r="I638" s="25" t="str">
        <f>IF('Paste Here'!$D632&lt;&gt;"",'Paste Here'!$D632,"")</f>
        <v/>
      </c>
      <c r="J638" s="27" t="str">
        <f>IF('Paste Here'!$E632&lt;&gt;"",'Paste Here'!$E632,"")</f>
        <v/>
      </c>
      <c r="K638" s="16" t="str">
        <f>IF('Paste Here'!$F632&lt;&gt;"",'Paste Here'!$F632,"")</f>
        <v/>
      </c>
      <c r="L638" s="16" t="str">
        <f>IF('Paste Here'!$G632&lt;&gt;"",'Paste Here'!$G632,"")</f>
        <v/>
      </c>
      <c r="M638" s="18" t="str">
        <f t="shared" si="19"/>
        <v/>
      </c>
    </row>
    <row r="639" spans="1:13" s="17" customFormat="1" x14ac:dyDescent="0.25">
      <c r="A639" s="16" t="str">
        <f>IF(URN&lt;&gt;"",_xll.mdValue("Resident",_xlnm.Database,$F639),"")</f>
        <v/>
      </c>
      <c r="B639" s="16" t="str">
        <f>IF(PersonId&lt;&gt;"",_xll.mdValue("Resident First Name",_xlnm.Database,$A$8),"")</f>
        <v/>
      </c>
      <c r="C639" s="16" t="str">
        <f>IF(PersonId&lt;&gt;"",_xll.mdValue("Resident Last Name",_xlnm.Database,$A$8),"")</f>
        <v/>
      </c>
      <c r="D639" s="16" t="str">
        <f>IF(PersonId&lt;&gt;"",_xll.mdValue("Person Accomodation Code",_xlnm.Database,$A639),"")</f>
        <v/>
      </c>
      <c r="E639" s="28" t="str">
        <f t="shared" si="18"/>
        <v/>
      </c>
      <c r="F639" s="16" t="str">
        <f>IF('Paste Here'!$A633&lt;&gt;"",'Paste Here'!$A633,"")</f>
        <v/>
      </c>
      <c r="G639" s="16" t="str">
        <f>IF('Paste Here'!$B633&lt;&gt;"",'Paste Here'!$B633,"")</f>
        <v/>
      </c>
      <c r="H639" s="16" t="str">
        <f>IF('Paste Here'!$C633&lt;&gt;"",'Paste Here'!$C633,"")</f>
        <v/>
      </c>
      <c r="I639" s="25" t="str">
        <f>IF('Paste Here'!$D633&lt;&gt;"",'Paste Here'!$D633,"")</f>
        <v/>
      </c>
      <c r="J639" s="27" t="str">
        <f>IF('Paste Here'!$E633&lt;&gt;"",'Paste Here'!$E633,"")</f>
        <v/>
      </c>
      <c r="K639" s="16" t="str">
        <f>IF('Paste Here'!$F633&lt;&gt;"",'Paste Here'!$F633,"")</f>
        <v/>
      </c>
      <c r="L639" s="16" t="str">
        <f>IF('Paste Here'!$G633&lt;&gt;"",'Paste Here'!$G633,"")</f>
        <v/>
      </c>
      <c r="M639" s="18" t="str">
        <f t="shared" si="19"/>
        <v/>
      </c>
    </row>
    <row r="640" spans="1:13" s="17" customFormat="1" x14ac:dyDescent="0.25">
      <c r="A640" s="16" t="str">
        <f>IF(URN&lt;&gt;"",_xll.mdValue("Resident",_xlnm.Database,$F640),"")</f>
        <v/>
      </c>
      <c r="B640" s="16" t="str">
        <f>IF(PersonId&lt;&gt;"",_xll.mdValue("Resident First Name",_xlnm.Database,$A$8),"")</f>
        <v/>
      </c>
      <c r="C640" s="16" t="str">
        <f>IF(PersonId&lt;&gt;"",_xll.mdValue("Resident Last Name",_xlnm.Database,$A$8),"")</f>
        <v/>
      </c>
      <c r="D640" s="16" t="str">
        <f>IF(PersonId&lt;&gt;"",_xll.mdValue("Person Accomodation Code",_xlnm.Database,$A640),"")</f>
        <v/>
      </c>
      <c r="E640" s="28" t="str">
        <f t="shared" si="18"/>
        <v/>
      </c>
      <c r="F640" s="16" t="str">
        <f>IF('Paste Here'!$A634&lt;&gt;"",'Paste Here'!$A634,"")</f>
        <v/>
      </c>
      <c r="G640" s="16" t="str">
        <f>IF('Paste Here'!$B634&lt;&gt;"",'Paste Here'!$B634,"")</f>
        <v/>
      </c>
      <c r="H640" s="16" t="str">
        <f>IF('Paste Here'!$C634&lt;&gt;"",'Paste Here'!$C634,"")</f>
        <v/>
      </c>
      <c r="I640" s="25" t="str">
        <f>IF('Paste Here'!$D634&lt;&gt;"",'Paste Here'!$D634,"")</f>
        <v/>
      </c>
      <c r="J640" s="27" t="str">
        <f>IF('Paste Here'!$E634&lt;&gt;"",'Paste Here'!$E634,"")</f>
        <v/>
      </c>
      <c r="K640" s="16" t="str">
        <f>IF('Paste Here'!$F634&lt;&gt;"",'Paste Here'!$F634,"")</f>
        <v/>
      </c>
      <c r="L640" s="16" t="str">
        <f>IF('Paste Here'!$G634&lt;&gt;"",'Paste Here'!$G634,"")</f>
        <v/>
      </c>
      <c r="M640" s="18" t="str">
        <f t="shared" si="19"/>
        <v/>
      </c>
    </row>
    <row r="641" spans="1:13" s="17" customFormat="1" x14ac:dyDescent="0.25">
      <c r="A641" s="16" t="str">
        <f>IF(URN&lt;&gt;"",_xll.mdValue("Resident",_xlnm.Database,$F641),"")</f>
        <v/>
      </c>
      <c r="B641" s="16" t="str">
        <f>IF(PersonId&lt;&gt;"",_xll.mdValue("Resident First Name",_xlnm.Database,$A$8),"")</f>
        <v/>
      </c>
      <c r="C641" s="16" t="str">
        <f>IF(PersonId&lt;&gt;"",_xll.mdValue("Resident Last Name",_xlnm.Database,$A$8),"")</f>
        <v/>
      </c>
      <c r="D641" s="16" t="str">
        <f>IF(PersonId&lt;&gt;"",_xll.mdValue("Person Accomodation Code",_xlnm.Database,$A641),"")</f>
        <v/>
      </c>
      <c r="E641" s="28" t="str">
        <f t="shared" si="18"/>
        <v/>
      </c>
      <c r="F641" s="16" t="str">
        <f>IF('Paste Here'!$A635&lt;&gt;"",'Paste Here'!$A635,"")</f>
        <v/>
      </c>
      <c r="G641" s="16" t="str">
        <f>IF('Paste Here'!$B635&lt;&gt;"",'Paste Here'!$B635,"")</f>
        <v/>
      </c>
      <c r="H641" s="16" t="str">
        <f>IF('Paste Here'!$C635&lt;&gt;"",'Paste Here'!$C635,"")</f>
        <v/>
      </c>
      <c r="I641" s="25" t="str">
        <f>IF('Paste Here'!$D635&lt;&gt;"",'Paste Here'!$D635,"")</f>
        <v/>
      </c>
      <c r="J641" s="27" t="str">
        <f>IF('Paste Here'!$E635&lt;&gt;"",'Paste Here'!$E635,"")</f>
        <v/>
      </c>
      <c r="K641" s="16" t="str">
        <f>IF('Paste Here'!$F635&lt;&gt;"",'Paste Here'!$F635,"")</f>
        <v/>
      </c>
      <c r="L641" s="16" t="str">
        <f>IF('Paste Here'!$G635&lt;&gt;"",'Paste Here'!$G635,"")</f>
        <v/>
      </c>
      <c r="M641" s="18" t="str">
        <f t="shared" si="19"/>
        <v/>
      </c>
    </row>
    <row r="642" spans="1:13" s="17" customFormat="1" x14ac:dyDescent="0.25">
      <c r="A642" s="16" t="str">
        <f>IF(URN&lt;&gt;"",_xll.mdValue("Resident",_xlnm.Database,$F642),"")</f>
        <v/>
      </c>
      <c r="B642" s="16" t="str">
        <f>IF(PersonId&lt;&gt;"",_xll.mdValue("Resident First Name",_xlnm.Database,$A$8),"")</f>
        <v/>
      </c>
      <c r="C642" s="16" t="str">
        <f>IF(PersonId&lt;&gt;"",_xll.mdValue("Resident Last Name",_xlnm.Database,$A$8),"")</f>
        <v/>
      </c>
      <c r="D642" s="16" t="str">
        <f>IF(PersonId&lt;&gt;"",_xll.mdValue("Person Accomodation Code",_xlnm.Database,$A642),"")</f>
        <v/>
      </c>
      <c r="E642" s="28" t="str">
        <f t="shared" si="18"/>
        <v/>
      </c>
      <c r="F642" s="16" t="str">
        <f>IF('Paste Here'!$A636&lt;&gt;"",'Paste Here'!$A636,"")</f>
        <v/>
      </c>
      <c r="G642" s="16" t="str">
        <f>IF('Paste Here'!$B636&lt;&gt;"",'Paste Here'!$B636,"")</f>
        <v/>
      </c>
      <c r="H642" s="16" t="str">
        <f>IF('Paste Here'!$C636&lt;&gt;"",'Paste Here'!$C636,"")</f>
        <v/>
      </c>
      <c r="I642" s="25" t="str">
        <f>IF('Paste Here'!$D636&lt;&gt;"",'Paste Here'!$D636,"")</f>
        <v/>
      </c>
      <c r="J642" s="27" t="str">
        <f>IF('Paste Here'!$E636&lt;&gt;"",'Paste Here'!$E636,"")</f>
        <v/>
      </c>
      <c r="K642" s="16" t="str">
        <f>IF('Paste Here'!$F636&lt;&gt;"",'Paste Here'!$F636,"")</f>
        <v/>
      </c>
      <c r="L642" s="16" t="str">
        <f>IF('Paste Here'!$G636&lt;&gt;"",'Paste Here'!$G636,"")</f>
        <v/>
      </c>
      <c r="M642" s="18" t="str">
        <f t="shared" si="19"/>
        <v/>
      </c>
    </row>
    <row r="643" spans="1:13" s="17" customFormat="1" x14ac:dyDescent="0.25">
      <c r="A643" s="16" t="str">
        <f>IF(URN&lt;&gt;"",_xll.mdValue("Resident",_xlnm.Database,$F643),"")</f>
        <v/>
      </c>
      <c r="B643" s="16" t="str">
        <f>IF(PersonId&lt;&gt;"",_xll.mdValue("Resident First Name",_xlnm.Database,$A$8),"")</f>
        <v/>
      </c>
      <c r="C643" s="16" t="str">
        <f>IF(PersonId&lt;&gt;"",_xll.mdValue("Resident Last Name",_xlnm.Database,$A$8),"")</f>
        <v/>
      </c>
      <c r="D643" s="16" t="str">
        <f>IF(PersonId&lt;&gt;"",_xll.mdValue("Person Accomodation Code",_xlnm.Database,$A643),"")</f>
        <v/>
      </c>
      <c r="E643" s="28" t="str">
        <f t="shared" si="18"/>
        <v/>
      </c>
      <c r="F643" s="16" t="str">
        <f>IF('Paste Here'!$A637&lt;&gt;"",'Paste Here'!$A637,"")</f>
        <v/>
      </c>
      <c r="G643" s="16" t="str">
        <f>IF('Paste Here'!$B637&lt;&gt;"",'Paste Here'!$B637,"")</f>
        <v/>
      </c>
      <c r="H643" s="16" t="str">
        <f>IF('Paste Here'!$C637&lt;&gt;"",'Paste Here'!$C637,"")</f>
        <v/>
      </c>
      <c r="I643" s="25" t="str">
        <f>IF('Paste Here'!$D637&lt;&gt;"",'Paste Here'!$D637,"")</f>
        <v/>
      </c>
      <c r="J643" s="27" t="str">
        <f>IF('Paste Here'!$E637&lt;&gt;"",'Paste Here'!$E637,"")</f>
        <v/>
      </c>
      <c r="K643" s="16" t="str">
        <f>IF('Paste Here'!$F637&lt;&gt;"",'Paste Here'!$F637,"")</f>
        <v/>
      </c>
      <c r="L643" s="16" t="str">
        <f>IF('Paste Here'!$G637&lt;&gt;"",'Paste Here'!$G637,"")</f>
        <v/>
      </c>
      <c r="M643" s="18" t="str">
        <f t="shared" si="19"/>
        <v/>
      </c>
    </row>
    <row r="644" spans="1:13" s="17" customFormat="1" x14ac:dyDescent="0.25">
      <c r="A644" s="16" t="str">
        <f>IF(URN&lt;&gt;"",_xll.mdValue("Resident",_xlnm.Database,$F644),"")</f>
        <v/>
      </c>
      <c r="B644" s="16" t="str">
        <f>IF(PersonId&lt;&gt;"",_xll.mdValue("Resident First Name",_xlnm.Database,$A$8),"")</f>
        <v/>
      </c>
      <c r="C644" s="16" t="str">
        <f>IF(PersonId&lt;&gt;"",_xll.mdValue("Resident Last Name",_xlnm.Database,$A$8),"")</f>
        <v/>
      </c>
      <c r="D644" s="16" t="str">
        <f>IF(PersonId&lt;&gt;"",_xll.mdValue("Person Accomodation Code",_xlnm.Database,$A644),"")</f>
        <v/>
      </c>
      <c r="E644" s="28" t="str">
        <f t="shared" si="18"/>
        <v/>
      </c>
      <c r="F644" s="16" t="str">
        <f>IF('Paste Here'!$A638&lt;&gt;"",'Paste Here'!$A638,"")</f>
        <v/>
      </c>
      <c r="G644" s="16" t="str">
        <f>IF('Paste Here'!$B638&lt;&gt;"",'Paste Here'!$B638,"")</f>
        <v/>
      </c>
      <c r="H644" s="16" t="str">
        <f>IF('Paste Here'!$C638&lt;&gt;"",'Paste Here'!$C638,"")</f>
        <v/>
      </c>
      <c r="I644" s="25" t="str">
        <f>IF('Paste Here'!$D638&lt;&gt;"",'Paste Here'!$D638,"")</f>
        <v/>
      </c>
      <c r="J644" s="27" t="str">
        <f>IF('Paste Here'!$E638&lt;&gt;"",'Paste Here'!$E638,"")</f>
        <v/>
      </c>
      <c r="K644" s="16" t="str">
        <f>IF('Paste Here'!$F638&lt;&gt;"",'Paste Here'!$F638,"")</f>
        <v/>
      </c>
      <c r="L644" s="16" t="str">
        <f>IF('Paste Here'!$G638&lt;&gt;"",'Paste Here'!$G638,"")</f>
        <v/>
      </c>
      <c r="M644" s="18" t="str">
        <f t="shared" si="19"/>
        <v/>
      </c>
    </row>
    <row r="645" spans="1:13" s="17" customFormat="1" x14ac:dyDescent="0.25">
      <c r="A645" s="16" t="str">
        <f>IF(URN&lt;&gt;"",_xll.mdValue("Resident",_xlnm.Database,$F645),"")</f>
        <v/>
      </c>
      <c r="B645" s="16" t="str">
        <f>IF(PersonId&lt;&gt;"",_xll.mdValue("Resident First Name",_xlnm.Database,$A$8),"")</f>
        <v/>
      </c>
      <c r="C645" s="16" t="str">
        <f>IF(PersonId&lt;&gt;"",_xll.mdValue("Resident Last Name",_xlnm.Database,$A$8),"")</f>
        <v/>
      </c>
      <c r="D645" s="16" t="str">
        <f>IF(PersonId&lt;&gt;"",_xll.mdValue("Person Accomodation Code",_xlnm.Database,$A645),"")</f>
        <v/>
      </c>
      <c r="E645" s="28" t="str">
        <f t="shared" si="18"/>
        <v/>
      </c>
      <c r="F645" s="16" t="str">
        <f>IF('Paste Here'!$A639&lt;&gt;"",'Paste Here'!$A639,"")</f>
        <v/>
      </c>
      <c r="G645" s="16" t="str">
        <f>IF('Paste Here'!$B639&lt;&gt;"",'Paste Here'!$B639,"")</f>
        <v/>
      </c>
      <c r="H645" s="16" t="str">
        <f>IF('Paste Here'!$C639&lt;&gt;"",'Paste Here'!$C639,"")</f>
        <v/>
      </c>
      <c r="I645" s="25" t="str">
        <f>IF('Paste Here'!$D639&lt;&gt;"",'Paste Here'!$D639,"")</f>
        <v/>
      </c>
      <c r="J645" s="27" t="str">
        <f>IF('Paste Here'!$E639&lt;&gt;"",'Paste Here'!$E639,"")</f>
        <v/>
      </c>
      <c r="K645" s="16" t="str">
        <f>IF('Paste Here'!$F639&lt;&gt;"",'Paste Here'!$F639,"")</f>
        <v/>
      </c>
      <c r="L645" s="16" t="str">
        <f>IF('Paste Here'!$G639&lt;&gt;"",'Paste Here'!$G639,"")</f>
        <v/>
      </c>
      <c r="M645" s="18" t="str">
        <f t="shared" si="19"/>
        <v/>
      </c>
    </row>
    <row r="646" spans="1:13" s="17" customFormat="1" x14ac:dyDescent="0.25">
      <c r="A646" s="16" t="str">
        <f>IF(URN&lt;&gt;"",_xll.mdValue("Resident",_xlnm.Database,$F646),"")</f>
        <v/>
      </c>
      <c r="B646" s="16" t="str">
        <f>IF(PersonId&lt;&gt;"",_xll.mdValue("Resident First Name",_xlnm.Database,$A$8),"")</f>
        <v/>
      </c>
      <c r="C646" s="16" t="str">
        <f>IF(PersonId&lt;&gt;"",_xll.mdValue("Resident Last Name",_xlnm.Database,$A$8),"")</f>
        <v/>
      </c>
      <c r="D646" s="16" t="str">
        <f>IF(PersonId&lt;&gt;"",_xll.mdValue("Person Accomodation Code",_xlnm.Database,$A646),"")</f>
        <v/>
      </c>
      <c r="E646" s="28" t="str">
        <f t="shared" si="18"/>
        <v/>
      </c>
      <c r="F646" s="16" t="str">
        <f>IF('Paste Here'!$A640&lt;&gt;"",'Paste Here'!$A640,"")</f>
        <v/>
      </c>
      <c r="G646" s="16" t="str">
        <f>IF('Paste Here'!$B640&lt;&gt;"",'Paste Here'!$B640,"")</f>
        <v/>
      </c>
      <c r="H646" s="16" t="str">
        <f>IF('Paste Here'!$C640&lt;&gt;"",'Paste Here'!$C640,"")</f>
        <v/>
      </c>
      <c r="I646" s="25" t="str">
        <f>IF('Paste Here'!$D640&lt;&gt;"",'Paste Here'!$D640,"")</f>
        <v/>
      </c>
      <c r="J646" s="27" t="str">
        <f>IF('Paste Here'!$E640&lt;&gt;"",'Paste Here'!$E640,"")</f>
        <v/>
      </c>
      <c r="K646" s="16" t="str">
        <f>IF('Paste Here'!$F640&lt;&gt;"",'Paste Here'!$F640,"")</f>
        <v/>
      </c>
      <c r="L646" s="16" t="str">
        <f>IF('Paste Here'!$G640&lt;&gt;"",'Paste Here'!$G640,"")</f>
        <v/>
      </c>
      <c r="M646" s="18" t="str">
        <f t="shared" si="19"/>
        <v/>
      </c>
    </row>
    <row r="647" spans="1:13" s="17" customFormat="1" x14ac:dyDescent="0.25">
      <c r="A647" s="16" t="str">
        <f>IF(URN&lt;&gt;"",_xll.mdValue("Resident",_xlnm.Database,$F647),"")</f>
        <v/>
      </c>
      <c r="B647" s="16" t="str">
        <f>IF(PersonId&lt;&gt;"",_xll.mdValue("Resident First Name",_xlnm.Database,$A$8),"")</f>
        <v/>
      </c>
      <c r="C647" s="16" t="str">
        <f>IF(PersonId&lt;&gt;"",_xll.mdValue("Resident Last Name",_xlnm.Database,$A$8),"")</f>
        <v/>
      </c>
      <c r="D647" s="16" t="str">
        <f>IF(PersonId&lt;&gt;"",_xll.mdValue("Person Accomodation Code",_xlnm.Database,$A647),"")</f>
        <v/>
      </c>
      <c r="E647" s="28" t="str">
        <f t="shared" si="18"/>
        <v/>
      </c>
      <c r="F647" s="16" t="str">
        <f>IF('Paste Here'!$A641&lt;&gt;"",'Paste Here'!$A641,"")</f>
        <v/>
      </c>
      <c r="G647" s="16" t="str">
        <f>IF('Paste Here'!$B641&lt;&gt;"",'Paste Here'!$B641,"")</f>
        <v/>
      </c>
      <c r="H647" s="16" t="str">
        <f>IF('Paste Here'!$C641&lt;&gt;"",'Paste Here'!$C641,"")</f>
        <v/>
      </c>
      <c r="I647" s="25" t="str">
        <f>IF('Paste Here'!$D641&lt;&gt;"",'Paste Here'!$D641,"")</f>
        <v/>
      </c>
      <c r="J647" s="27" t="str">
        <f>IF('Paste Here'!$E641&lt;&gt;"",'Paste Here'!$E641,"")</f>
        <v/>
      </c>
      <c r="K647" s="16" t="str">
        <f>IF('Paste Here'!$F641&lt;&gt;"",'Paste Here'!$F641,"")</f>
        <v/>
      </c>
      <c r="L647" s="16" t="str">
        <f>IF('Paste Here'!$G641&lt;&gt;"",'Paste Here'!$G641,"")</f>
        <v/>
      </c>
      <c r="M647" s="18" t="str">
        <f t="shared" si="19"/>
        <v/>
      </c>
    </row>
    <row r="648" spans="1:13" s="17" customFormat="1" x14ac:dyDescent="0.25">
      <c r="A648" s="16" t="str">
        <f>IF(URN&lt;&gt;"",_xll.mdValue("Resident",_xlnm.Database,$F648),"")</f>
        <v/>
      </c>
      <c r="B648" s="16" t="str">
        <f>IF(PersonId&lt;&gt;"",_xll.mdValue("Resident First Name",_xlnm.Database,$A$8),"")</f>
        <v/>
      </c>
      <c r="C648" s="16" t="str">
        <f>IF(PersonId&lt;&gt;"",_xll.mdValue("Resident Last Name",_xlnm.Database,$A$8),"")</f>
        <v/>
      </c>
      <c r="D648" s="16" t="str">
        <f>IF(PersonId&lt;&gt;"",_xll.mdValue("Person Accomodation Code",_xlnm.Database,$A648),"")</f>
        <v/>
      </c>
      <c r="E648" s="28" t="str">
        <f t="shared" ref="E648:E711" si="20">IF(ClientCare_Accommodation&lt;&gt;"",IF(ClientCare_Accommodation&lt;&gt;AccommodationCode,"Missing Accommodation",""),"")</f>
        <v/>
      </c>
      <c r="F648" s="16" t="str">
        <f>IF('Paste Here'!$A642&lt;&gt;"",'Paste Here'!$A642,"")</f>
        <v/>
      </c>
      <c r="G648" s="16" t="str">
        <f>IF('Paste Here'!$B642&lt;&gt;"",'Paste Here'!$B642,"")</f>
        <v/>
      </c>
      <c r="H648" s="16" t="str">
        <f>IF('Paste Here'!$C642&lt;&gt;"",'Paste Here'!$C642,"")</f>
        <v/>
      </c>
      <c r="I648" s="25" t="str">
        <f>IF('Paste Here'!$D642&lt;&gt;"",'Paste Here'!$D642,"")</f>
        <v/>
      </c>
      <c r="J648" s="27" t="str">
        <f>IF('Paste Here'!$E642&lt;&gt;"",'Paste Here'!$E642,"")</f>
        <v/>
      </c>
      <c r="K648" s="16" t="str">
        <f>IF('Paste Here'!$F642&lt;&gt;"",'Paste Here'!$F642,"")</f>
        <v/>
      </c>
      <c r="L648" s="16" t="str">
        <f>IF('Paste Here'!$G642&lt;&gt;"",'Paste Here'!$G642,"")</f>
        <v/>
      </c>
      <c r="M648" s="18" t="str">
        <f t="shared" ref="M648:M711" si="21">IF(PersonId&lt;&gt;"","Normal","")</f>
        <v/>
      </c>
    </row>
    <row r="649" spans="1:13" s="17" customFormat="1" x14ac:dyDescent="0.25">
      <c r="A649" s="16" t="str">
        <f>IF(URN&lt;&gt;"",_xll.mdValue("Resident",_xlnm.Database,$F649),"")</f>
        <v/>
      </c>
      <c r="B649" s="16" t="str">
        <f>IF(PersonId&lt;&gt;"",_xll.mdValue("Resident First Name",_xlnm.Database,$A$8),"")</f>
        <v/>
      </c>
      <c r="C649" s="16" t="str">
        <f>IF(PersonId&lt;&gt;"",_xll.mdValue("Resident Last Name",_xlnm.Database,$A$8),"")</f>
        <v/>
      </c>
      <c r="D649" s="16" t="str">
        <f>IF(PersonId&lt;&gt;"",_xll.mdValue("Person Accomodation Code",_xlnm.Database,$A649),"")</f>
        <v/>
      </c>
      <c r="E649" s="28" t="str">
        <f t="shared" si="20"/>
        <v/>
      </c>
      <c r="F649" s="16" t="str">
        <f>IF('Paste Here'!$A643&lt;&gt;"",'Paste Here'!$A643,"")</f>
        <v/>
      </c>
      <c r="G649" s="16" t="str">
        <f>IF('Paste Here'!$B643&lt;&gt;"",'Paste Here'!$B643,"")</f>
        <v/>
      </c>
      <c r="H649" s="16" t="str">
        <f>IF('Paste Here'!$C643&lt;&gt;"",'Paste Here'!$C643,"")</f>
        <v/>
      </c>
      <c r="I649" s="25" t="str">
        <f>IF('Paste Here'!$D643&lt;&gt;"",'Paste Here'!$D643,"")</f>
        <v/>
      </c>
      <c r="J649" s="27" t="str">
        <f>IF('Paste Here'!$E643&lt;&gt;"",'Paste Here'!$E643,"")</f>
        <v/>
      </c>
      <c r="K649" s="16" t="str">
        <f>IF('Paste Here'!$F643&lt;&gt;"",'Paste Here'!$F643,"")</f>
        <v/>
      </c>
      <c r="L649" s="16" t="str">
        <f>IF('Paste Here'!$G643&lt;&gt;"",'Paste Here'!$G643,"")</f>
        <v/>
      </c>
      <c r="M649" s="18" t="str">
        <f t="shared" si="21"/>
        <v/>
      </c>
    </row>
    <row r="650" spans="1:13" s="17" customFormat="1" x14ac:dyDescent="0.25">
      <c r="A650" s="16" t="str">
        <f>IF(URN&lt;&gt;"",_xll.mdValue("Resident",_xlnm.Database,$F650),"")</f>
        <v/>
      </c>
      <c r="B650" s="16" t="str">
        <f>IF(PersonId&lt;&gt;"",_xll.mdValue("Resident First Name",_xlnm.Database,$A$8),"")</f>
        <v/>
      </c>
      <c r="C650" s="16" t="str">
        <f>IF(PersonId&lt;&gt;"",_xll.mdValue("Resident Last Name",_xlnm.Database,$A$8),"")</f>
        <v/>
      </c>
      <c r="D650" s="16" t="str">
        <f>IF(PersonId&lt;&gt;"",_xll.mdValue("Person Accomodation Code",_xlnm.Database,$A650),"")</f>
        <v/>
      </c>
      <c r="E650" s="28" t="str">
        <f t="shared" si="20"/>
        <v/>
      </c>
      <c r="F650" s="16" t="str">
        <f>IF('Paste Here'!$A644&lt;&gt;"",'Paste Here'!$A644,"")</f>
        <v/>
      </c>
      <c r="G650" s="16" t="str">
        <f>IF('Paste Here'!$B644&lt;&gt;"",'Paste Here'!$B644,"")</f>
        <v/>
      </c>
      <c r="H650" s="16" t="str">
        <f>IF('Paste Here'!$C644&lt;&gt;"",'Paste Here'!$C644,"")</f>
        <v/>
      </c>
      <c r="I650" s="25" t="str">
        <f>IF('Paste Here'!$D644&lt;&gt;"",'Paste Here'!$D644,"")</f>
        <v/>
      </c>
      <c r="J650" s="27" t="str">
        <f>IF('Paste Here'!$E644&lt;&gt;"",'Paste Here'!$E644,"")</f>
        <v/>
      </c>
      <c r="K650" s="16" t="str">
        <f>IF('Paste Here'!$F644&lt;&gt;"",'Paste Here'!$F644,"")</f>
        <v/>
      </c>
      <c r="L650" s="16" t="str">
        <f>IF('Paste Here'!$G644&lt;&gt;"",'Paste Here'!$G644,"")</f>
        <v/>
      </c>
      <c r="M650" s="18" t="str">
        <f t="shared" si="21"/>
        <v/>
      </c>
    </row>
    <row r="651" spans="1:13" s="17" customFormat="1" x14ac:dyDescent="0.25">
      <c r="A651" s="16" t="str">
        <f>IF(URN&lt;&gt;"",_xll.mdValue("Resident",_xlnm.Database,$F651),"")</f>
        <v/>
      </c>
      <c r="B651" s="16" t="str">
        <f>IF(PersonId&lt;&gt;"",_xll.mdValue("Resident First Name",_xlnm.Database,$A$8),"")</f>
        <v/>
      </c>
      <c r="C651" s="16" t="str">
        <f>IF(PersonId&lt;&gt;"",_xll.mdValue("Resident Last Name",_xlnm.Database,$A$8),"")</f>
        <v/>
      </c>
      <c r="D651" s="16" t="str">
        <f>IF(PersonId&lt;&gt;"",_xll.mdValue("Person Accomodation Code",_xlnm.Database,$A651),"")</f>
        <v/>
      </c>
      <c r="E651" s="28" t="str">
        <f t="shared" si="20"/>
        <v/>
      </c>
      <c r="F651" s="16" t="str">
        <f>IF('Paste Here'!$A645&lt;&gt;"",'Paste Here'!$A645,"")</f>
        <v/>
      </c>
      <c r="G651" s="16" t="str">
        <f>IF('Paste Here'!$B645&lt;&gt;"",'Paste Here'!$B645,"")</f>
        <v/>
      </c>
      <c r="H651" s="16" t="str">
        <f>IF('Paste Here'!$C645&lt;&gt;"",'Paste Here'!$C645,"")</f>
        <v/>
      </c>
      <c r="I651" s="25" t="str">
        <f>IF('Paste Here'!$D645&lt;&gt;"",'Paste Here'!$D645,"")</f>
        <v/>
      </c>
      <c r="J651" s="27" t="str">
        <f>IF('Paste Here'!$E645&lt;&gt;"",'Paste Here'!$E645,"")</f>
        <v/>
      </c>
      <c r="K651" s="16" t="str">
        <f>IF('Paste Here'!$F645&lt;&gt;"",'Paste Here'!$F645,"")</f>
        <v/>
      </c>
      <c r="L651" s="16" t="str">
        <f>IF('Paste Here'!$G645&lt;&gt;"",'Paste Here'!$G645,"")</f>
        <v/>
      </c>
      <c r="M651" s="18" t="str">
        <f t="shared" si="21"/>
        <v/>
      </c>
    </row>
    <row r="652" spans="1:13" s="17" customFormat="1" x14ac:dyDescent="0.25">
      <c r="A652" s="16" t="str">
        <f>IF(URN&lt;&gt;"",_xll.mdValue("Resident",_xlnm.Database,$F652),"")</f>
        <v/>
      </c>
      <c r="B652" s="16" t="str">
        <f>IF(PersonId&lt;&gt;"",_xll.mdValue("Resident First Name",_xlnm.Database,$A$8),"")</f>
        <v/>
      </c>
      <c r="C652" s="16" t="str">
        <f>IF(PersonId&lt;&gt;"",_xll.mdValue("Resident Last Name",_xlnm.Database,$A$8),"")</f>
        <v/>
      </c>
      <c r="D652" s="16" t="str">
        <f>IF(PersonId&lt;&gt;"",_xll.mdValue("Person Accomodation Code",_xlnm.Database,$A652),"")</f>
        <v/>
      </c>
      <c r="E652" s="28" t="str">
        <f t="shared" si="20"/>
        <v/>
      </c>
      <c r="F652" s="16" t="str">
        <f>IF('Paste Here'!$A646&lt;&gt;"",'Paste Here'!$A646,"")</f>
        <v/>
      </c>
      <c r="G652" s="16" t="str">
        <f>IF('Paste Here'!$B646&lt;&gt;"",'Paste Here'!$B646,"")</f>
        <v/>
      </c>
      <c r="H652" s="16" t="str">
        <f>IF('Paste Here'!$C646&lt;&gt;"",'Paste Here'!$C646,"")</f>
        <v/>
      </c>
      <c r="I652" s="25" t="str">
        <f>IF('Paste Here'!$D646&lt;&gt;"",'Paste Here'!$D646,"")</f>
        <v/>
      </c>
      <c r="J652" s="27" t="str">
        <f>IF('Paste Here'!$E646&lt;&gt;"",'Paste Here'!$E646,"")</f>
        <v/>
      </c>
      <c r="K652" s="16" t="str">
        <f>IF('Paste Here'!$F646&lt;&gt;"",'Paste Here'!$F646,"")</f>
        <v/>
      </c>
      <c r="L652" s="16" t="str">
        <f>IF('Paste Here'!$G646&lt;&gt;"",'Paste Here'!$G646,"")</f>
        <v/>
      </c>
      <c r="M652" s="18" t="str">
        <f t="shared" si="21"/>
        <v/>
      </c>
    </row>
    <row r="653" spans="1:13" s="17" customFormat="1" x14ac:dyDescent="0.25">
      <c r="A653" s="16" t="str">
        <f>IF(URN&lt;&gt;"",_xll.mdValue("Resident",_xlnm.Database,$F653),"")</f>
        <v/>
      </c>
      <c r="B653" s="16" t="str">
        <f>IF(PersonId&lt;&gt;"",_xll.mdValue("Resident First Name",_xlnm.Database,$A$8),"")</f>
        <v/>
      </c>
      <c r="C653" s="16" t="str">
        <f>IF(PersonId&lt;&gt;"",_xll.mdValue("Resident Last Name",_xlnm.Database,$A$8),"")</f>
        <v/>
      </c>
      <c r="D653" s="16" t="str">
        <f>IF(PersonId&lt;&gt;"",_xll.mdValue("Person Accomodation Code",_xlnm.Database,$A653),"")</f>
        <v/>
      </c>
      <c r="E653" s="28" t="str">
        <f t="shared" si="20"/>
        <v/>
      </c>
      <c r="F653" s="16" t="str">
        <f>IF('Paste Here'!$A647&lt;&gt;"",'Paste Here'!$A647,"")</f>
        <v/>
      </c>
      <c r="G653" s="16" t="str">
        <f>IF('Paste Here'!$B647&lt;&gt;"",'Paste Here'!$B647,"")</f>
        <v/>
      </c>
      <c r="H653" s="16" t="str">
        <f>IF('Paste Here'!$C647&lt;&gt;"",'Paste Here'!$C647,"")</f>
        <v/>
      </c>
      <c r="I653" s="25" t="str">
        <f>IF('Paste Here'!$D647&lt;&gt;"",'Paste Here'!$D647,"")</f>
        <v/>
      </c>
      <c r="J653" s="27" t="str">
        <f>IF('Paste Here'!$E647&lt;&gt;"",'Paste Here'!$E647,"")</f>
        <v/>
      </c>
      <c r="K653" s="16" t="str">
        <f>IF('Paste Here'!$F647&lt;&gt;"",'Paste Here'!$F647,"")</f>
        <v/>
      </c>
      <c r="L653" s="16" t="str">
        <f>IF('Paste Here'!$G647&lt;&gt;"",'Paste Here'!$G647,"")</f>
        <v/>
      </c>
      <c r="M653" s="18" t="str">
        <f t="shared" si="21"/>
        <v/>
      </c>
    </row>
    <row r="654" spans="1:13" s="17" customFormat="1" x14ac:dyDescent="0.25">
      <c r="A654" s="16" t="str">
        <f>IF(URN&lt;&gt;"",_xll.mdValue("Resident",_xlnm.Database,$F654),"")</f>
        <v/>
      </c>
      <c r="B654" s="16" t="str">
        <f>IF(PersonId&lt;&gt;"",_xll.mdValue("Resident First Name",_xlnm.Database,$A$8),"")</f>
        <v/>
      </c>
      <c r="C654" s="16" t="str">
        <f>IF(PersonId&lt;&gt;"",_xll.mdValue("Resident Last Name",_xlnm.Database,$A$8),"")</f>
        <v/>
      </c>
      <c r="D654" s="16" t="str">
        <f>IF(PersonId&lt;&gt;"",_xll.mdValue("Person Accomodation Code",_xlnm.Database,$A654),"")</f>
        <v/>
      </c>
      <c r="E654" s="28" t="str">
        <f t="shared" si="20"/>
        <v/>
      </c>
      <c r="F654" s="16" t="str">
        <f>IF('Paste Here'!$A648&lt;&gt;"",'Paste Here'!$A648,"")</f>
        <v/>
      </c>
      <c r="G654" s="16" t="str">
        <f>IF('Paste Here'!$B648&lt;&gt;"",'Paste Here'!$B648,"")</f>
        <v/>
      </c>
      <c r="H654" s="16" t="str">
        <f>IF('Paste Here'!$C648&lt;&gt;"",'Paste Here'!$C648,"")</f>
        <v/>
      </c>
      <c r="I654" s="25" t="str">
        <f>IF('Paste Here'!$D648&lt;&gt;"",'Paste Here'!$D648,"")</f>
        <v/>
      </c>
      <c r="J654" s="27" t="str">
        <f>IF('Paste Here'!$E648&lt;&gt;"",'Paste Here'!$E648,"")</f>
        <v/>
      </c>
      <c r="K654" s="16" t="str">
        <f>IF('Paste Here'!$F648&lt;&gt;"",'Paste Here'!$F648,"")</f>
        <v/>
      </c>
      <c r="L654" s="16" t="str">
        <f>IF('Paste Here'!$G648&lt;&gt;"",'Paste Here'!$G648,"")</f>
        <v/>
      </c>
      <c r="M654" s="18" t="str">
        <f t="shared" si="21"/>
        <v/>
      </c>
    </row>
    <row r="655" spans="1:13" s="17" customFormat="1" x14ac:dyDescent="0.25">
      <c r="A655" s="16" t="str">
        <f>IF(URN&lt;&gt;"",_xll.mdValue("Resident",_xlnm.Database,$F655),"")</f>
        <v/>
      </c>
      <c r="B655" s="16" t="str">
        <f>IF(PersonId&lt;&gt;"",_xll.mdValue("Resident First Name",_xlnm.Database,$A$8),"")</f>
        <v/>
      </c>
      <c r="C655" s="16" t="str">
        <f>IF(PersonId&lt;&gt;"",_xll.mdValue("Resident Last Name",_xlnm.Database,$A$8),"")</f>
        <v/>
      </c>
      <c r="D655" s="16" t="str">
        <f>IF(PersonId&lt;&gt;"",_xll.mdValue("Person Accomodation Code",_xlnm.Database,$A655),"")</f>
        <v/>
      </c>
      <c r="E655" s="28" t="str">
        <f t="shared" si="20"/>
        <v/>
      </c>
      <c r="F655" s="16" t="str">
        <f>IF('Paste Here'!$A649&lt;&gt;"",'Paste Here'!$A649,"")</f>
        <v/>
      </c>
      <c r="G655" s="16" t="str">
        <f>IF('Paste Here'!$B649&lt;&gt;"",'Paste Here'!$B649,"")</f>
        <v/>
      </c>
      <c r="H655" s="16" t="str">
        <f>IF('Paste Here'!$C649&lt;&gt;"",'Paste Here'!$C649,"")</f>
        <v/>
      </c>
      <c r="I655" s="25" t="str">
        <f>IF('Paste Here'!$D649&lt;&gt;"",'Paste Here'!$D649,"")</f>
        <v/>
      </c>
      <c r="J655" s="27" t="str">
        <f>IF('Paste Here'!$E649&lt;&gt;"",'Paste Here'!$E649,"")</f>
        <v/>
      </c>
      <c r="K655" s="16" t="str">
        <f>IF('Paste Here'!$F649&lt;&gt;"",'Paste Here'!$F649,"")</f>
        <v/>
      </c>
      <c r="L655" s="16" t="str">
        <f>IF('Paste Here'!$G649&lt;&gt;"",'Paste Here'!$G649,"")</f>
        <v/>
      </c>
      <c r="M655" s="18" t="str">
        <f t="shared" si="21"/>
        <v/>
      </c>
    </row>
    <row r="656" spans="1:13" s="17" customFormat="1" x14ac:dyDescent="0.25">
      <c r="A656" s="16" t="str">
        <f>IF(URN&lt;&gt;"",_xll.mdValue("Resident",_xlnm.Database,$F656),"")</f>
        <v/>
      </c>
      <c r="B656" s="16" t="str">
        <f>IF(PersonId&lt;&gt;"",_xll.mdValue("Resident First Name",_xlnm.Database,$A$8),"")</f>
        <v/>
      </c>
      <c r="C656" s="16" t="str">
        <f>IF(PersonId&lt;&gt;"",_xll.mdValue("Resident Last Name",_xlnm.Database,$A$8),"")</f>
        <v/>
      </c>
      <c r="D656" s="16" t="str">
        <f>IF(PersonId&lt;&gt;"",_xll.mdValue("Person Accomodation Code",_xlnm.Database,$A656),"")</f>
        <v/>
      </c>
      <c r="E656" s="28" t="str">
        <f t="shared" si="20"/>
        <v/>
      </c>
      <c r="F656" s="16" t="str">
        <f>IF('Paste Here'!$A650&lt;&gt;"",'Paste Here'!$A650,"")</f>
        <v/>
      </c>
      <c r="G656" s="16" t="str">
        <f>IF('Paste Here'!$B650&lt;&gt;"",'Paste Here'!$B650,"")</f>
        <v/>
      </c>
      <c r="H656" s="16" t="str">
        <f>IF('Paste Here'!$C650&lt;&gt;"",'Paste Here'!$C650,"")</f>
        <v/>
      </c>
      <c r="I656" s="25" t="str">
        <f>IF('Paste Here'!$D650&lt;&gt;"",'Paste Here'!$D650,"")</f>
        <v/>
      </c>
      <c r="J656" s="27" t="str">
        <f>IF('Paste Here'!$E650&lt;&gt;"",'Paste Here'!$E650,"")</f>
        <v/>
      </c>
      <c r="K656" s="16" t="str">
        <f>IF('Paste Here'!$F650&lt;&gt;"",'Paste Here'!$F650,"")</f>
        <v/>
      </c>
      <c r="L656" s="16" t="str">
        <f>IF('Paste Here'!$G650&lt;&gt;"",'Paste Here'!$G650,"")</f>
        <v/>
      </c>
      <c r="M656" s="18" t="str">
        <f t="shared" si="21"/>
        <v/>
      </c>
    </row>
    <row r="657" spans="1:13" s="17" customFormat="1" x14ac:dyDescent="0.25">
      <c r="A657" s="16" t="str">
        <f>IF(URN&lt;&gt;"",_xll.mdValue("Resident",_xlnm.Database,$F657),"")</f>
        <v/>
      </c>
      <c r="B657" s="16" t="str">
        <f>IF(PersonId&lt;&gt;"",_xll.mdValue("Resident First Name",_xlnm.Database,$A$8),"")</f>
        <v/>
      </c>
      <c r="C657" s="16" t="str">
        <f>IF(PersonId&lt;&gt;"",_xll.mdValue("Resident Last Name",_xlnm.Database,$A$8),"")</f>
        <v/>
      </c>
      <c r="D657" s="16" t="str">
        <f>IF(PersonId&lt;&gt;"",_xll.mdValue("Person Accomodation Code",_xlnm.Database,$A657),"")</f>
        <v/>
      </c>
      <c r="E657" s="28" t="str">
        <f t="shared" si="20"/>
        <v/>
      </c>
      <c r="F657" s="16" t="str">
        <f>IF('Paste Here'!$A651&lt;&gt;"",'Paste Here'!$A651,"")</f>
        <v/>
      </c>
      <c r="G657" s="16" t="str">
        <f>IF('Paste Here'!$B651&lt;&gt;"",'Paste Here'!$B651,"")</f>
        <v/>
      </c>
      <c r="H657" s="16" t="str">
        <f>IF('Paste Here'!$C651&lt;&gt;"",'Paste Here'!$C651,"")</f>
        <v/>
      </c>
      <c r="I657" s="25" t="str">
        <f>IF('Paste Here'!$D651&lt;&gt;"",'Paste Here'!$D651,"")</f>
        <v/>
      </c>
      <c r="J657" s="27" t="str">
        <f>IF('Paste Here'!$E651&lt;&gt;"",'Paste Here'!$E651,"")</f>
        <v/>
      </c>
      <c r="K657" s="16" t="str">
        <f>IF('Paste Here'!$F651&lt;&gt;"",'Paste Here'!$F651,"")</f>
        <v/>
      </c>
      <c r="L657" s="16" t="str">
        <f>IF('Paste Here'!$G651&lt;&gt;"",'Paste Here'!$G651,"")</f>
        <v/>
      </c>
      <c r="M657" s="18" t="str">
        <f t="shared" si="21"/>
        <v/>
      </c>
    </row>
    <row r="658" spans="1:13" s="17" customFormat="1" x14ac:dyDescent="0.25">
      <c r="A658" s="16" t="str">
        <f>IF(URN&lt;&gt;"",_xll.mdValue("Resident",_xlnm.Database,$F658),"")</f>
        <v/>
      </c>
      <c r="B658" s="16" t="str">
        <f>IF(PersonId&lt;&gt;"",_xll.mdValue("Resident First Name",_xlnm.Database,$A$8),"")</f>
        <v/>
      </c>
      <c r="C658" s="16" t="str">
        <f>IF(PersonId&lt;&gt;"",_xll.mdValue("Resident Last Name",_xlnm.Database,$A$8),"")</f>
        <v/>
      </c>
      <c r="D658" s="16" t="str">
        <f>IF(PersonId&lt;&gt;"",_xll.mdValue("Person Accomodation Code",_xlnm.Database,$A658),"")</f>
        <v/>
      </c>
      <c r="E658" s="28" t="str">
        <f t="shared" si="20"/>
        <v/>
      </c>
      <c r="F658" s="16" t="str">
        <f>IF('Paste Here'!$A652&lt;&gt;"",'Paste Here'!$A652,"")</f>
        <v/>
      </c>
      <c r="G658" s="16" t="str">
        <f>IF('Paste Here'!$B652&lt;&gt;"",'Paste Here'!$B652,"")</f>
        <v/>
      </c>
      <c r="H658" s="16" t="str">
        <f>IF('Paste Here'!$C652&lt;&gt;"",'Paste Here'!$C652,"")</f>
        <v/>
      </c>
      <c r="I658" s="25" t="str">
        <f>IF('Paste Here'!$D652&lt;&gt;"",'Paste Here'!$D652,"")</f>
        <v/>
      </c>
      <c r="J658" s="27" t="str">
        <f>IF('Paste Here'!$E652&lt;&gt;"",'Paste Here'!$E652,"")</f>
        <v/>
      </c>
      <c r="K658" s="16" t="str">
        <f>IF('Paste Here'!$F652&lt;&gt;"",'Paste Here'!$F652,"")</f>
        <v/>
      </c>
      <c r="L658" s="16" t="str">
        <f>IF('Paste Here'!$G652&lt;&gt;"",'Paste Here'!$G652,"")</f>
        <v/>
      </c>
      <c r="M658" s="18" t="str">
        <f t="shared" si="21"/>
        <v/>
      </c>
    </row>
    <row r="659" spans="1:13" s="17" customFormat="1" x14ac:dyDescent="0.25">
      <c r="A659" s="16" t="str">
        <f>IF(URN&lt;&gt;"",_xll.mdValue("Resident",_xlnm.Database,$F659),"")</f>
        <v/>
      </c>
      <c r="B659" s="16" t="str">
        <f>IF(PersonId&lt;&gt;"",_xll.mdValue("Resident First Name",_xlnm.Database,$A$8),"")</f>
        <v/>
      </c>
      <c r="C659" s="16" t="str">
        <f>IF(PersonId&lt;&gt;"",_xll.mdValue("Resident Last Name",_xlnm.Database,$A$8),"")</f>
        <v/>
      </c>
      <c r="D659" s="16" t="str">
        <f>IF(PersonId&lt;&gt;"",_xll.mdValue("Person Accomodation Code",_xlnm.Database,$A659),"")</f>
        <v/>
      </c>
      <c r="E659" s="28" t="str">
        <f t="shared" si="20"/>
        <v/>
      </c>
      <c r="F659" s="16" t="str">
        <f>IF('Paste Here'!$A653&lt;&gt;"",'Paste Here'!$A653,"")</f>
        <v/>
      </c>
      <c r="G659" s="16" t="str">
        <f>IF('Paste Here'!$B653&lt;&gt;"",'Paste Here'!$B653,"")</f>
        <v/>
      </c>
      <c r="H659" s="16" t="str">
        <f>IF('Paste Here'!$C653&lt;&gt;"",'Paste Here'!$C653,"")</f>
        <v/>
      </c>
      <c r="I659" s="25" t="str">
        <f>IF('Paste Here'!$D653&lt;&gt;"",'Paste Here'!$D653,"")</f>
        <v/>
      </c>
      <c r="J659" s="27" t="str">
        <f>IF('Paste Here'!$E653&lt;&gt;"",'Paste Here'!$E653,"")</f>
        <v/>
      </c>
      <c r="K659" s="16" t="str">
        <f>IF('Paste Here'!$F653&lt;&gt;"",'Paste Here'!$F653,"")</f>
        <v/>
      </c>
      <c r="L659" s="16" t="str">
        <f>IF('Paste Here'!$G653&lt;&gt;"",'Paste Here'!$G653,"")</f>
        <v/>
      </c>
      <c r="M659" s="18" t="str">
        <f t="shared" si="21"/>
        <v/>
      </c>
    </row>
    <row r="660" spans="1:13" s="17" customFormat="1" x14ac:dyDescent="0.25">
      <c r="A660" s="16" t="str">
        <f>IF(URN&lt;&gt;"",_xll.mdValue("Resident",_xlnm.Database,$F660),"")</f>
        <v/>
      </c>
      <c r="B660" s="16" t="str">
        <f>IF(PersonId&lt;&gt;"",_xll.mdValue("Resident First Name",_xlnm.Database,$A$8),"")</f>
        <v/>
      </c>
      <c r="C660" s="16" t="str">
        <f>IF(PersonId&lt;&gt;"",_xll.mdValue("Resident Last Name",_xlnm.Database,$A$8),"")</f>
        <v/>
      </c>
      <c r="D660" s="16" t="str">
        <f>IF(PersonId&lt;&gt;"",_xll.mdValue("Person Accomodation Code",_xlnm.Database,$A660),"")</f>
        <v/>
      </c>
      <c r="E660" s="28" t="str">
        <f t="shared" si="20"/>
        <v/>
      </c>
      <c r="F660" s="16" t="str">
        <f>IF('Paste Here'!$A654&lt;&gt;"",'Paste Here'!$A654,"")</f>
        <v/>
      </c>
      <c r="G660" s="16" t="str">
        <f>IF('Paste Here'!$B654&lt;&gt;"",'Paste Here'!$B654,"")</f>
        <v/>
      </c>
      <c r="H660" s="16" t="str">
        <f>IF('Paste Here'!$C654&lt;&gt;"",'Paste Here'!$C654,"")</f>
        <v/>
      </c>
      <c r="I660" s="25" t="str">
        <f>IF('Paste Here'!$D654&lt;&gt;"",'Paste Here'!$D654,"")</f>
        <v/>
      </c>
      <c r="J660" s="27" t="str">
        <f>IF('Paste Here'!$E654&lt;&gt;"",'Paste Here'!$E654,"")</f>
        <v/>
      </c>
      <c r="K660" s="16" t="str">
        <f>IF('Paste Here'!$F654&lt;&gt;"",'Paste Here'!$F654,"")</f>
        <v/>
      </c>
      <c r="L660" s="16" t="str">
        <f>IF('Paste Here'!$G654&lt;&gt;"",'Paste Here'!$G654,"")</f>
        <v/>
      </c>
      <c r="M660" s="18" t="str">
        <f t="shared" si="21"/>
        <v/>
      </c>
    </row>
    <row r="661" spans="1:13" s="17" customFormat="1" x14ac:dyDescent="0.25">
      <c r="A661" s="16" t="str">
        <f>IF(URN&lt;&gt;"",_xll.mdValue("Resident",_xlnm.Database,$F661),"")</f>
        <v/>
      </c>
      <c r="B661" s="16" t="str">
        <f>IF(PersonId&lt;&gt;"",_xll.mdValue("Resident First Name",_xlnm.Database,$A$8),"")</f>
        <v/>
      </c>
      <c r="C661" s="16" t="str">
        <f>IF(PersonId&lt;&gt;"",_xll.mdValue("Resident Last Name",_xlnm.Database,$A$8),"")</f>
        <v/>
      </c>
      <c r="D661" s="16" t="str">
        <f>IF(PersonId&lt;&gt;"",_xll.mdValue("Person Accomodation Code",_xlnm.Database,$A661),"")</f>
        <v/>
      </c>
      <c r="E661" s="28" t="str">
        <f t="shared" si="20"/>
        <v/>
      </c>
      <c r="F661" s="16" t="str">
        <f>IF('Paste Here'!$A655&lt;&gt;"",'Paste Here'!$A655,"")</f>
        <v/>
      </c>
      <c r="G661" s="16" t="str">
        <f>IF('Paste Here'!$B655&lt;&gt;"",'Paste Here'!$B655,"")</f>
        <v/>
      </c>
      <c r="H661" s="16" t="str">
        <f>IF('Paste Here'!$C655&lt;&gt;"",'Paste Here'!$C655,"")</f>
        <v/>
      </c>
      <c r="I661" s="25" t="str">
        <f>IF('Paste Here'!$D655&lt;&gt;"",'Paste Here'!$D655,"")</f>
        <v/>
      </c>
      <c r="J661" s="27" t="str">
        <f>IF('Paste Here'!$E655&lt;&gt;"",'Paste Here'!$E655,"")</f>
        <v/>
      </c>
      <c r="K661" s="16" t="str">
        <f>IF('Paste Here'!$F655&lt;&gt;"",'Paste Here'!$F655,"")</f>
        <v/>
      </c>
      <c r="L661" s="16" t="str">
        <f>IF('Paste Here'!$G655&lt;&gt;"",'Paste Here'!$G655,"")</f>
        <v/>
      </c>
      <c r="M661" s="18" t="str">
        <f t="shared" si="21"/>
        <v/>
      </c>
    </row>
    <row r="662" spans="1:13" s="17" customFormat="1" x14ac:dyDescent="0.25">
      <c r="A662" s="16" t="str">
        <f>IF(URN&lt;&gt;"",_xll.mdValue("Resident",_xlnm.Database,$F662),"")</f>
        <v/>
      </c>
      <c r="B662" s="16" t="str">
        <f>IF(PersonId&lt;&gt;"",_xll.mdValue("Resident First Name",_xlnm.Database,$A$8),"")</f>
        <v/>
      </c>
      <c r="C662" s="16" t="str">
        <f>IF(PersonId&lt;&gt;"",_xll.mdValue("Resident Last Name",_xlnm.Database,$A$8),"")</f>
        <v/>
      </c>
      <c r="D662" s="16" t="str">
        <f>IF(PersonId&lt;&gt;"",_xll.mdValue("Person Accomodation Code",_xlnm.Database,$A662),"")</f>
        <v/>
      </c>
      <c r="E662" s="28" t="str">
        <f t="shared" si="20"/>
        <v/>
      </c>
      <c r="F662" s="16" t="str">
        <f>IF('Paste Here'!$A656&lt;&gt;"",'Paste Here'!$A656,"")</f>
        <v/>
      </c>
      <c r="G662" s="16" t="str">
        <f>IF('Paste Here'!$B656&lt;&gt;"",'Paste Here'!$B656,"")</f>
        <v/>
      </c>
      <c r="H662" s="16" t="str">
        <f>IF('Paste Here'!$C656&lt;&gt;"",'Paste Here'!$C656,"")</f>
        <v/>
      </c>
      <c r="I662" s="25" t="str">
        <f>IF('Paste Here'!$D656&lt;&gt;"",'Paste Here'!$D656,"")</f>
        <v/>
      </c>
      <c r="J662" s="27" t="str">
        <f>IF('Paste Here'!$E656&lt;&gt;"",'Paste Here'!$E656,"")</f>
        <v/>
      </c>
      <c r="K662" s="16" t="str">
        <f>IF('Paste Here'!$F656&lt;&gt;"",'Paste Here'!$F656,"")</f>
        <v/>
      </c>
      <c r="L662" s="16" t="str">
        <f>IF('Paste Here'!$G656&lt;&gt;"",'Paste Here'!$G656,"")</f>
        <v/>
      </c>
      <c r="M662" s="18" t="str">
        <f t="shared" si="21"/>
        <v/>
      </c>
    </row>
    <row r="663" spans="1:13" s="17" customFormat="1" x14ac:dyDescent="0.25">
      <c r="A663" s="16" t="str">
        <f>IF(URN&lt;&gt;"",_xll.mdValue("Resident",_xlnm.Database,$F663),"")</f>
        <v/>
      </c>
      <c r="B663" s="16" t="str">
        <f>IF(PersonId&lt;&gt;"",_xll.mdValue("Resident First Name",_xlnm.Database,$A$8),"")</f>
        <v/>
      </c>
      <c r="C663" s="16" t="str">
        <f>IF(PersonId&lt;&gt;"",_xll.mdValue("Resident Last Name",_xlnm.Database,$A$8),"")</f>
        <v/>
      </c>
      <c r="D663" s="16" t="str">
        <f>IF(PersonId&lt;&gt;"",_xll.mdValue("Person Accomodation Code",_xlnm.Database,$A663),"")</f>
        <v/>
      </c>
      <c r="E663" s="28" t="str">
        <f t="shared" si="20"/>
        <v/>
      </c>
      <c r="F663" s="16" t="str">
        <f>IF('Paste Here'!$A657&lt;&gt;"",'Paste Here'!$A657,"")</f>
        <v/>
      </c>
      <c r="G663" s="16" t="str">
        <f>IF('Paste Here'!$B657&lt;&gt;"",'Paste Here'!$B657,"")</f>
        <v/>
      </c>
      <c r="H663" s="16" t="str">
        <f>IF('Paste Here'!$C657&lt;&gt;"",'Paste Here'!$C657,"")</f>
        <v/>
      </c>
      <c r="I663" s="25" t="str">
        <f>IF('Paste Here'!$D657&lt;&gt;"",'Paste Here'!$D657,"")</f>
        <v/>
      </c>
      <c r="J663" s="27" t="str">
        <f>IF('Paste Here'!$E657&lt;&gt;"",'Paste Here'!$E657,"")</f>
        <v/>
      </c>
      <c r="K663" s="16" t="str">
        <f>IF('Paste Here'!$F657&lt;&gt;"",'Paste Here'!$F657,"")</f>
        <v/>
      </c>
      <c r="L663" s="16" t="str">
        <f>IF('Paste Here'!$G657&lt;&gt;"",'Paste Here'!$G657,"")</f>
        <v/>
      </c>
      <c r="M663" s="18" t="str">
        <f t="shared" si="21"/>
        <v/>
      </c>
    </row>
    <row r="664" spans="1:13" s="17" customFormat="1" x14ac:dyDescent="0.25">
      <c r="A664" s="16" t="str">
        <f>IF(URN&lt;&gt;"",_xll.mdValue("Resident",_xlnm.Database,$F664),"")</f>
        <v/>
      </c>
      <c r="B664" s="16" t="str">
        <f>IF(PersonId&lt;&gt;"",_xll.mdValue("Resident First Name",_xlnm.Database,$A$8),"")</f>
        <v/>
      </c>
      <c r="C664" s="16" t="str">
        <f>IF(PersonId&lt;&gt;"",_xll.mdValue("Resident Last Name",_xlnm.Database,$A$8),"")</f>
        <v/>
      </c>
      <c r="D664" s="16" t="str">
        <f>IF(PersonId&lt;&gt;"",_xll.mdValue("Person Accomodation Code",_xlnm.Database,$A664),"")</f>
        <v/>
      </c>
      <c r="E664" s="28" t="str">
        <f t="shared" si="20"/>
        <v/>
      </c>
      <c r="F664" s="16" t="str">
        <f>IF('Paste Here'!$A658&lt;&gt;"",'Paste Here'!$A658,"")</f>
        <v/>
      </c>
      <c r="G664" s="16" t="str">
        <f>IF('Paste Here'!$B658&lt;&gt;"",'Paste Here'!$B658,"")</f>
        <v/>
      </c>
      <c r="H664" s="16" t="str">
        <f>IF('Paste Here'!$C658&lt;&gt;"",'Paste Here'!$C658,"")</f>
        <v/>
      </c>
      <c r="I664" s="25" t="str">
        <f>IF('Paste Here'!$D658&lt;&gt;"",'Paste Here'!$D658,"")</f>
        <v/>
      </c>
      <c r="J664" s="27" t="str">
        <f>IF('Paste Here'!$E658&lt;&gt;"",'Paste Here'!$E658,"")</f>
        <v/>
      </c>
      <c r="K664" s="16" t="str">
        <f>IF('Paste Here'!$F658&lt;&gt;"",'Paste Here'!$F658,"")</f>
        <v/>
      </c>
      <c r="L664" s="16" t="str">
        <f>IF('Paste Here'!$G658&lt;&gt;"",'Paste Here'!$G658,"")</f>
        <v/>
      </c>
      <c r="M664" s="18" t="str">
        <f t="shared" si="21"/>
        <v/>
      </c>
    </row>
    <row r="665" spans="1:13" s="17" customFormat="1" x14ac:dyDescent="0.25">
      <c r="A665" s="16" t="str">
        <f>IF(URN&lt;&gt;"",_xll.mdValue("Resident",_xlnm.Database,$F665),"")</f>
        <v/>
      </c>
      <c r="B665" s="16" t="str">
        <f>IF(PersonId&lt;&gt;"",_xll.mdValue("Resident First Name",_xlnm.Database,$A$8),"")</f>
        <v/>
      </c>
      <c r="C665" s="16" t="str">
        <f>IF(PersonId&lt;&gt;"",_xll.mdValue("Resident Last Name",_xlnm.Database,$A$8),"")</f>
        <v/>
      </c>
      <c r="D665" s="16" t="str">
        <f>IF(PersonId&lt;&gt;"",_xll.mdValue("Person Accomodation Code",_xlnm.Database,$A665),"")</f>
        <v/>
      </c>
      <c r="E665" s="28" t="str">
        <f t="shared" si="20"/>
        <v/>
      </c>
      <c r="F665" s="16" t="str">
        <f>IF('Paste Here'!$A659&lt;&gt;"",'Paste Here'!$A659,"")</f>
        <v/>
      </c>
      <c r="G665" s="16" t="str">
        <f>IF('Paste Here'!$B659&lt;&gt;"",'Paste Here'!$B659,"")</f>
        <v/>
      </c>
      <c r="H665" s="16" t="str">
        <f>IF('Paste Here'!$C659&lt;&gt;"",'Paste Here'!$C659,"")</f>
        <v/>
      </c>
      <c r="I665" s="25" t="str">
        <f>IF('Paste Here'!$D659&lt;&gt;"",'Paste Here'!$D659,"")</f>
        <v/>
      </c>
      <c r="J665" s="27" t="str">
        <f>IF('Paste Here'!$E659&lt;&gt;"",'Paste Here'!$E659,"")</f>
        <v/>
      </c>
      <c r="K665" s="16" t="str">
        <f>IF('Paste Here'!$F659&lt;&gt;"",'Paste Here'!$F659,"")</f>
        <v/>
      </c>
      <c r="L665" s="16" t="str">
        <f>IF('Paste Here'!$G659&lt;&gt;"",'Paste Here'!$G659,"")</f>
        <v/>
      </c>
      <c r="M665" s="18" t="str">
        <f t="shared" si="21"/>
        <v/>
      </c>
    </row>
    <row r="666" spans="1:13" s="17" customFormat="1" x14ac:dyDescent="0.25">
      <c r="A666" s="16" t="str">
        <f>IF(URN&lt;&gt;"",_xll.mdValue("Resident",_xlnm.Database,$F666),"")</f>
        <v/>
      </c>
      <c r="B666" s="16" t="str">
        <f>IF(PersonId&lt;&gt;"",_xll.mdValue("Resident First Name",_xlnm.Database,$A$8),"")</f>
        <v/>
      </c>
      <c r="C666" s="16" t="str">
        <f>IF(PersonId&lt;&gt;"",_xll.mdValue("Resident Last Name",_xlnm.Database,$A$8),"")</f>
        <v/>
      </c>
      <c r="D666" s="16" t="str">
        <f>IF(PersonId&lt;&gt;"",_xll.mdValue("Person Accomodation Code",_xlnm.Database,$A666),"")</f>
        <v/>
      </c>
      <c r="E666" s="28" t="str">
        <f t="shared" si="20"/>
        <v/>
      </c>
      <c r="F666" s="16" t="str">
        <f>IF('Paste Here'!$A660&lt;&gt;"",'Paste Here'!$A660,"")</f>
        <v/>
      </c>
      <c r="G666" s="16" t="str">
        <f>IF('Paste Here'!$B660&lt;&gt;"",'Paste Here'!$B660,"")</f>
        <v/>
      </c>
      <c r="H666" s="16" t="str">
        <f>IF('Paste Here'!$C660&lt;&gt;"",'Paste Here'!$C660,"")</f>
        <v/>
      </c>
      <c r="I666" s="25" t="str">
        <f>IF('Paste Here'!$D660&lt;&gt;"",'Paste Here'!$D660,"")</f>
        <v/>
      </c>
      <c r="J666" s="27" t="str">
        <f>IF('Paste Here'!$E660&lt;&gt;"",'Paste Here'!$E660,"")</f>
        <v/>
      </c>
      <c r="K666" s="16" t="str">
        <f>IF('Paste Here'!$F660&lt;&gt;"",'Paste Here'!$F660,"")</f>
        <v/>
      </c>
      <c r="L666" s="16" t="str">
        <f>IF('Paste Here'!$G660&lt;&gt;"",'Paste Here'!$G660,"")</f>
        <v/>
      </c>
      <c r="M666" s="18" t="str">
        <f t="shared" si="21"/>
        <v/>
      </c>
    </row>
    <row r="667" spans="1:13" s="17" customFormat="1" x14ac:dyDescent="0.25">
      <c r="A667" s="16" t="str">
        <f>IF(URN&lt;&gt;"",_xll.mdValue("Resident",_xlnm.Database,$F667),"")</f>
        <v/>
      </c>
      <c r="B667" s="16" t="str">
        <f>IF(PersonId&lt;&gt;"",_xll.mdValue("Resident First Name",_xlnm.Database,$A$8),"")</f>
        <v/>
      </c>
      <c r="C667" s="16" t="str">
        <f>IF(PersonId&lt;&gt;"",_xll.mdValue("Resident Last Name",_xlnm.Database,$A$8),"")</f>
        <v/>
      </c>
      <c r="D667" s="16" t="str">
        <f>IF(PersonId&lt;&gt;"",_xll.mdValue("Person Accomodation Code",_xlnm.Database,$A667),"")</f>
        <v/>
      </c>
      <c r="E667" s="28" t="str">
        <f t="shared" si="20"/>
        <v/>
      </c>
      <c r="F667" s="16" t="str">
        <f>IF('Paste Here'!$A661&lt;&gt;"",'Paste Here'!$A661,"")</f>
        <v/>
      </c>
      <c r="G667" s="16" t="str">
        <f>IF('Paste Here'!$B661&lt;&gt;"",'Paste Here'!$B661,"")</f>
        <v/>
      </c>
      <c r="H667" s="16" t="str">
        <f>IF('Paste Here'!$C661&lt;&gt;"",'Paste Here'!$C661,"")</f>
        <v/>
      </c>
      <c r="I667" s="25" t="str">
        <f>IF('Paste Here'!$D661&lt;&gt;"",'Paste Here'!$D661,"")</f>
        <v/>
      </c>
      <c r="J667" s="27" t="str">
        <f>IF('Paste Here'!$E661&lt;&gt;"",'Paste Here'!$E661,"")</f>
        <v/>
      </c>
      <c r="K667" s="16" t="str">
        <f>IF('Paste Here'!$F661&lt;&gt;"",'Paste Here'!$F661,"")</f>
        <v/>
      </c>
      <c r="L667" s="16" t="str">
        <f>IF('Paste Here'!$G661&lt;&gt;"",'Paste Here'!$G661,"")</f>
        <v/>
      </c>
      <c r="M667" s="18" t="str">
        <f t="shared" si="21"/>
        <v/>
      </c>
    </row>
    <row r="668" spans="1:13" s="17" customFormat="1" x14ac:dyDescent="0.25">
      <c r="A668" s="16" t="str">
        <f>IF(URN&lt;&gt;"",_xll.mdValue("Resident",_xlnm.Database,$F668),"")</f>
        <v/>
      </c>
      <c r="B668" s="16" t="str">
        <f>IF(PersonId&lt;&gt;"",_xll.mdValue("Resident First Name",_xlnm.Database,$A$8),"")</f>
        <v/>
      </c>
      <c r="C668" s="16" t="str">
        <f>IF(PersonId&lt;&gt;"",_xll.mdValue("Resident Last Name",_xlnm.Database,$A$8),"")</f>
        <v/>
      </c>
      <c r="D668" s="16" t="str">
        <f>IF(PersonId&lt;&gt;"",_xll.mdValue("Person Accomodation Code",_xlnm.Database,$A668),"")</f>
        <v/>
      </c>
      <c r="E668" s="28" t="str">
        <f t="shared" si="20"/>
        <v/>
      </c>
      <c r="F668" s="16" t="str">
        <f>IF('Paste Here'!$A662&lt;&gt;"",'Paste Here'!$A662,"")</f>
        <v/>
      </c>
      <c r="G668" s="16" t="str">
        <f>IF('Paste Here'!$B662&lt;&gt;"",'Paste Here'!$B662,"")</f>
        <v/>
      </c>
      <c r="H668" s="16" t="str">
        <f>IF('Paste Here'!$C662&lt;&gt;"",'Paste Here'!$C662,"")</f>
        <v/>
      </c>
      <c r="I668" s="25" t="str">
        <f>IF('Paste Here'!$D662&lt;&gt;"",'Paste Here'!$D662,"")</f>
        <v/>
      </c>
      <c r="J668" s="27" t="str">
        <f>IF('Paste Here'!$E662&lt;&gt;"",'Paste Here'!$E662,"")</f>
        <v/>
      </c>
      <c r="K668" s="16" t="str">
        <f>IF('Paste Here'!$F662&lt;&gt;"",'Paste Here'!$F662,"")</f>
        <v/>
      </c>
      <c r="L668" s="16" t="str">
        <f>IF('Paste Here'!$G662&lt;&gt;"",'Paste Here'!$G662,"")</f>
        <v/>
      </c>
      <c r="M668" s="18" t="str">
        <f t="shared" si="21"/>
        <v/>
      </c>
    </row>
    <row r="669" spans="1:13" s="17" customFormat="1" x14ac:dyDescent="0.25">
      <c r="A669" s="16" t="str">
        <f>IF(URN&lt;&gt;"",_xll.mdValue("Resident",_xlnm.Database,$F669),"")</f>
        <v/>
      </c>
      <c r="B669" s="16" t="str">
        <f>IF(PersonId&lt;&gt;"",_xll.mdValue("Resident First Name",_xlnm.Database,$A$8),"")</f>
        <v/>
      </c>
      <c r="C669" s="16" t="str">
        <f>IF(PersonId&lt;&gt;"",_xll.mdValue("Resident Last Name",_xlnm.Database,$A$8),"")</f>
        <v/>
      </c>
      <c r="D669" s="16" t="str">
        <f>IF(PersonId&lt;&gt;"",_xll.mdValue("Person Accomodation Code",_xlnm.Database,$A669),"")</f>
        <v/>
      </c>
      <c r="E669" s="28" t="str">
        <f t="shared" si="20"/>
        <v/>
      </c>
      <c r="F669" s="16" t="str">
        <f>IF('Paste Here'!$A663&lt;&gt;"",'Paste Here'!$A663,"")</f>
        <v/>
      </c>
      <c r="G669" s="16" t="str">
        <f>IF('Paste Here'!$B663&lt;&gt;"",'Paste Here'!$B663,"")</f>
        <v/>
      </c>
      <c r="H669" s="16" t="str">
        <f>IF('Paste Here'!$C663&lt;&gt;"",'Paste Here'!$C663,"")</f>
        <v/>
      </c>
      <c r="I669" s="25" t="str">
        <f>IF('Paste Here'!$D663&lt;&gt;"",'Paste Here'!$D663,"")</f>
        <v/>
      </c>
      <c r="J669" s="27" t="str">
        <f>IF('Paste Here'!$E663&lt;&gt;"",'Paste Here'!$E663,"")</f>
        <v/>
      </c>
      <c r="K669" s="16" t="str">
        <f>IF('Paste Here'!$F663&lt;&gt;"",'Paste Here'!$F663,"")</f>
        <v/>
      </c>
      <c r="L669" s="16" t="str">
        <f>IF('Paste Here'!$G663&lt;&gt;"",'Paste Here'!$G663,"")</f>
        <v/>
      </c>
      <c r="M669" s="18" t="str">
        <f t="shared" si="21"/>
        <v/>
      </c>
    </row>
    <row r="670" spans="1:13" s="17" customFormat="1" x14ac:dyDescent="0.25">
      <c r="A670" s="16" t="str">
        <f>IF(URN&lt;&gt;"",_xll.mdValue("Resident",_xlnm.Database,$F670),"")</f>
        <v/>
      </c>
      <c r="B670" s="16" t="str">
        <f>IF(PersonId&lt;&gt;"",_xll.mdValue("Resident First Name",_xlnm.Database,$A$8),"")</f>
        <v/>
      </c>
      <c r="C670" s="16" t="str">
        <f>IF(PersonId&lt;&gt;"",_xll.mdValue("Resident Last Name",_xlnm.Database,$A$8),"")</f>
        <v/>
      </c>
      <c r="D670" s="16" t="str">
        <f>IF(PersonId&lt;&gt;"",_xll.mdValue("Person Accomodation Code",_xlnm.Database,$A670),"")</f>
        <v/>
      </c>
      <c r="E670" s="28" t="str">
        <f t="shared" si="20"/>
        <v/>
      </c>
      <c r="F670" s="16" t="str">
        <f>IF('Paste Here'!$A664&lt;&gt;"",'Paste Here'!$A664,"")</f>
        <v/>
      </c>
      <c r="G670" s="16" t="str">
        <f>IF('Paste Here'!$B664&lt;&gt;"",'Paste Here'!$B664,"")</f>
        <v/>
      </c>
      <c r="H670" s="16" t="str">
        <f>IF('Paste Here'!$C664&lt;&gt;"",'Paste Here'!$C664,"")</f>
        <v/>
      </c>
      <c r="I670" s="25" t="str">
        <f>IF('Paste Here'!$D664&lt;&gt;"",'Paste Here'!$D664,"")</f>
        <v/>
      </c>
      <c r="J670" s="27" t="str">
        <f>IF('Paste Here'!$E664&lt;&gt;"",'Paste Here'!$E664,"")</f>
        <v/>
      </c>
      <c r="K670" s="16" t="str">
        <f>IF('Paste Here'!$F664&lt;&gt;"",'Paste Here'!$F664,"")</f>
        <v/>
      </c>
      <c r="L670" s="16" t="str">
        <f>IF('Paste Here'!$G664&lt;&gt;"",'Paste Here'!$G664,"")</f>
        <v/>
      </c>
      <c r="M670" s="18" t="str">
        <f t="shared" si="21"/>
        <v/>
      </c>
    </row>
    <row r="671" spans="1:13" s="17" customFormat="1" x14ac:dyDescent="0.25">
      <c r="A671" s="16" t="str">
        <f>IF(URN&lt;&gt;"",_xll.mdValue("Resident",_xlnm.Database,$F671),"")</f>
        <v/>
      </c>
      <c r="B671" s="16" t="str">
        <f>IF(PersonId&lt;&gt;"",_xll.mdValue("Resident First Name",_xlnm.Database,$A$8),"")</f>
        <v/>
      </c>
      <c r="C671" s="16" t="str">
        <f>IF(PersonId&lt;&gt;"",_xll.mdValue("Resident Last Name",_xlnm.Database,$A$8),"")</f>
        <v/>
      </c>
      <c r="D671" s="16" t="str">
        <f>IF(PersonId&lt;&gt;"",_xll.mdValue("Person Accomodation Code",_xlnm.Database,$A671),"")</f>
        <v/>
      </c>
      <c r="E671" s="28" t="str">
        <f t="shared" si="20"/>
        <v/>
      </c>
      <c r="F671" s="16" t="str">
        <f>IF('Paste Here'!$A665&lt;&gt;"",'Paste Here'!$A665,"")</f>
        <v/>
      </c>
      <c r="G671" s="16" t="str">
        <f>IF('Paste Here'!$B665&lt;&gt;"",'Paste Here'!$B665,"")</f>
        <v/>
      </c>
      <c r="H671" s="16" t="str">
        <f>IF('Paste Here'!$C665&lt;&gt;"",'Paste Here'!$C665,"")</f>
        <v/>
      </c>
      <c r="I671" s="25" t="str">
        <f>IF('Paste Here'!$D665&lt;&gt;"",'Paste Here'!$D665,"")</f>
        <v/>
      </c>
      <c r="J671" s="27" t="str">
        <f>IF('Paste Here'!$E665&lt;&gt;"",'Paste Here'!$E665,"")</f>
        <v/>
      </c>
      <c r="K671" s="16" t="str">
        <f>IF('Paste Here'!$F665&lt;&gt;"",'Paste Here'!$F665,"")</f>
        <v/>
      </c>
      <c r="L671" s="16" t="str">
        <f>IF('Paste Here'!$G665&lt;&gt;"",'Paste Here'!$G665,"")</f>
        <v/>
      </c>
      <c r="M671" s="18" t="str">
        <f t="shared" si="21"/>
        <v/>
      </c>
    </row>
    <row r="672" spans="1:13" s="17" customFormat="1" x14ac:dyDescent="0.25">
      <c r="A672" s="16" t="str">
        <f>IF(URN&lt;&gt;"",_xll.mdValue("Resident",_xlnm.Database,$F672),"")</f>
        <v/>
      </c>
      <c r="B672" s="16" t="str">
        <f>IF(PersonId&lt;&gt;"",_xll.mdValue("Resident First Name",_xlnm.Database,$A$8),"")</f>
        <v/>
      </c>
      <c r="C672" s="16" t="str">
        <f>IF(PersonId&lt;&gt;"",_xll.mdValue("Resident Last Name",_xlnm.Database,$A$8),"")</f>
        <v/>
      </c>
      <c r="D672" s="16" t="str">
        <f>IF(PersonId&lt;&gt;"",_xll.mdValue("Person Accomodation Code",_xlnm.Database,$A672),"")</f>
        <v/>
      </c>
      <c r="E672" s="28" t="str">
        <f t="shared" si="20"/>
        <v/>
      </c>
      <c r="F672" s="16" t="str">
        <f>IF('Paste Here'!$A666&lt;&gt;"",'Paste Here'!$A666,"")</f>
        <v/>
      </c>
      <c r="G672" s="16" t="str">
        <f>IF('Paste Here'!$B666&lt;&gt;"",'Paste Here'!$B666,"")</f>
        <v/>
      </c>
      <c r="H672" s="16" t="str">
        <f>IF('Paste Here'!$C666&lt;&gt;"",'Paste Here'!$C666,"")</f>
        <v/>
      </c>
      <c r="I672" s="25" t="str">
        <f>IF('Paste Here'!$D666&lt;&gt;"",'Paste Here'!$D666,"")</f>
        <v/>
      </c>
      <c r="J672" s="27" t="str">
        <f>IF('Paste Here'!$E666&lt;&gt;"",'Paste Here'!$E666,"")</f>
        <v/>
      </c>
      <c r="K672" s="16" t="str">
        <f>IF('Paste Here'!$F666&lt;&gt;"",'Paste Here'!$F666,"")</f>
        <v/>
      </c>
      <c r="L672" s="16" t="str">
        <f>IF('Paste Here'!$G666&lt;&gt;"",'Paste Here'!$G666,"")</f>
        <v/>
      </c>
      <c r="M672" s="18" t="str">
        <f t="shared" si="21"/>
        <v/>
      </c>
    </row>
    <row r="673" spans="1:13" s="17" customFormat="1" x14ac:dyDescent="0.25">
      <c r="A673" s="16" t="str">
        <f>IF(URN&lt;&gt;"",_xll.mdValue("Resident",_xlnm.Database,$F673),"")</f>
        <v/>
      </c>
      <c r="B673" s="16" t="str">
        <f>IF(PersonId&lt;&gt;"",_xll.mdValue("Resident First Name",_xlnm.Database,$A$8),"")</f>
        <v/>
      </c>
      <c r="C673" s="16" t="str">
        <f>IF(PersonId&lt;&gt;"",_xll.mdValue("Resident Last Name",_xlnm.Database,$A$8),"")</f>
        <v/>
      </c>
      <c r="D673" s="16" t="str">
        <f>IF(PersonId&lt;&gt;"",_xll.mdValue("Person Accomodation Code",_xlnm.Database,$A673),"")</f>
        <v/>
      </c>
      <c r="E673" s="28" t="str">
        <f t="shared" si="20"/>
        <v/>
      </c>
      <c r="F673" s="16" t="str">
        <f>IF('Paste Here'!$A667&lt;&gt;"",'Paste Here'!$A667,"")</f>
        <v/>
      </c>
      <c r="G673" s="16" t="str">
        <f>IF('Paste Here'!$B667&lt;&gt;"",'Paste Here'!$B667,"")</f>
        <v/>
      </c>
      <c r="H673" s="16" t="str">
        <f>IF('Paste Here'!$C667&lt;&gt;"",'Paste Here'!$C667,"")</f>
        <v/>
      </c>
      <c r="I673" s="25" t="str">
        <f>IF('Paste Here'!$D667&lt;&gt;"",'Paste Here'!$D667,"")</f>
        <v/>
      </c>
      <c r="J673" s="27" t="str">
        <f>IF('Paste Here'!$E667&lt;&gt;"",'Paste Here'!$E667,"")</f>
        <v/>
      </c>
      <c r="K673" s="16" t="str">
        <f>IF('Paste Here'!$F667&lt;&gt;"",'Paste Here'!$F667,"")</f>
        <v/>
      </c>
      <c r="L673" s="16" t="str">
        <f>IF('Paste Here'!$G667&lt;&gt;"",'Paste Here'!$G667,"")</f>
        <v/>
      </c>
      <c r="M673" s="18" t="str">
        <f t="shared" si="21"/>
        <v/>
      </c>
    </row>
    <row r="674" spans="1:13" s="17" customFormat="1" x14ac:dyDescent="0.25">
      <c r="A674" s="16" t="str">
        <f>IF(URN&lt;&gt;"",_xll.mdValue("Resident",_xlnm.Database,$F674),"")</f>
        <v/>
      </c>
      <c r="B674" s="16" t="str">
        <f>IF(PersonId&lt;&gt;"",_xll.mdValue("Resident First Name",_xlnm.Database,$A$8),"")</f>
        <v/>
      </c>
      <c r="C674" s="16" t="str">
        <f>IF(PersonId&lt;&gt;"",_xll.mdValue("Resident Last Name",_xlnm.Database,$A$8),"")</f>
        <v/>
      </c>
      <c r="D674" s="16" t="str">
        <f>IF(PersonId&lt;&gt;"",_xll.mdValue("Person Accomodation Code",_xlnm.Database,$A674),"")</f>
        <v/>
      </c>
      <c r="E674" s="28" t="str">
        <f t="shared" si="20"/>
        <v/>
      </c>
      <c r="F674" s="16" t="str">
        <f>IF('Paste Here'!$A668&lt;&gt;"",'Paste Here'!$A668,"")</f>
        <v/>
      </c>
      <c r="G674" s="16" t="str">
        <f>IF('Paste Here'!$B668&lt;&gt;"",'Paste Here'!$B668,"")</f>
        <v/>
      </c>
      <c r="H674" s="16" t="str">
        <f>IF('Paste Here'!$C668&lt;&gt;"",'Paste Here'!$C668,"")</f>
        <v/>
      </c>
      <c r="I674" s="25" t="str">
        <f>IF('Paste Here'!$D668&lt;&gt;"",'Paste Here'!$D668,"")</f>
        <v/>
      </c>
      <c r="J674" s="27" t="str">
        <f>IF('Paste Here'!$E668&lt;&gt;"",'Paste Here'!$E668,"")</f>
        <v/>
      </c>
      <c r="K674" s="16" t="str">
        <f>IF('Paste Here'!$F668&lt;&gt;"",'Paste Here'!$F668,"")</f>
        <v/>
      </c>
      <c r="L674" s="16" t="str">
        <f>IF('Paste Here'!$G668&lt;&gt;"",'Paste Here'!$G668,"")</f>
        <v/>
      </c>
      <c r="M674" s="18" t="str">
        <f t="shared" si="21"/>
        <v/>
      </c>
    </row>
    <row r="675" spans="1:13" s="17" customFormat="1" x14ac:dyDescent="0.25">
      <c r="A675" s="16" t="str">
        <f>IF(URN&lt;&gt;"",_xll.mdValue("Resident",_xlnm.Database,$F675),"")</f>
        <v/>
      </c>
      <c r="B675" s="16" t="str">
        <f>IF(PersonId&lt;&gt;"",_xll.mdValue("Resident First Name",_xlnm.Database,$A$8),"")</f>
        <v/>
      </c>
      <c r="C675" s="16" t="str">
        <f>IF(PersonId&lt;&gt;"",_xll.mdValue("Resident Last Name",_xlnm.Database,$A$8),"")</f>
        <v/>
      </c>
      <c r="D675" s="16" t="str">
        <f>IF(PersonId&lt;&gt;"",_xll.mdValue("Person Accomodation Code",_xlnm.Database,$A675),"")</f>
        <v/>
      </c>
      <c r="E675" s="28" t="str">
        <f t="shared" si="20"/>
        <v/>
      </c>
      <c r="F675" s="16" t="str">
        <f>IF('Paste Here'!$A669&lt;&gt;"",'Paste Here'!$A669,"")</f>
        <v/>
      </c>
      <c r="G675" s="16" t="str">
        <f>IF('Paste Here'!$B669&lt;&gt;"",'Paste Here'!$B669,"")</f>
        <v/>
      </c>
      <c r="H675" s="16" t="str">
        <f>IF('Paste Here'!$C669&lt;&gt;"",'Paste Here'!$C669,"")</f>
        <v/>
      </c>
      <c r="I675" s="25" t="str">
        <f>IF('Paste Here'!$D669&lt;&gt;"",'Paste Here'!$D669,"")</f>
        <v/>
      </c>
      <c r="J675" s="27" t="str">
        <f>IF('Paste Here'!$E669&lt;&gt;"",'Paste Here'!$E669,"")</f>
        <v/>
      </c>
      <c r="K675" s="16" t="str">
        <f>IF('Paste Here'!$F669&lt;&gt;"",'Paste Here'!$F669,"")</f>
        <v/>
      </c>
      <c r="L675" s="16" t="str">
        <f>IF('Paste Here'!$G669&lt;&gt;"",'Paste Here'!$G669,"")</f>
        <v/>
      </c>
      <c r="M675" s="18" t="str">
        <f t="shared" si="21"/>
        <v/>
      </c>
    </row>
    <row r="676" spans="1:13" s="17" customFormat="1" x14ac:dyDescent="0.25">
      <c r="A676" s="16" t="str">
        <f>IF(URN&lt;&gt;"",_xll.mdValue("Resident",_xlnm.Database,$F676),"")</f>
        <v/>
      </c>
      <c r="B676" s="16" t="str">
        <f>IF(PersonId&lt;&gt;"",_xll.mdValue("Resident First Name",_xlnm.Database,$A$8),"")</f>
        <v/>
      </c>
      <c r="C676" s="16" t="str">
        <f>IF(PersonId&lt;&gt;"",_xll.mdValue("Resident Last Name",_xlnm.Database,$A$8),"")</f>
        <v/>
      </c>
      <c r="D676" s="16" t="str">
        <f>IF(PersonId&lt;&gt;"",_xll.mdValue("Person Accomodation Code",_xlnm.Database,$A676),"")</f>
        <v/>
      </c>
      <c r="E676" s="28" t="str">
        <f t="shared" si="20"/>
        <v/>
      </c>
      <c r="F676" s="16" t="str">
        <f>IF('Paste Here'!$A670&lt;&gt;"",'Paste Here'!$A670,"")</f>
        <v/>
      </c>
      <c r="G676" s="16" t="str">
        <f>IF('Paste Here'!$B670&lt;&gt;"",'Paste Here'!$B670,"")</f>
        <v/>
      </c>
      <c r="H676" s="16" t="str">
        <f>IF('Paste Here'!$C670&lt;&gt;"",'Paste Here'!$C670,"")</f>
        <v/>
      </c>
      <c r="I676" s="25" t="str">
        <f>IF('Paste Here'!$D670&lt;&gt;"",'Paste Here'!$D670,"")</f>
        <v/>
      </c>
      <c r="J676" s="27" t="str">
        <f>IF('Paste Here'!$E670&lt;&gt;"",'Paste Here'!$E670,"")</f>
        <v/>
      </c>
      <c r="K676" s="16" t="str">
        <f>IF('Paste Here'!$F670&lt;&gt;"",'Paste Here'!$F670,"")</f>
        <v/>
      </c>
      <c r="L676" s="16" t="str">
        <f>IF('Paste Here'!$G670&lt;&gt;"",'Paste Here'!$G670,"")</f>
        <v/>
      </c>
      <c r="M676" s="18" t="str">
        <f t="shared" si="21"/>
        <v/>
      </c>
    </row>
    <row r="677" spans="1:13" s="17" customFormat="1" x14ac:dyDescent="0.25">
      <c r="A677" s="16" t="str">
        <f>IF(URN&lt;&gt;"",_xll.mdValue("Resident",_xlnm.Database,$F677),"")</f>
        <v/>
      </c>
      <c r="B677" s="16" t="str">
        <f>IF(PersonId&lt;&gt;"",_xll.mdValue("Resident First Name",_xlnm.Database,$A$8),"")</f>
        <v/>
      </c>
      <c r="C677" s="16" t="str">
        <f>IF(PersonId&lt;&gt;"",_xll.mdValue("Resident Last Name",_xlnm.Database,$A$8),"")</f>
        <v/>
      </c>
      <c r="D677" s="16" t="str">
        <f>IF(PersonId&lt;&gt;"",_xll.mdValue("Person Accomodation Code",_xlnm.Database,$A677),"")</f>
        <v/>
      </c>
      <c r="E677" s="28" t="str">
        <f t="shared" si="20"/>
        <v/>
      </c>
      <c r="F677" s="16" t="str">
        <f>IF('Paste Here'!$A671&lt;&gt;"",'Paste Here'!$A671,"")</f>
        <v/>
      </c>
      <c r="G677" s="16" t="str">
        <f>IF('Paste Here'!$B671&lt;&gt;"",'Paste Here'!$B671,"")</f>
        <v/>
      </c>
      <c r="H677" s="16" t="str">
        <f>IF('Paste Here'!$C671&lt;&gt;"",'Paste Here'!$C671,"")</f>
        <v/>
      </c>
      <c r="I677" s="25" t="str">
        <f>IF('Paste Here'!$D671&lt;&gt;"",'Paste Here'!$D671,"")</f>
        <v/>
      </c>
      <c r="J677" s="27" t="str">
        <f>IF('Paste Here'!$E671&lt;&gt;"",'Paste Here'!$E671,"")</f>
        <v/>
      </c>
      <c r="K677" s="16" t="str">
        <f>IF('Paste Here'!$F671&lt;&gt;"",'Paste Here'!$F671,"")</f>
        <v/>
      </c>
      <c r="L677" s="16" t="str">
        <f>IF('Paste Here'!$G671&lt;&gt;"",'Paste Here'!$G671,"")</f>
        <v/>
      </c>
      <c r="M677" s="18" t="str">
        <f t="shared" si="21"/>
        <v/>
      </c>
    </row>
    <row r="678" spans="1:13" s="17" customFormat="1" x14ac:dyDescent="0.25">
      <c r="A678" s="16" t="str">
        <f>IF(URN&lt;&gt;"",_xll.mdValue("Resident",_xlnm.Database,$F678),"")</f>
        <v/>
      </c>
      <c r="B678" s="16" t="str">
        <f>IF(PersonId&lt;&gt;"",_xll.mdValue("Resident First Name",_xlnm.Database,$A$8),"")</f>
        <v/>
      </c>
      <c r="C678" s="16" t="str">
        <f>IF(PersonId&lt;&gt;"",_xll.mdValue("Resident Last Name",_xlnm.Database,$A$8),"")</f>
        <v/>
      </c>
      <c r="D678" s="16" t="str">
        <f>IF(PersonId&lt;&gt;"",_xll.mdValue("Person Accomodation Code",_xlnm.Database,$A678),"")</f>
        <v/>
      </c>
      <c r="E678" s="28" t="str">
        <f t="shared" si="20"/>
        <v/>
      </c>
      <c r="F678" s="16" t="str">
        <f>IF('Paste Here'!$A672&lt;&gt;"",'Paste Here'!$A672,"")</f>
        <v/>
      </c>
      <c r="G678" s="16" t="str">
        <f>IF('Paste Here'!$B672&lt;&gt;"",'Paste Here'!$B672,"")</f>
        <v/>
      </c>
      <c r="H678" s="16" t="str">
        <f>IF('Paste Here'!$C672&lt;&gt;"",'Paste Here'!$C672,"")</f>
        <v/>
      </c>
      <c r="I678" s="25" t="str">
        <f>IF('Paste Here'!$D672&lt;&gt;"",'Paste Here'!$D672,"")</f>
        <v/>
      </c>
      <c r="J678" s="27" t="str">
        <f>IF('Paste Here'!$E672&lt;&gt;"",'Paste Here'!$E672,"")</f>
        <v/>
      </c>
      <c r="K678" s="16" t="str">
        <f>IF('Paste Here'!$F672&lt;&gt;"",'Paste Here'!$F672,"")</f>
        <v/>
      </c>
      <c r="L678" s="16" t="str">
        <f>IF('Paste Here'!$G672&lt;&gt;"",'Paste Here'!$G672,"")</f>
        <v/>
      </c>
      <c r="M678" s="18" t="str">
        <f t="shared" si="21"/>
        <v/>
      </c>
    </row>
    <row r="679" spans="1:13" s="17" customFormat="1" x14ac:dyDescent="0.25">
      <c r="A679" s="16" t="str">
        <f>IF(URN&lt;&gt;"",_xll.mdValue("Resident",_xlnm.Database,$F679),"")</f>
        <v/>
      </c>
      <c r="B679" s="16" t="str">
        <f>IF(PersonId&lt;&gt;"",_xll.mdValue("Resident First Name",_xlnm.Database,$A$8),"")</f>
        <v/>
      </c>
      <c r="C679" s="16" t="str">
        <f>IF(PersonId&lt;&gt;"",_xll.mdValue("Resident Last Name",_xlnm.Database,$A$8),"")</f>
        <v/>
      </c>
      <c r="D679" s="16" t="str">
        <f>IF(PersonId&lt;&gt;"",_xll.mdValue("Person Accomodation Code",_xlnm.Database,$A679),"")</f>
        <v/>
      </c>
      <c r="E679" s="28" t="str">
        <f t="shared" si="20"/>
        <v/>
      </c>
      <c r="F679" s="16" t="str">
        <f>IF('Paste Here'!$A673&lt;&gt;"",'Paste Here'!$A673,"")</f>
        <v/>
      </c>
      <c r="G679" s="16" t="str">
        <f>IF('Paste Here'!$B673&lt;&gt;"",'Paste Here'!$B673,"")</f>
        <v/>
      </c>
      <c r="H679" s="16" t="str">
        <f>IF('Paste Here'!$C673&lt;&gt;"",'Paste Here'!$C673,"")</f>
        <v/>
      </c>
      <c r="I679" s="25" t="str">
        <f>IF('Paste Here'!$D673&lt;&gt;"",'Paste Here'!$D673,"")</f>
        <v/>
      </c>
      <c r="J679" s="27" t="str">
        <f>IF('Paste Here'!$E673&lt;&gt;"",'Paste Here'!$E673,"")</f>
        <v/>
      </c>
      <c r="K679" s="16" t="str">
        <f>IF('Paste Here'!$F673&lt;&gt;"",'Paste Here'!$F673,"")</f>
        <v/>
      </c>
      <c r="L679" s="16" t="str">
        <f>IF('Paste Here'!$G673&lt;&gt;"",'Paste Here'!$G673,"")</f>
        <v/>
      </c>
      <c r="M679" s="18" t="str">
        <f t="shared" si="21"/>
        <v/>
      </c>
    </row>
    <row r="680" spans="1:13" s="17" customFormat="1" x14ac:dyDescent="0.25">
      <c r="A680" s="16" t="str">
        <f>IF(URN&lt;&gt;"",_xll.mdValue("Resident",_xlnm.Database,$F680),"")</f>
        <v/>
      </c>
      <c r="B680" s="16" t="str">
        <f>IF(PersonId&lt;&gt;"",_xll.mdValue("Resident First Name",_xlnm.Database,$A$8),"")</f>
        <v/>
      </c>
      <c r="C680" s="16" t="str">
        <f>IF(PersonId&lt;&gt;"",_xll.mdValue("Resident Last Name",_xlnm.Database,$A$8),"")</f>
        <v/>
      </c>
      <c r="D680" s="16" t="str">
        <f>IF(PersonId&lt;&gt;"",_xll.mdValue("Person Accomodation Code",_xlnm.Database,$A680),"")</f>
        <v/>
      </c>
      <c r="E680" s="28" t="str">
        <f t="shared" si="20"/>
        <v/>
      </c>
      <c r="F680" s="16" t="str">
        <f>IF('Paste Here'!$A674&lt;&gt;"",'Paste Here'!$A674,"")</f>
        <v/>
      </c>
      <c r="G680" s="16" t="str">
        <f>IF('Paste Here'!$B674&lt;&gt;"",'Paste Here'!$B674,"")</f>
        <v/>
      </c>
      <c r="H680" s="16" t="str">
        <f>IF('Paste Here'!$C674&lt;&gt;"",'Paste Here'!$C674,"")</f>
        <v/>
      </c>
      <c r="I680" s="25" t="str">
        <f>IF('Paste Here'!$D674&lt;&gt;"",'Paste Here'!$D674,"")</f>
        <v/>
      </c>
      <c r="J680" s="27" t="str">
        <f>IF('Paste Here'!$E674&lt;&gt;"",'Paste Here'!$E674,"")</f>
        <v/>
      </c>
      <c r="K680" s="16" t="str">
        <f>IF('Paste Here'!$F674&lt;&gt;"",'Paste Here'!$F674,"")</f>
        <v/>
      </c>
      <c r="L680" s="16" t="str">
        <f>IF('Paste Here'!$G674&lt;&gt;"",'Paste Here'!$G674,"")</f>
        <v/>
      </c>
      <c r="M680" s="18" t="str">
        <f t="shared" si="21"/>
        <v/>
      </c>
    </row>
    <row r="681" spans="1:13" s="17" customFormat="1" x14ac:dyDescent="0.25">
      <c r="A681" s="16" t="str">
        <f>IF(URN&lt;&gt;"",_xll.mdValue("Resident",_xlnm.Database,$F681),"")</f>
        <v/>
      </c>
      <c r="B681" s="16" t="str">
        <f>IF(PersonId&lt;&gt;"",_xll.mdValue("Resident First Name",_xlnm.Database,$A$8),"")</f>
        <v/>
      </c>
      <c r="C681" s="16" t="str">
        <f>IF(PersonId&lt;&gt;"",_xll.mdValue("Resident Last Name",_xlnm.Database,$A$8),"")</f>
        <v/>
      </c>
      <c r="D681" s="16" t="str">
        <f>IF(PersonId&lt;&gt;"",_xll.mdValue("Person Accomodation Code",_xlnm.Database,$A681),"")</f>
        <v/>
      </c>
      <c r="E681" s="28" t="str">
        <f t="shared" si="20"/>
        <v/>
      </c>
      <c r="F681" s="16" t="str">
        <f>IF('Paste Here'!$A675&lt;&gt;"",'Paste Here'!$A675,"")</f>
        <v/>
      </c>
      <c r="G681" s="16" t="str">
        <f>IF('Paste Here'!$B675&lt;&gt;"",'Paste Here'!$B675,"")</f>
        <v/>
      </c>
      <c r="H681" s="16" t="str">
        <f>IF('Paste Here'!$C675&lt;&gt;"",'Paste Here'!$C675,"")</f>
        <v/>
      </c>
      <c r="I681" s="25" t="str">
        <f>IF('Paste Here'!$D675&lt;&gt;"",'Paste Here'!$D675,"")</f>
        <v/>
      </c>
      <c r="J681" s="27" t="str">
        <f>IF('Paste Here'!$E675&lt;&gt;"",'Paste Here'!$E675,"")</f>
        <v/>
      </c>
      <c r="K681" s="16" t="str">
        <f>IF('Paste Here'!$F675&lt;&gt;"",'Paste Here'!$F675,"")</f>
        <v/>
      </c>
      <c r="L681" s="16" t="str">
        <f>IF('Paste Here'!$G675&lt;&gt;"",'Paste Here'!$G675,"")</f>
        <v/>
      </c>
      <c r="M681" s="18" t="str">
        <f t="shared" si="21"/>
        <v/>
      </c>
    </row>
    <row r="682" spans="1:13" s="17" customFormat="1" x14ac:dyDescent="0.25">
      <c r="A682" s="16" t="str">
        <f>IF(URN&lt;&gt;"",_xll.mdValue("Resident",_xlnm.Database,$F682),"")</f>
        <v/>
      </c>
      <c r="B682" s="16" t="str">
        <f>IF(PersonId&lt;&gt;"",_xll.mdValue("Resident First Name",_xlnm.Database,$A$8),"")</f>
        <v/>
      </c>
      <c r="C682" s="16" t="str">
        <f>IF(PersonId&lt;&gt;"",_xll.mdValue("Resident Last Name",_xlnm.Database,$A$8),"")</f>
        <v/>
      </c>
      <c r="D682" s="16" t="str">
        <f>IF(PersonId&lt;&gt;"",_xll.mdValue("Person Accomodation Code",_xlnm.Database,$A682),"")</f>
        <v/>
      </c>
      <c r="E682" s="28" t="str">
        <f t="shared" si="20"/>
        <v/>
      </c>
      <c r="F682" s="16" t="str">
        <f>IF('Paste Here'!$A676&lt;&gt;"",'Paste Here'!$A676,"")</f>
        <v/>
      </c>
      <c r="G682" s="16" t="str">
        <f>IF('Paste Here'!$B676&lt;&gt;"",'Paste Here'!$B676,"")</f>
        <v/>
      </c>
      <c r="H682" s="16" t="str">
        <f>IF('Paste Here'!$C676&lt;&gt;"",'Paste Here'!$C676,"")</f>
        <v/>
      </c>
      <c r="I682" s="25" t="str">
        <f>IF('Paste Here'!$D676&lt;&gt;"",'Paste Here'!$D676,"")</f>
        <v/>
      </c>
      <c r="J682" s="27" t="str">
        <f>IF('Paste Here'!$E676&lt;&gt;"",'Paste Here'!$E676,"")</f>
        <v/>
      </c>
      <c r="K682" s="16" t="str">
        <f>IF('Paste Here'!$F676&lt;&gt;"",'Paste Here'!$F676,"")</f>
        <v/>
      </c>
      <c r="L682" s="16" t="str">
        <f>IF('Paste Here'!$G676&lt;&gt;"",'Paste Here'!$G676,"")</f>
        <v/>
      </c>
      <c r="M682" s="18" t="str">
        <f t="shared" si="21"/>
        <v/>
      </c>
    </row>
    <row r="683" spans="1:13" s="17" customFormat="1" x14ac:dyDescent="0.25">
      <c r="A683" s="16" t="str">
        <f>IF(URN&lt;&gt;"",_xll.mdValue("Resident",_xlnm.Database,$F683),"")</f>
        <v/>
      </c>
      <c r="B683" s="16" t="str">
        <f>IF(PersonId&lt;&gt;"",_xll.mdValue("Resident First Name",_xlnm.Database,$A$8),"")</f>
        <v/>
      </c>
      <c r="C683" s="16" t="str">
        <f>IF(PersonId&lt;&gt;"",_xll.mdValue("Resident Last Name",_xlnm.Database,$A$8),"")</f>
        <v/>
      </c>
      <c r="D683" s="16" t="str">
        <f>IF(PersonId&lt;&gt;"",_xll.mdValue("Person Accomodation Code",_xlnm.Database,$A683),"")</f>
        <v/>
      </c>
      <c r="E683" s="28" t="str">
        <f t="shared" si="20"/>
        <v/>
      </c>
      <c r="F683" s="16" t="str">
        <f>IF('Paste Here'!$A677&lt;&gt;"",'Paste Here'!$A677,"")</f>
        <v/>
      </c>
      <c r="G683" s="16" t="str">
        <f>IF('Paste Here'!$B677&lt;&gt;"",'Paste Here'!$B677,"")</f>
        <v/>
      </c>
      <c r="H683" s="16" t="str">
        <f>IF('Paste Here'!$C677&lt;&gt;"",'Paste Here'!$C677,"")</f>
        <v/>
      </c>
      <c r="I683" s="25" t="str">
        <f>IF('Paste Here'!$D677&lt;&gt;"",'Paste Here'!$D677,"")</f>
        <v/>
      </c>
      <c r="J683" s="27" t="str">
        <f>IF('Paste Here'!$E677&lt;&gt;"",'Paste Here'!$E677,"")</f>
        <v/>
      </c>
      <c r="K683" s="16" t="str">
        <f>IF('Paste Here'!$F677&lt;&gt;"",'Paste Here'!$F677,"")</f>
        <v/>
      </c>
      <c r="L683" s="16" t="str">
        <f>IF('Paste Here'!$G677&lt;&gt;"",'Paste Here'!$G677,"")</f>
        <v/>
      </c>
      <c r="M683" s="18" t="str">
        <f t="shared" si="21"/>
        <v/>
      </c>
    </row>
    <row r="684" spans="1:13" s="17" customFormat="1" x14ac:dyDescent="0.25">
      <c r="A684" s="16" t="str">
        <f>IF(URN&lt;&gt;"",_xll.mdValue("Resident",_xlnm.Database,$F684),"")</f>
        <v/>
      </c>
      <c r="B684" s="16" t="str">
        <f>IF(PersonId&lt;&gt;"",_xll.mdValue("Resident First Name",_xlnm.Database,$A$8),"")</f>
        <v/>
      </c>
      <c r="C684" s="16" t="str">
        <f>IF(PersonId&lt;&gt;"",_xll.mdValue("Resident Last Name",_xlnm.Database,$A$8),"")</f>
        <v/>
      </c>
      <c r="D684" s="16" t="str">
        <f>IF(PersonId&lt;&gt;"",_xll.mdValue("Person Accomodation Code",_xlnm.Database,$A684),"")</f>
        <v/>
      </c>
      <c r="E684" s="28" t="str">
        <f t="shared" si="20"/>
        <v/>
      </c>
      <c r="F684" s="16" t="str">
        <f>IF('Paste Here'!$A678&lt;&gt;"",'Paste Here'!$A678,"")</f>
        <v/>
      </c>
      <c r="G684" s="16" t="str">
        <f>IF('Paste Here'!$B678&lt;&gt;"",'Paste Here'!$B678,"")</f>
        <v/>
      </c>
      <c r="H684" s="16" t="str">
        <f>IF('Paste Here'!$C678&lt;&gt;"",'Paste Here'!$C678,"")</f>
        <v/>
      </c>
      <c r="I684" s="25" t="str">
        <f>IF('Paste Here'!$D678&lt;&gt;"",'Paste Here'!$D678,"")</f>
        <v/>
      </c>
      <c r="J684" s="27" t="str">
        <f>IF('Paste Here'!$E678&lt;&gt;"",'Paste Here'!$E678,"")</f>
        <v/>
      </c>
      <c r="K684" s="16" t="str">
        <f>IF('Paste Here'!$F678&lt;&gt;"",'Paste Here'!$F678,"")</f>
        <v/>
      </c>
      <c r="L684" s="16" t="str">
        <f>IF('Paste Here'!$G678&lt;&gt;"",'Paste Here'!$G678,"")</f>
        <v/>
      </c>
      <c r="M684" s="18" t="str">
        <f t="shared" si="21"/>
        <v/>
      </c>
    </row>
    <row r="685" spans="1:13" s="17" customFormat="1" x14ac:dyDescent="0.25">
      <c r="A685" s="16" t="str">
        <f>IF(URN&lt;&gt;"",_xll.mdValue("Resident",_xlnm.Database,$F685),"")</f>
        <v/>
      </c>
      <c r="B685" s="16" t="str">
        <f>IF(PersonId&lt;&gt;"",_xll.mdValue("Resident First Name",_xlnm.Database,$A$8),"")</f>
        <v/>
      </c>
      <c r="C685" s="16" t="str">
        <f>IF(PersonId&lt;&gt;"",_xll.mdValue("Resident Last Name",_xlnm.Database,$A$8),"")</f>
        <v/>
      </c>
      <c r="D685" s="16" t="str">
        <f>IF(PersonId&lt;&gt;"",_xll.mdValue("Person Accomodation Code",_xlnm.Database,$A685),"")</f>
        <v/>
      </c>
      <c r="E685" s="28" t="str">
        <f t="shared" si="20"/>
        <v/>
      </c>
      <c r="F685" s="16" t="str">
        <f>IF('Paste Here'!$A679&lt;&gt;"",'Paste Here'!$A679,"")</f>
        <v/>
      </c>
      <c r="G685" s="16" t="str">
        <f>IF('Paste Here'!$B679&lt;&gt;"",'Paste Here'!$B679,"")</f>
        <v/>
      </c>
      <c r="H685" s="16" t="str">
        <f>IF('Paste Here'!$C679&lt;&gt;"",'Paste Here'!$C679,"")</f>
        <v/>
      </c>
      <c r="I685" s="25" t="str">
        <f>IF('Paste Here'!$D679&lt;&gt;"",'Paste Here'!$D679,"")</f>
        <v/>
      </c>
      <c r="J685" s="27" t="str">
        <f>IF('Paste Here'!$E679&lt;&gt;"",'Paste Here'!$E679,"")</f>
        <v/>
      </c>
      <c r="K685" s="16" t="str">
        <f>IF('Paste Here'!$F679&lt;&gt;"",'Paste Here'!$F679,"")</f>
        <v/>
      </c>
      <c r="L685" s="16" t="str">
        <f>IF('Paste Here'!$G679&lt;&gt;"",'Paste Here'!$G679,"")</f>
        <v/>
      </c>
      <c r="M685" s="18" t="str">
        <f t="shared" si="21"/>
        <v/>
      </c>
    </row>
    <row r="686" spans="1:13" s="17" customFormat="1" x14ac:dyDescent="0.25">
      <c r="A686" s="16" t="str">
        <f>IF(URN&lt;&gt;"",_xll.mdValue("Resident",_xlnm.Database,$F686),"")</f>
        <v/>
      </c>
      <c r="B686" s="16" t="str">
        <f>IF(PersonId&lt;&gt;"",_xll.mdValue("Resident First Name",_xlnm.Database,$A$8),"")</f>
        <v/>
      </c>
      <c r="C686" s="16" t="str">
        <f>IF(PersonId&lt;&gt;"",_xll.mdValue("Resident Last Name",_xlnm.Database,$A$8),"")</f>
        <v/>
      </c>
      <c r="D686" s="16" t="str">
        <f>IF(PersonId&lt;&gt;"",_xll.mdValue("Person Accomodation Code",_xlnm.Database,$A686),"")</f>
        <v/>
      </c>
      <c r="E686" s="28" t="str">
        <f t="shared" si="20"/>
        <v/>
      </c>
      <c r="F686" s="16" t="str">
        <f>IF('Paste Here'!$A680&lt;&gt;"",'Paste Here'!$A680,"")</f>
        <v/>
      </c>
      <c r="G686" s="16" t="str">
        <f>IF('Paste Here'!$B680&lt;&gt;"",'Paste Here'!$B680,"")</f>
        <v/>
      </c>
      <c r="H686" s="16" t="str">
        <f>IF('Paste Here'!$C680&lt;&gt;"",'Paste Here'!$C680,"")</f>
        <v/>
      </c>
      <c r="I686" s="25" t="str">
        <f>IF('Paste Here'!$D680&lt;&gt;"",'Paste Here'!$D680,"")</f>
        <v/>
      </c>
      <c r="J686" s="27" t="str">
        <f>IF('Paste Here'!$E680&lt;&gt;"",'Paste Here'!$E680,"")</f>
        <v/>
      </c>
      <c r="K686" s="16" t="str">
        <f>IF('Paste Here'!$F680&lt;&gt;"",'Paste Here'!$F680,"")</f>
        <v/>
      </c>
      <c r="L686" s="16" t="str">
        <f>IF('Paste Here'!$G680&lt;&gt;"",'Paste Here'!$G680,"")</f>
        <v/>
      </c>
      <c r="M686" s="18" t="str">
        <f t="shared" si="21"/>
        <v/>
      </c>
    </row>
    <row r="687" spans="1:13" s="17" customFormat="1" x14ac:dyDescent="0.25">
      <c r="A687" s="16" t="str">
        <f>IF(URN&lt;&gt;"",_xll.mdValue("Resident",_xlnm.Database,$F687),"")</f>
        <v/>
      </c>
      <c r="B687" s="16" t="str">
        <f>IF(PersonId&lt;&gt;"",_xll.mdValue("Resident First Name",_xlnm.Database,$A$8),"")</f>
        <v/>
      </c>
      <c r="C687" s="16" t="str">
        <f>IF(PersonId&lt;&gt;"",_xll.mdValue("Resident Last Name",_xlnm.Database,$A$8),"")</f>
        <v/>
      </c>
      <c r="D687" s="16" t="str">
        <f>IF(PersonId&lt;&gt;"",_xll.mdValue("Person Accomodation Code",_xlnm.Database,$A687),"")</f>
        <v/>
      </c>
      <c r="E687" s="28" t="str">
        <f t="shared" si="20"/>
        <v/>
      </c>
      <c r="F687" s="16" t="str">
        <f>IF('Paste Here'!$A681&lt;&gt;"",'Paste Here'!$A681,"")</f>
        <v/>
      </c>
      <c r="G687" s="16" t="str">
        <f>IF('Paste Here'!$B681&lt;&gt;"",'Paste Here'!$B681,"")</f>
        <v/>
      </c>
      <c r="H687" s="16" t="str">
        <f>IF('Paste Here'!$C681&lt;&gt;"",'Paste Here'!$C681,"")</f>
        <v/>
      </c>
      <c r="I687" s="25" t="str">
        <f>IF('Paste Here'!$D681&lt;&gt;"",'Paste Here'!$D681,"")</f>
        <v/>
      </c>
      <c r="J687" s="27" t="str">
        <f>IF('Paste Here'!$E681&lt;&gt;"",'Paste Here'!$E681,"")</f>
        <v/>
      </c>
      <c r="K687" s="16" t="str">
        <f>IF('Paste Here'!$F681&lt;&gt;"",'Paste Here'!$F681,"")</f>
        <v/>
      </c>
      <c r="L687" s="16" t="str">
        <f>IF('Paste Here'!$G681&lt;&gt;"",'Paste Here'!$G681,"")</f>
        <v/>
      </c>
      <c r="M687" s="18" t="str">
        <f t="shared" si="21"/>
        <v/>
      </c>
    </row>
    <row r="688" spans="1:13" s="17" customFormat="1" x14ac:dyDescent="0.25">
      <c r="A688" s="16" t="str">
        <f>IF(URN&lt;&gt;"",_xll.mdValue("Resident",_xlnm.Database,$F688),"")</f>
        <v/>
      </c>
      <c r="B688" s="16" t="str">
        <f>IF(PersonId&lt;&gt;"",_xll.mdValue("Resident First Name",_xlnm.Database,$A$8),"")</f>
        <v/>
      </c>
      <c r="C688" s="16" t="str">
        <f>IF(PersonId&lt;&gt;"",_xll.mdValue("Resident Last Name",_xlnm.Database,$A$8),"")</f>
        <v/>
      </c>
      <c r="D688" s="16" t="str">
        <f>IF(PersonId&lt;&gt;"",_xll.mdValue("Person Accomodation Code",_xlnm.Database,$A688),"")</f>
        <v/>
      </c>
      <c r="E688" s="28" t="str">
        <f t="shared" si="20"/>
        <v/>
      </c>
      <c r="F688" s="16" t="str">
        <f>IF('Paste Here'!$A682&lt;&gt;"",'Paste Here'!$A682,"")</f>
        <v/>
      </c>
      <c r="G688" s="16" t="str">
        <f>IF('Paste Here'!$B682&lt;&gt;"",'Paste Here'!$B682,"")</f>
        <v/>
      </c>
      <c r="H688" s="16" t="str">
        <f>IF('Paste Here'!$C682&lt;&gt;"",'Paste Here'!$C682,"")</f>
        <v/>
      </c>
      <c r="I688" s="25" t="str">
        <f>IF('Paste Here'!$D682&lt;&gt;"",'Paste Here'!$D682,"")</f>
        <v/>
      </c>
      <c r="J688" s="27" t="str">
        <f>IF('Paste Here'!$E682&lt;&gt;"",'Paste Here'!$E682,"")</f>
        <v/>
      </c>
      <c r="K688" s="16" t="str">
        <f>IF('Paste Here'!$F682&lt;&gt;"",'Paste Here'!$F682,"")</f>
        <v/>
      </c>
      <c r="L688" s="16" t="str">
        <f>IF('Paste Here'!$G682&lt;&gt;"",'Paste Here'!$G682,"")</f>
        <v/>
      </c>
      <c r="M688" s="18" t="str">
        <f t="shared" si="21"/>
        <v/>
      </c>
    </row>
    <row r="689" spans="1:13" s="17" customFormat="1" x14ac:dyDescent="0.25">
      <c r="A689" s="16" t="str">
        <f>IF(URN&lt;&gt;"",_xll.mdValue("Resident",_xlnm.Database,$F689),"")</f>
        <v/>
      </c>
      <c r="B689" s="16" t="str">
        <f>IF(PersonId&lt;&gt;"",_xll.mdValue("Resident First Name",_xlnm.Database,$A$8),"")</f>
        <v/>
      </c>
      <c r="C689" s="16" t="str">
        <f>IF(PersonId&lt;&gt;"",_xll.mdValue("Resident Last Name",_xlnm.Database,$A$8),"")</f>
        <v/>
      </c>
      <c r="D689" s="16" t="str">
        <f>IF(PersonId&lt;&gt;"",_xll.mdValue("Person Accomodation Code",_xlnm.Database,$A689),"")</f>
        <v/>
      </c>
      <c r="E689" s="28" t="str">
        <f t="shared" si="20"/>
        <v/>
      </c>
      <c r="F689" s="16" t="str">
        <f>IF('Paste Here'!$A683&lt;&gt;"",'Paste Here'!$A683,"")</f>
        <v/>
      </c>
      <c r="G689" s="16" t="str">
        <f>IF('Paste Here'!$B683&lt;&gt;"",'Paste Here'!$B683,"")</f>
        <v/>
      </c>
      <c r="H689" s="16" t="str">
        <f>IF('Paste Here'!$C683&lt;&gt;"",'Paste Here'!$C683,"")</f>
        <v/>
      </c>
      <c r="I689" s="25" t="str">
        <f>IF('Paste Here'!$D683&lt;&gt;"",'Paste Here'!$D683,"")</f>
        <v/>
      </c>
      <c r="J689" s="27" t="str">
        <f>IF('Paste Here'!$E683&lt;&gt;"",'Paste Here'!$E683,"")</f>
        <v/>
      </c>
      <c r="K689" s="16" t="str">
        <f>IF('Paste Here'!$F683&lt;&gt;"",'Paste Here'!$F683,"")</f>
        <v/>
      </c>
      <c r="L689" s="16" t="str">
        <f>IF('Paste Here'!$G683&lt;&gt;"",'Paste Here'!$G683,"")</f>
        <v/>
      </c>
      <c r="M689" s="18" t="str">
        <f t="shared" si="21"/>
        <v/>
      </c>
    </row>
    <row r="690" spans="1:13" s="17" customFormat="1" x14ac:dyDescent="0.25">
      <c r="A690" s="16" t="str">
        <f>IF(URN&lt;&gt;"",_xll.mdValue("Resident",_xlnm.Database,$F690),"")</f>
        <v/>
      </c>
      <c r="B690" s="16" t="str">
        <f>IF(PersonId&lt;&gt;"",_xll.mdValue("Resident First Name",_xlnm.Database,$A$8),"")</f>
        <v/>
      </c>
      <c r="C690" s="16" t="str">
        <f>IF(PersonId&lt;&gt;"",_xll.mdValue("Resident Last Name",_xlnm.Database,$A$8),"")</f>
        <v/>
      </c>
      <c r="D690" s="16" t="str">
        <f>IF(PersonId&lt;&gt;"",_xll.mdValue("Person Accomodation Code",_xlnm.Database,$A690),"")</f>
        <v/>
      </c>
      <c r="E690" s="28" t="str">
        <f t="shared" si="20"/>
        <v/>
      </c>
      <c r="F690" s="16" t="str">
        <f>IF('Paste Here'!$A684&lt;&gt;"",'Paste Here'!$A684,"")</f>
        <v/>
      </c>
      <c r="G690" s="16" t="str">
        <f>IF('Paste Here'!$B684&lt;&gt;"",'Paste Here'!$B684,"")</f>
        <v/>
      </c>
      <c r="H690" s="16" t="str">
        <f>IF('Paste Here'!$C684&lt;&gt;"",'Paste Here'!$C684,"")</f>
        <v/>
      </c>
      <c r="I690" s="25" t="str">
        <f>IF('Paste Here'!$D684&lt;&gt;"",'Paste Here'!$D684,"")</f>
        <v/>
      </c>
      <c r="J690" s="27" t="str">
        <f>IF('Paste Here'!$E684&lt;&gt;"",'Paste Here'!$E684,"")</f>
        <v/>
      </c>
      <c r="K690" s="16" t="str">
        <f>IF('Paste Here'!$F684&lt;&gt;"",'Paste Here'!$F684,"")</f>
        <v/>
      </c>
      <c r="L690" s="16" t="str">
        <f>IF('Paste Here'!$G684&lt;&gt;"",'Paste Here'!$G684,"")</f>
        <v/>
      </c>
      <c r="M690" s="18" t="str">
        <f t="shared" si="21"/>
        <v/>
      </c>
    </row>
    <row r="691" spans="1:13" s="17" customFormat="1" x14ac:dyDescent="0.25">
      <c r="A691" s="16" t="str">
        <f>IF(URN&lt;&gt;"",_xll.mdValue("Resident",_xlnm.Database,$F691),"")</f>
        <v/>
      </c>
      <c r="B691" s="16" t="str">
        <f>IF(PersonId&lt;&gt;"",_xll.mdValue("Resident First Name",_xlnm.Database,$A$8),"")</f>
        <v/>
      </c>
      <c r="C691" s="16" t="str">
        <f>IF(PersonId&lt;&gt;"",_xll.mdValue("Resident Last Name",_xlnm.Database,$A$8),"")</f>
        <v/>
      </c>
      <c r="D691" s="16" t="str">
        <f>IF(PersonId&lt;&gt;"",_xll.mdValue("Person Accomodation Code",_xlnm.Database,$A691),"")</f>
        <v/>
      </c>
      <c r="E691" s="28" t="str">
        <f t="shared" si="20"/>
        <v/>
      </c>
      <c r="F691" s="16" t="str">
        <f>IF('Paste Here'!$A685&lt;&gt;"",'Paste Here'!$A685,"")</f>
        <v/>
      </c>
      <c r="G691" s="16" t="str">
        <f>IF('Paste Here'!$B685&lt;&gt;"",'Paste Here'!$B685,"")</f>
        <v/>
      </c>
      <c r="H691" s="16" t="str">
        <f>IF('Paste Here'!$C685&lt;&gt;"",'Paste Here'!$C685,"")</f>
        <v/>
      </c>
      <c r="I691" s="25" t="str">
        <f>IF('Paste Here'!$D685&lt;&gt;"",'Paste Here'!$D685,"")</f>
        <v/>
      </c>
      <c r="J691" s="27" t="str">
        <f>IF('Paste Here'!$E685&lt;&gt;"",'Paste Here'!$E685,"")</f>
        <v/>
      </c>
      <c r="K691" s="16" t="str">
        <f>IF('Paste Here'!$F685&lt;&gt;"",'Paste Here'!$F685,"")</f>
        <v/>
      </c>
      <c r="L691" s="16" t="str">
        <f>IF('Paste Here'!$G685&lt;&gt;"",'Paste Here'!$G685,"")</f>
        <v/>
      </c>
      <c r="M691" s="18" t="str">
        <f t="shared" si="21"/>
        <v/>
      </c>
    </row>
    <row r="692" spans="1:13" s="17" customFormat="1" x14ac:dyDescent="0.25">
      <c r="A692" s="16" t="str">
        <f>IF(URN&lt;&gt;"",_xll.mdValue("Resident",_xlnm.Database,$F692),"")</f>
        <v/>
      </c>
      <c r="B692" s="16" t="str">
        <f>IF(PersonId&lt;&gt;"",_xll.mdValue("Resident First Name",_xlnm.Database,$A$8),"")</f>
        <v/>
      </c>
      <c r="C692" s="16" t="str">
        <f>IF(PersonId&lt;&gt;"",_xll.mdValue("Resident Last Name",_xlnm.Database,$A$8),"")</f>
        <v/>
      </c>
      <c r="D692" s="16" t="str">
        <f>IF(PersonId&lt;&gt;"",_xll.mdValue("Person Accomodation Code",_xlnm.Database,$A692),"")</f>
        <v/>
      </c>
      <c r="E692" s="28" t="str">
        <f t="shared" si="20"/>
        <v/>
      </c>
      <c r="F692" s="16" t="str">
        <f>IF('Paste Here'!$A686&lt;&gt;"",'Paste Here'!$A686,"")</f>
        <v/>
      </c>
      <c r="G692" s="16" t="str">
        <f>IF('Paste Here'!$B686&lt;&gt;"",'Paste Here'!$B686,"")</f>
        <v/>
      </c>
      <c r="H692" s="16" t="str">
        <f>IF('Paste Here'!$C686&lt;&gt;"",'Paste Here'!$C686,"")</f>
        <v/>
      </c>
      <c r="I692" s="25" t="str">
        <f>IF('Paste Here'!$D686&lt;&gt;"",'Paste Here'!$D686,"")</f>
        <v/>
      </c>
      <c r="J692" s="27" t="str">
        <f>IF('Paste Here'!$E686&lt;&gt;"",'Paste Here'!$E686,"")</f>
        <v/>
      </c>
      <c r="K692" s="16" t="str">
        <f>IF('Paste Here'!$F686&lt;&gt;"",'Paste Here'!$F686,"")</f>
        <v/>
      </c>
      <c r="L692" s="16" t="str">
        <f>IF('Paste Here'!$G686&lt;&gt;"",'Paste Here'!$G686,"")</f>
        <v/>
      </c>
      <c r="M692" s="18" t="str">
        <f t="shared" si="21"/>
        <v/>
      </c>
    </row>
    <row r="693" spans="1:13" s="17" customFormat="1" x14ac:dyDescent="0.25">
      <c r="A693" s="16" t="str">
        <f>IF(URN&lt;&gt;"",_xll.mdValue("Resident",_xlnm.Database,$F693),"")</f>
        <v/>
      </c>
      <c r="B693" s="16" t="str">
        <f>IF(PersonId&lt;&gt;"",_xll.mdValue("Resident First Name",_xlnm.Database,$A$8),"")</f>
        <v/>
      </c>
      <c r="C693" s="16" t="str">
        <f>IF(PersonId&lt;&gt;"",_xll.mdValue("Resident Last Name",_xlnm.Database,$A$8),"")</f>
        <v/>
      </c>
      <c r="D693" s="16" t="str">
        <f>IF(PersonId&lt;&gt;"",_xll.mdValue("Person Accomodation Code",_xlnm.Database,$A693),"")</f>
        <v/>
      </c>
      <c r="E693" s="28" t="str">
        <f t="shared" si="20"/>
        <v/>
      </c>
      <c r="F693" s="16" t="str">
        <f>IF('Paste Here'!$A687&lt;&gt;"",'Paste Here'!$A687,"")</f>
        <v/>
      </c>
      <c r="G693" s="16" t="str">
        <f>IF('Paste Here'!$B687&lt;&gt;"",'Paste Here'!$B687,"")</f>
        <v/>
      </c>
      <c r="H693" s="16" t="str">
        <f>IF('Paste Here'!$C687&lt;&gt;"",'Paste Here'!$C687,"")</f>
        <v/>
      </c>
      <c r="I693" s="25" t="str">
        <f>IF('Paste Here'!$D687&lt;&gt;"",'Paste Here'!$D687,"")</f>
        <v/>
      </c>
      <c r="J693" s="27" t="str">
        <f>IF('Paste Here'!$E687&lt;&gt;"",'Paste Here'!$E687,"")</f>
        <v/>
      </c>
      <c r="K693" s="16" t="str">
        <f>IF('Paste Here'!$F687&lt;&gt;"",'Paste Here'!$F687,"")</f>
        <v/>
      </c>
      <c r="L693" s="16" t="str">
        <f>IF('Paste Here'!$G687&lt;&gt;"",'Paste Here'!$G687,"")</f>
        <v/>
      </c>
      <c r="M693" s="18" t="str">
        <f t="shared" si="21"/>
        <v/>
      </c>
    </row>
    <row r="694" spans="1:13" s="17" customFormat="1" x14ac:dyDescent="0.25">
      <c r="A694" s="16" t="str">
        <f>IF(URN&lt;&gt;"",_xll.mdValue("Resident",_xlnm.Database,$F694),"")</f>
        <v/>
      </c>
      <c r="B694" s="16" t="str">
        <f>IF(PersonId&lt;&gt;"",_xll.mdValue("Resident First Name",_xlnm.Database,$A$8),"")</f>
        <v/>
      </c>
      <c r="C694" s="16" t="str">
        <f>IF(PersonId&lt;&gt;"",_xll.mdValue("Resident Last Name",_xlnm.Database,$A$8),"")</f>
        <v/>
      </c>
      <c r="D694" s="16" t="str">
        <f>IF(PersonId&lt;&gt;"",_xll.mdValue("Person Accomodation Code",_xlnm.Database,$A694),"")</f>
        <v/>
      </c>
      <c r="E694" s="28" t="str">
        <f t="shared" si="20"/>
        <v/>
      </c>
      <c r="F694" s="16" t="str">
        <f>IF('Paste Here'!$A688&lt;&gt;"",'Paste Here'!$A688,"")</f>
        <v/>
      </c>
      <c r="G694" s="16" t="str">
        <f>IF('Paste Here'!$B688&lt;&gt;"",'Paste Here'!$B688,"")</f>
        <v/>
      </c>
      <c r="H694" s="16" t="str">
        <f>IF('Paste Here'!$C688&lt;&gt;"",'Paste Here'!$C688,"")</f>
        <v/>
      </c>
      <c r="I694" s="25" t="str">
        <f>IF('Paste Here'!$D688&lt;&gt;"",'Paste Here'!$D688,"")</f>
        <v/>
      </c>
      <c r="J694" s="27" t="str">
        <f>IF('Paste Here'!$E688&lt;&gt;"",'Paste Here'!$E688,"")</f>
        <v/>
      </c>
      <c r="K694" s="16" t="str">
        <f>IF('Paste Here'!$F688&lt;&gt;"",'Paste Here'!$F688,"")</f>
        <v/>
      </c>
      <c r="L694" s="16" t="str">
        <f>IF('Paste Here'!$G688&lt;&gt;"",'Paste Here'!$G688,"")</f>
        <v/>
      </c>
      <c r="M694" s="18" t="str">
        <f t="shared" si="21"/>
        <v/>
      </c>
    </row>
    <row r="695" spans="1:13" s="17" customFormat="1" x14ac:dyDescent="0.25">
      <c r="A695" s="16" t="str">
        <f>IF(URN&lt;&gt;"",_xll.mdValue("Resident",_xlnm.Database,$F695),"")</f>
        <v/>
      </c>
      <c r="B695" s="16" t="str">
        <f>IF(PersonId&lt;&gt;"",_xll.mdValue("Resident First Name",_xlnm.Database,$A$8),"")</f>
        <v/>
      </c>
      <c r="C695" s="16" t="str">
        <f>IF(PersonId&lt;&gt;"",_xll.mdValue("Resident Last Name",_xlnm.Database,$A$8),"")</f>
        <v/>
      </c>
      <c r="D695" s="16" t="str">
        <f>IF(PersonId&lt;&gt;"",_xll.mdValue("Person Accomodation Code",_xlnm.Database,$A695),"")</f>
        <v/>
      </c>
      <c r="E695" s="28" t="str">
        <f t="shared" si="20"/>
        <v/>
      </c>
      <c r="F695" s="16" t="str">
        <f>IF('Paste Here'!$A689&lt;&gt;"",'Paste Here'!$A689,"")</f>
        <v/>
      </c>
      <c r="G695" s="16" t="str">
        <f>IF('Paste Here'!$B689&lt;&gt;"",'Paste Here'!$B689,"")</f>
        <v/>
      </c>
      <c r="H695" s="16" t="str">
        <f>IF('Paste Here'!$C689&lt;&gt;"",'Paste Here'!$C689,"")</f>
        <v/>
      </c>
      <c r="I695" s="25" t="str">
        <f>IF('Paste Here'!$D689&lt;&gt;"",'Paste Here'!$D689,"")</f>
        <v/>
      </c>
      <c r="J695" s="27" t="str">
        <f>IF('Paste Here'!$E689&lt;&gt;"",'Paste Here'!$E689,"")</f>
        <v/>
      </c>
      <c r="K695" s="16" t="str">
        <f>IF('Paste Here'!$F689&lt;&gt;"",'Paste Here'!$F689,"")</f>
        <v/>
      </c>
      <c r="L695" s="16" t="str">
        <f>IF('Paste Here'!$G689&lt;&gt;"",'Paste Here'!$G689,"")</f>
        <v/>
      </c>
      <c r="M695" s="18" t="str">
        <f t="shared" si="21"/>
        <v/>
      </c>
    </row>
    <row r="696" spans="1:13" s="17" customFormat="1" x14ac:dyDescent="0.25">
      <c r="A696" s="16" t="str">
        <f>IF(URN&lt;&gt;"",_xll.mdValue("Resident",_xlnm.Database,$F696),"")</f>
        <v/>
      </c>
      <c r="B696" s="16" t="str">
        <f>IF(PersonId&lt;&gt;"",_xll.mdValue("Resident First Name",_xlnm.Database,$A$8),"")</f>
        <v/>
      </c>
      <c r="C696" s="16" t="str">
        <f>IF(PersonId&lt;&gt;"",_xll.mdValue("Resident Last Name",_xlnm.Database,$A$8),"")</f>
        <v/>
      </c>
      <c r="D696" s="16" t="str">
        <f>IF(PersonId&lt;&gt;"",_xll.mdValue("Person Accomodation Code",_xlnm.Database,$A696),"")</f>
        <v/>
      </c>
      <c r="E696" s="28" t="str">
        <f t="shared" si="20"/>
        <v/>
      </c>
      <c r="F696" s="16" t="str">
        <f>IF('Paste Here'!$A690&lt;&gt;"",'Paste Here'!$A690,"")</f>
        <v/>
      </c>
      <c r="G696" s="16" t="str">
        <f>IF('Paste Here'!$B690&lt;&gt;"",'Paste Here'!$B690,"")</f>
        <v/>
      </c>
      <c r="H696" s="16" t="str">
        <f>IF('Paste Here'!$C690&lt;&gt;"",'Paste Here'!$C690,"")</f>
        <v/>
      </c>
      <c r="I696" s="25" t="str">
        <f>IF('Paste Here'!$D690&lt;&gt;"",'Paste Here'!$D690,"")</f>
        <v/>
      </c>
      <c r="J696" s="27" t="str">
        <f>IF('Paste Here'!$E690&lt;&gt;"",'Paste Here'!$E690,"")</f>
        <v/>
      </c>
      <c r="K696" s="16" t="str">
        <f>IF('Paste Here'!$F690&lt;&gt;"",'Paste Here'!$F690,"")</f>
        <v/>
      </c>
      <c r="L696" s="16" t="str">
        <f>IF('Paste Here'!$G690&lt;&gt;"",'Paste Here'!$G690,"")</f>
        <v/>
      </c>
      <c r="M696" s="18" t="str">
        <f t="shared" si="21"/>
        <v/>
      </c>
    </row>
    <row r="697" spans="1:13" s="17" customFormat="1" x14ac:dyDescent="0.25">
      <c r="A697" s="16" t="str">
        <f>IF(URN&lt;&gt;"",_xll.mdValue("Resident",_xlnm.Database,$F697),"")</f>
        <v/>
      </c>
      <c r="B697" s="16" t="str">
        <f>IF(PersonId&lt;&gt;"",_xll.mdValue("Resident First Name",_xlnm.Database,$A$8),"")</f>
        <v/>
      </c>
      <c r="C697" s="16" t="str">
        <f>IF(PersonId&lt;&gt;"",_xll.mdValue("Resident Last Name",_xlnm.Database,$A$8),"")</f>
        <v/>
      </c>
      <c r="D697" s="16" t="str">
        <f>IF(PersonId&lt;&gt;"",_xll.mdValue("Person Accomodation Code",_xlnm.Database,$A697),"")</f>
        <v/>
      </c>
      <c r="E697" s="28" t="str">
        <f t="shared" si="20"/>
        <v/>
      </c>
      <c r="F697" s="16" t="str">
        <f>IF('Paste Here'!$A691&lt;&gt;"",'Paste Here'!$A691,"")</f>
        <v/>
      </c>
      <c r="G697" s="16" t="str">
        <f>IF('Paste Here'!$B691&lt;&gt;"",'Paste Here'!$B691,"")</f>
        <v/>
      </c>
      <c r="H697" s="16" t="str">
        <f>IF('Paste Here'!$C691&lt;&gt;"",'Paste Here'!$C691,"")</f>
        <v/>
      </c>
      <c r="I697" s="25" t="str">
        <f>IF('Paste Here'!$D691&lt;&gt;"",'Paste Here'!$D691,"")</f>
        <v/>
      </c>
      <c r="J697" s="27" t="str">
        <f>IF('Paste Here'!$E691&lt;&gt;"",'Paste Here'!$E691,"")</f>
        <v/>
      </c>
      <c r="K697" s="16" t="str">
        <f>IF('Paste Here'!$F691&lt;&gt;"",'Paste Here'!$F691,"")</f>
        <v/>
      </c>
      <c r="L697" s="16" t="str">
        <f>IF('Paste Here'!$G691&lt;&gt;"",'Paste Here'!$G691,"")</f>
        <v/>
      </c>
      <c r="M697" s="18" t="str">
        <f t="shared" si="21"/>
        <v/>
      </c>
    </row>
    <row r="698" spans="1:13" s="17" customFormat="1" x14ac:dyDescent="0.25">
      <c r="A698" s="16" t="str">
        <f>IF(URN&lt;&gt;"",_xll.mdValue("Resident",_xlnm.Database,$F698),"")</f>
        <v/>
      </c>
      <c r="B698" s="16" t="str">
        <f>IF(PersonId&lt;&gt;"",_xll.mdValue("Resident First Name",_xlnm.Database,$A$8),"")</f>
        <v/>
      </c>
      <c r="C698" s="16" t="str">
        <f>IF(PersonId&lt;&gt;"",_xll.mdValue("Resident Last Name",_xlnm.Database,$A$8),"")</f>
        <v/>
      </c>
      <c r="D698" s="16" t="str">
        <f>IF(PersonId&lt;&gt;"",_xll.mdValue("Person Accomodation Code",_xlnm.Database,$A698),"")</f>
        <v/>
      </c>
      <c r="E698" s="28" t="str">
        <f t="shared" si="20"/>
        <v/>
      </c>
      <c r="F698" s="16" t="str">
        <f>IF('Paste Here'!$A692&lt;&gt;"",'Paste Here'!$A692,"")</f>
        <v/>
      </c>
      <c r="G698" s="16" t="str">
        <f>IF('Paste Here'!$B692&lt;&gt;"",'Paste Here'!$B692,"")</f>
        <v/>
      </c>
      <c r="H698" s="16" t="str">
        <f>IF('Paste Here'!$C692&lt;&gt;"",'Paste Here'!$C692,"")</f>
        <v/>
      </c>
      <c r="I698" s="25" t="str">
        <f>IF('Paste Here'!$D692&lt;&gt;"",'Paste Here'!$D692,"")</f>
        <v/>
      </c>
      <c r="J698" s="27" t="str">
        <f>IF('Paste Here'!$E692&lt;&gt;"",'Paste Here'!$E692,"")</f>
        <v/>
      </c>
      <c r="K698" s="16" t="str">
        <f>IF('Paste Here'!$F692&lt;&gt;"",'Paste Here'!$F692,"")</f>
        <v/>
      </c>
      <c r="L698" s="16" t="str">
        <f>IF('Paste Here'!$G692&lt;&gt;"",'Paste Here'!$G692,"")</f>
        <v/>
      </c>
      <c r="M698" s="18" t="str">
        <f t="shared" si="21"/>
        <v/>
      </c>
    </row>
    <row r="699" spans="1:13" s="17" customFormat="1" x14ac:dyDescent="0.25">
      <c r="A699" s="16" t="str">
        <f>IF(URN&lt;&gt;"",_xll.mdValue("Resident",_xlnm.Database,$F699),"")</f>
        <v/>
      </c>
      <c r="B699" s="16" t="str">
        <f>IF(PersonId&lt;&gt;"",_xll.mdValue("Resident First Name",_xlnm.Database,$A$8),"")</f>
        <v/>
      </c>
      <c r="C699" s="16" t="str">
        <f>IF(PersonId&lt;&gt;"",_xll.mdValue("Resident Last Name",_xlnm.Database,$A$8),"")</f>
        <v/>
      </c>
      <c r="D699" s="16" t="str">
        <f>IF(PersonId&lt;&gt;"",_xll.mdValue("Person Accomodation Code",_xlnm.Database,$A699),"")</f>
        <v/>
      </c>
      <c r="E699" s="28" t="str">
        <f t="shared" si="20"/>
        <v/>
      </c>
      <c r="F699" s="16" t="str">
        <f>IF('Paste Here'!$A693&lt;&gt;"",'Paste Here'!$A693,"")</f>
        <v/>
      </c>
      <c r="G699" s="16" t="str">
        <f>IF('Paste Here'!$B693&lt;&gt;"",'Paste Here'!$B693,"")</f>
        <v/>
      </c>
      <c r="H699" s="16" t="str">
        <f>IF('Paste Here'!$C693&lt;&gt;"",'Paste Here'!$C693,"")</f>
        <v/>
      </c>
      <c r="I699" s="25" t="str">
        <f>IF('Paste Here'!$D693&lt;&gt;"",'Paste Here'!$D693,"")</f>
        <v/>
      </c>
      <c r="J699" s="27" t="str">
        <f>IF('Paste Here'!$E693&lt;&gt;"",'Paste Here'!$E693,"")</f>
        <v/>
      </c>
      <c r="K699" s="16" t="str">
        <f>IF('Paste Here'!$F693&lt;&gt;"",'Paste Here'!$F693,"")</f>
        <v/>
      </c>
      <c r="L699" s="16" t="str">
        <f>IF('Paste Here'!$G693&lt;&gt;"",'Paste Here'!$G693,"")</f>
        <v/>
      </c>
      <c r="M699" s="18" t="str">
        <f t="shared" si="21"/>
        <v/>
      </c>
    </row>
    <row r="700" spans="1:13" s="17" customFormat="1" x14ac:dyDescent="0.25">
      <c r="A700" s="16" t="str">
        <f>IF(URN&lt;&gt;"",_xll.mdValue("Resident",_xlnm.Database,$F700),"")</f>
        <v/>
      </c>
      <c r="B700" s="16" t="str">
        <f>IF(PersonId&lt;&gt;"",_xll.mdValue("Resident First Name",_xlnm.Database,$A$8),"")</f>
        <v/>
      </c>
      <c r="C700" s="16" t="str">
        <f>IF(PersonId&lt;&gt;"",_xll.mdValue("Resident Last Name",_xlnm.Database,$A$8),"")</f>
        <v/>
      </c>
      <c r="D700" s="16" t="str">
        <f>IF(PersonId&lt;&gt;"",_xll.mdValue("Person Accomodation Code",_xlnm.Database,$A700),"")</f>
        <v/>
      </c>
      <c r="E700" s="28" t="str">
        <f t="shared" si="20"/>
        <v/>
      </c>
      <c r="F700" s="16" t="str">
        <f>IF('Paste Here'!$A694&lt;&gt;"",'Paste Here'!$A694,"")</f>
        <v/>
      </c>
      <c r="G700" s="16" t="str">
        <f>IF('Paste Here'!$B694&lt;&gt;"",'Paste Here'!$B694,"")</f>
        <v/>
      </c>
      <c r="H700" s="16" t="str">
        <f>IF('Paste Here'!$C694&lt;&gt;"",'Paste Here'!$C694,"")</f>
        <v/>
      </c>
      <c r="I700" s="25" t="str">
        <f>IF('Paste Here'!$D694&lt;&gt;"",'Paste Here'!$D694,"")</f>
        <v/>
      </c>
      <c r="J700" s="27" t="str">
        <f>IF('Paste Here'!$E694&lt;&gt;"",'Paste Here'!$E694,"")</f>
        <v/>
      </c>
      <c r="K700" s="16" t="str">
        <f>IF('Paste Here'!$F694&lt;&gt;"",'Paste Here'!$F694,"")</f>
        <v/>
      </c>
      <c r="L700" s="16" t="str">
        <f>IF('Paste Here'!$G694&lt;&gt;"",'Paste Here'!$G694,"")</f>
        <v/>
      </c>
      <c r="M700" s="18" t="str">
        <f t="shared" si="21"/>
        <v/>
      </c>
    </row>
    <row r="701" spans="1:13" s="17" customFormat="1" x14ac:dyDescent="0.25">
      <c r="A701" s="16" t="str">
        <f>IF(URN&lt;&gt;"",_xll.mdValue("Resident",_xlnm.Database,$F701),"")</f>
        <v/>
      </c>
      <c r="B701" s="16" t="str">
        <f>IF(PersonId&lt;&gt;"",_xll.mdValue("Resident First Name",_xlnm.Database,$A$8),"")</f>
        <v/>
      </c>
      <c r="C701" s="16" t="str">
        <f>IF(PersonId&lt;&gt;"",_xll.mdValue("Resident Last Name",_xlnm.Database,$A$8),"")</f>
        <v/>
      </c>
      <c r="D701" s="16" t="str">
        <f>IF(PersonId&lt;&gt;"",_xll.mdValue("Person Accomodation Code",_xlnm.Database,$A701),"")</f>
        <v/>
      </c>
      <c r="E701" s="28" t="str">
        <f t="shared" si="20"/>
        <v/>
      </c>
      <c r="F701" s="16" t="str">
        <f>IF('Paste Here'!$A695&lt;&gt;"",'Paste Here'!$A695,"")</f>
        <v/>
      </c>
      <c r="G701" s="16" t="str">
        <f>IF('Paste Here'!$B695&lt;&gt;"",'Paste Here'!$B695,"")</f>
        <v/>
      </c>
      <c r="H701" s="16" t="str">
        <f>IF('Paste Here'!$C695&lt;&gt;"",'Paste Here'!$C695,"")</f>
        <v/>
      </c>
      <c r="I701" s="25" t="str">
        <f>IF('Paste Here'!$D695&lt;&gt;"",'Paste Here'!$D695,"")</f>
        <v/>
      </c>
      <c r="J701" s="27" t="str">
        <f>IF('Paste Here'!$E695&lt;&gt;"",'Paste Here'!$E695,"")</f>
        <v/>
      </c>
      <c r="K701" s="16" t="str">
        <f>IF('Paste Here'!$F695&lt;&gt;"",'Paste Here'!$F695,"")</f>
        <v/>
      </c>
      <c r="L701" s="16" t="str">
        <f>IF('Paste Here'!$G695&lt;&gt;"",'Paste Here'!$G695,"")</f>
        <v/>
      </c>
      <c r="M701" s="18" t="str">
        <f t="shared" si="21"/>
        <v/>
      </c>
    </row>
    <row r="702" spans="1:13" s="17" customFormat="1" x14ac:dyDescent="0.25">
      <c r="A702" s="16" t="str">
        <f>IF(URN&lt;&gt;"",_xll.mdValue("Resident",_xlnm.Database,$F702),"")</f>
        <v/>
      </c>
      <c r="B702" s="16" t="str">
        <f>IF(PersonId&lt;&gt;"",_xll.mdValue("Resident First Name",_xlnm.Database,$A$8),"")</f>
        <v/>
      </c>
      <c r="C702" s="16" t="str">
        <f>IF(PersonId&lt;&gt;"",_xll.mdValue("Resident Last Name",_xlnm.Database,$A$8),"")</f>
        <v/>
      </c>
      <c r="D702" s="16" t="str">
        <f>IF(PersonId&lt;&gt;"",_xll.mdValue("Person Accomodation Code",_xlnm.Database,$A702),"")</f>
        <v/>
      </c>
      <c r="E702" s="28" t="str">
        <f t="shared" si="20"/>
        <v/>
      </c>
      <c r="F702" s="16" t="str">
        <f>IF('Paste Here'!$A696&lt;&gt;"",'Paste Here'!$A696,"")</f>
        <v/>
      </c>
      <c r="G702" s="16" t="str">
        <f>IF('Paste Here'!$B696&lt;&gt;"",'Paste Here'!$B696,"")</f>
        <v/>
      </c>
      <c r="H702" s="16" t="str">
        <f>IF('Paste Here'!$C696&lt;&gt;"",'Paste Here'!$C696,"")</f>
        <v/>
      </c>
      <c r="I702" s="25" t="str">
        <f>IF('Paste Here'!$D696&lt;&gt;"",'Paste Here'!$D696,"")</f>
        <v/>
      </c>
      <c r="J702" s="27" t="str">
        <f>IF('Paste Here'!$E696&lt;&gt;"",'Paste Here'!$E696,"")</f>
        <v/>
      </c>
      <c r="K702" s="16" t="str">
        <f>IF('Paste Here'!$F696&lt;&gt;"",'Paste Here'!$F696,"")</f>
        <v/>
      </c>
      <c r="L702" s="16" t="str">
        <f>IF('Paste Here'!$G696&lt;&gt;"",'Paste Here'!$G696,"")</f>
        <v/>
      </c>
      <c r="M702" s="18" t="str">
        <f t="shared" si="21"/>
        <v/>
      </c>
    </row>
    <row r="703" spans="1:13" s="17" customFormat="1" x14ac:dyDescent="0.25">
      <c r="A703" s="16" t="str">
        <f>IF(URN&lt;&gt;"",_xll.mdValue("Resident",_xlnm.Database,$F703),"")</f>
        <v/>
      </c>
      <c r="B703" s="16" t="str">
        <f>IF(PersonId&lt;&gt;"",_xll.mdValue("Resident First Name",_xlnm.Database,$A$8),"")</f>
        <v/>
      </c>
      <c r="C703" s="16" t="str">
        <f>IF(PersonId&lt;&gt;"",_xll.mdValue("Resident Last Name",_xlnm.Database,$A$8),"")</f>
        <v/>
      </c>
      <c r="D703" s="16" t="str">
        <f>IF(PersonId&lt;&gt;"",_xll.mdValue("Person Accomodation Code",_xlnm.Database,$A703),"")</f>
        <v/>
      </c>
      <c r="E703" s="28" t="str">
        <f t="shared" si="20"/>
        <v/>
      </c>
      <c r="F703" s="16" t="str">
        <f>IF('Paste Here'!$A697&lt;&gt;"",'Paste Here'!$A697,"")</f>
        <v/>
      </c>
      <c r="G703" s="16" t="str">
        <f>IF('Paste Here'!$B697&lt;&gt;"",'Paste Here'!$B697,"")</f>
        <v/>
      </c>
      <c r="H703" s="16" t="str">
        <f>IF('Paste Here'!$C697&lt;&gt;"",'Paste Here'!$C697,"")</f>
        <v/>
      </c>
      <c r="I703" s="25" t="str">
        <f>IF('Paste Here'!$D697&lt;&gt;"",'Paste Here'!$D697,"")</f>
        <v/>
      </c>
      <c r="J703" s="27" t="str">
        <f>IF('Paste Here'!$E697&lt;&gt;"",'Paste Here'!$E697,"")</f>
        <v/>
      </c>
      <c r="K703" s="16" t="str">
        <f>IF('Paste Here'!$F697&lt;&gt;"",'Paste Here'!$F697,"")</f>
        <v/>
      </c>
      <c r="L703" s="16" t="str">
        <f>IF('Paste Here'!$G697&lt;&gt;"",'Paste Here'!$G697,"")</f>
        <v/>
      </c>
      <c r="M703" s="18" t="str">
        <f t="shared" si="21"/>
        <v/>
      </c>
    </row>
    <row r="704" spans="1:13" s="17" customFormat="1" x14ac:dyDescent="0.25">
      <c r="A704" s="16" t="str">
        <f>IF(URN&lt;&gt;"",_xll.mdValue("Resident",_xlnm.Database,$F704),"")</f>
        <v/>
      </c>
      <c r="B704" s="16" t="str">
        <f>IF(PersonId&lt;&gt;"",_xll.mdValue("Resident First Name",_xlnm.Database,$A$8),"")</f>
        <v/>
      </c>
      <c r="C704" s="16" t="str">
        <f>IF(PersonId&lt;&gt;"",_xll.mdValue("Resident Last Name",_xlnm.Database,$A$8),"")</f>
        <v/>
      </c>
      <c r="D704" s="16" t="str">
        <f>IF(PersonId&lt;&gt;"",_xll.mdValue("Person Accomodation Code",_xlnm.Database,$A704),"")</f>
        <v/>
      </c>
      <c r="E704" s="28" t="str">
        <f t="shared" si="20"/>
        <v/>
      </c>
      <c r="F704" s="16" t="str">
        <f>IF('Paste Here'!$A698&lt;&gt;"",'Paste Here'!$A698,"")</f>
        <v/>
      </c>
      <c r="G704" s="16" t="str">
        <f>IF('Paste Here'!$B698&lt;&gt;"",'Paste Here'!$B698,"")</f>
        <v/>
      </c>
      <c r="H704" s="16" t="str">
        <f>IF('Paste Here'!$C698&lt;&gt;"",'Paste Here'!$C698,"")</f>
        <v/>
      </c>
      <c r="I704" s="25" t="str">
        <f>IF('Paste Here'!$D698&lt;&gt;"",'Paste Here'!$D698,"")</f>
        <v/>
      </c>
      <c r="J704" s="27" t="str">
        <f>IF('Paste Here'!$E698&lt;&gt;"",'Paste Here'!$E698,"")</f>
        <v/>
      </c>
      <c r="K704" s="16" t="str">
        <f>IF('Paste Here'!$F698&lt;&gt;"",'Paste Here'!$F698,"")</f>
        <v/>
      </c>
      <c r="L704" s="16" t="str">
        <f>IF('Paste Here'!$G698&lt;&gt;"",'Paste Here'!$G698,"")</f>
        <v/>
      </c>
      <c r="M704" s="18" t="str">
        <f t="shared" si="21"/>
        <v/>
      </c>
    </row>
    <row r="705" spans="1:13" s="17" customFormat="1" x14ac:dyDescent="0.25">
      <c r="A705" s="16" t="str">
        <f>IF(URN&lt;&gt;"",_xll.mdValue("Resident",_xlnm.Database,$F705),"")</f>
        <v/>
      </c>
      <c r="B705" s="16" t="str">
        <f>IF(PersonId&lt;&gt;"",_xll.mdValue("Resident First Name",_xlnm.Database,$A$8),"")</f>
        <v/>
      </c>
      <c r="C705" s="16" t="str">
        <f>IF(PersonId&lt;&gt;"",_xll.mdValue("Resident Last Name",_xlnm.Database,$A$8),"")</f>
        <v/>
      </c>
      <c r="D705" s="16" t="str">
        <f>IF(PersonId&lt;&gt;"",_xll.mdValue("Person Accomodation Code",_xlnm.Database,$A705),"")</f>
        <v/>
      </c>
      <c r="E705" s="28" t="str">
        <f t="shared" si="20"/>
        <v/>
      </c>
      <c r="F705" s="16" t="str">
        <f>IF('Paste Here'!$A699&lt;&gt;"",'Paste Here'!$A699,"")</f>
        <v/>
      </c>
      <c r="G705" s="16" t="str">
        <f>IF('Paste Here'!$B699&lt;&gt;"",'Paste Here'!$B699,"")</f>
        <v/>
      </c>
      <c r="H705" s="16" t="str">
        <f>IF('Paste Here'!$C699&lt;&gt;"",'Paste Here'!$C699,"")</f>
        <v/>
      </c>
      <c r="I705" s="25" t="str">
        <f>IF('Paste Here'!$D699&lt;&gt;"",'Paste Here'!$D699,"")</f>
        <v/>
      </c>
      <c r="J705" s="27" t="str">
        <f>IF('Paste Here'!$E699&lt;&gt;"",'Paste Here'!$E699,"")</f>
        <v/>
      </c>
      <c r="K705" s="16" t="str">
        <f>IF('Paste Here'!$F699&lt;&gt;"",'Paste Here'!$F699,"")</f>
        <v/>
      </c>
      <c r="L705" s="16" t="str">
        <f>IF('Paste Here'!$G699&lt;&gt;"",'Paste Here'!$G699,"")</f>
        <v/>
      </c>
      <c r="M705" s="18" t="str">
        <f t="shared" si="21"/>
        <v/>
      </c>
    </row>
    <row r="706" spans="1:13" s="17" customFormat="1" x14ac:dyDescent="0.25">
      <c r="A706" s="16" t="str">
        <f>IF(URN&lt;&gt;"",_xll.mdValue("Resident",_xlnm.Database,$F706),"")</f>
        <v/>
      </c>
      <c r="B706" s="16" t="str">
        <f>IF(PersonId&lt;&gt;"",_xll.mdValue("Resident First Name",_xlnm.Database,$A$8),"")</f>
        <v/>
      </c>
      <c r="C706" s="16" t="str">
        <f>IF(PersonId&lt;&gt;"",_xll.mdValue("Resident Last Name",_xlnm.Database,$A$8),"")</f>
        <v/>
      </c>
      <c r="D706" s="16" t="str">
        <f>IF(PersonId&lt;&gt;"",_xll.mdValue("Person Accomodation Code",_xlnm.Database,$A706),"")</f>
        <v/>
      </c>
      <c r="E706" s="28" t="str">
        <f t="shared" si="20"/>
        <v/>
      </c>
      <c r="F706" s="16" t="str">
        <f>IF('Paste Here'!$A700&lt;&gt;"",'Paste Here'!$A700,"")</f>
        <v/>
      </c>
      <c r="G706" s="16" t="str">
        <f>IF('Paste Here'!$B700&lt;&gt;"",'Paste Here'!$B700,"")</f>
        <v/>
      </c>
      <c r="H706" s="16" t="str">
        <f>IF('Paste Here'!$C700&lt;&gt;"",'Paste Here'!$C700,"")</f>
        <v/>
      </c>
      <c r="I706" s="25" t="str">
        <f>IF('Paste Here'!$D700&lt;&gt;"",'Paste Here'!$D700,"")</f>
        <v/>
      </c>
      <c r="J706" s="27" t="str">
        <f>IF('Paste Here'!$E700&lt;&gt;"",'Paste Here'!$E700,"")</f>
        <v/>
      </c>
      <c r="K706" s="16" t="str">
        <f>IF('Paste Here'!$F700&lt;&gt;"",'Paste Here'!$F700,"")</f>
        <v/>
      </c>
      <c r="L706" s="16" t="str">
        <f>IF('Paste Here'!$G700&lt;&gt;"",'Paste Here'!$G700,"")</f>
        <v/>
      </c>
      <c r="M706" s="18" t="str">
        <f t="shared" si="21"/>
        <v/>
      </c>
    </row>
    <row r="707" spans="1:13" s="17" customFormat="1" x14ac:dyDescent="0.25">
      <c r="A707" s="16" t="str">
        <f>IF(URN&lt;&gt;"",_xll.mdValue("Resident",_xlnm.Database,$F707),"")</f>
        <v/>
      </c>
      <c r="B707" s="16" t="str">
        <f>IF(PersonId&lt;&gt;"",_xll.mdValue("Resident First Name",_xlnm.Database,$A$8),"")</f>
        <v/>
      </c>
      <c r="C707" s="16" t="str">
        <f>IF(PersonId&lt;&gt;"",_xll.mdValue("Resident Last Name",_xlnm.Database,$A$8),"")</f>
        <v/>
      </c>
      <c r="D707" s="16" t="str">
        <f>IF(PersonId&lt;&gt;"",_xll.mdValue("Person Accomodation Code",_xlnm.Database,$A707),"")</f>
        <v/>
      </c>
      <c r="E707" s="28" t="str">
        <f t="shared" si="20"/>
        <v/>
      </c>
      <c r="F707" s="16" t="str">
        <f>IF('Paste Here'!$A701&lt;&gt;"",'Paste Here'!$A701,"")</f>
        <v/>
      </c>
      <c r="G707" s="16" t="str">
        <f>IF('Paste Here'!$B701&lt;&gt;"",'Paste Here'!$B701,"")</f>
        <v/>
      </c>
      <c r="H707" s="16" t="str">
        <f>IF('Paste Here'!$C701&lt;&gt;"",'Paste Here'!$C701,"")</f>
        <v/>
      </c>
      <c r="I707" s="25" t="str">
        <f>IF('Paste Here'!$D701&lt;&gt;"",'Paste Here'!$D701,"")</f>
        <v/>
      </c>
      <c r="J707" s="27" t="str">
        <f>IF('Paste Here'!$E701&lt;&gt;"",'Paste Here'!$E701,"")</f>
        <v/>
      </c>
      <c r="K707" s="16" t="str">
        <f>IF('Paste Here'!$F701&lt;&gt;"",'Paste Here'!$F701,"")</f>
        <v/>
      </c>
      <c r="L707" s="16" t="str">
        <f>IF('Paste Here'!$G701&lt;&gt;"",'Paste Here'!$G701,"")</f>
        <v/>
      </c>
      <c r="M707" s="18" t="str">
        <f t="shared" si="21"/>
        <v/>
      </c>
    </row>
    <row r="708" spans="1:13" s="17" customFormat="1" x14ac:dyDescent="0.25">
      <c r="A708" s="16" t="str">
        <f>IF(URN&lt;&gt;"",_xll.mdValue("Resident",_xlnm.Database,$F708),"")</f>
        <v/>
      </c>
      <c r="B708" s="16" t="str">
        <f>IF(PersonId&lt;&gt;"",_xll.mdValue("Resident First Name",_xlnm.Database,$A$8),"")</f>
        <v/>
      </c>
      <c r="C708" s="16" t="str">
        <f>IF(PersonId&lt;&gt;"",_xll.mdValue("Resident Last Name",_xlnm.Database,$A$8),"")</f>
        <v/>
      </c>
      <c r="D708" s="16" t="str">
        <f>IF(PersonId&lt;&gt;"",_xll.mdValue("Person Accomodation Code",_xlnm.Database,$A708),"")</f>
        <v/>
      </c>
      <c r="E708" s="28" t="str">
        <f t="shared" si="20"/>
        <v/>
      </c>
      <c r="F708" s="16" t="str">
        <f>IF('Paste Here'!$A702&lt;&gt;"",'Paste Here'!$A702,"")</f>
        <v/>
      </c>
      <c r="G708" s="16" t="str">
        <f>IF('Paste Here'!$B702&lt;&gt;"",'Paste Here'!$B702,"")</f>
        <v/>
      </c>
      <c r="H708" s="16" t="str">
        <f>IF('Paste Here'!$C702&lt;&gt;"",'Paste Here'!$C702,"")</f>
        <v/>
      </c>
      <c r="I708" s="25" t="str">
        <f>IF('Paste Here'!$D702&lt;&gt;"",'Paste Here'!$D702,"")</f>
        <v/>
      </c>
      <c r="J708" s="27" t="str">
        <f>IF('Paste Here'!$E702&lt;&gt;"",'Paste Here'!$E702,"")</f>
        <v/>
      </c>
      <c r="K708" s="16" t="str">
        <f>IF('Paste Here'!$F702&lt;&gt;"",'Paste Here'!$F702,"")</f>
        <v/>
      </c>
      <c r="L708" s="16" t="str">
        <f>IF('Paste Here'!$G702&lt;&gt;"",'Paste Here'!$G702,"")</f>
        <v/>
      </c>
      <c r="M708" s="18" t="str">
        <f t="shared" si="21"/>
        <v/>
      </c>
    </row>
    <row r="709" spans="1:13" s="17" customFormat="1" x14ac:dyDescent="0.25">
      <c r="A709" s="16" t="str">
        <f>IF(URN&lt;&gt;"",_xll.mdValue("Resident",_xlnm.Database,$F709),"")</f>
        <v/>
      </c>
      <c r="B709" s="16" t="str">
        <f>IF(PersonId&lt;&gt;"",_xll.mdValue("Resident First Name",_xlnm.Database,$A$8),"")</f>
        <v/>
      </c>
      <c r="C709" s="16" t="str">
        <f>IF(PersonId&lt;&gt;"",_xll.mdValue("Resident Last Name",_xlnm.Database,$A$8),"")</f>
        <v/>
      </c>
      <c r="D709" s="16" t="str">
        <f>IF(PersonId&lt;&gt;"",_xll.mdValue("Person Accomodation Code",_xlnm.Database,$A709),"")</f>
        <v/>
      </c>
      <c r="E709" s="28" t="str">
        <f t="shared" si="20"/>
        <v/>
      </c>
      <c r="F709" s="16" t="str">
        <f>IF('Paste Here'!$A703&lt;&gt;"",'Paste Here'!$A703,"")</f>
        <v/>
      </c>
      <c r="G709" s="16" t="str">
        <f>IF('Paste Here'!$B703&lt;&gt;"",'Paste Here'!$B703,"")</f>
        <v/>
      </c>
      <c r="H709" s="16" t="str">
        <f>IF('Paste Here'!$C703&lt;&gt;"",'Paste Here'!$C703,"")</f>
        <v/>
      </c>
      <c r="I709" s="25" t="str">
        <f>IF('Paste Here'!$D703&lt;&gt;"",'Paste Here'!$D703,"")</f>
        <v/>
      </c>
      <c r="J709" s="27" t="str">
        <f>IF('Paste Here'!$E703&lt;&gt;"",'Paste Here'!$E703,"")</f>
        <v/>
      </c>
      <c r="K709" s="16" t="str">
        <f>IF('Paste Here'!$F703&lt;&gt;"",'Paste Here'!$F703,"")</f>
        <v/>
      </c>
      <c r="L709" s="16" t="str">
        <f>IF('Paste Here'!$G703&lt;&gt;"",'Paste Here'!$G703,"")</f>
        <v/>
      </c>
      <c r="M709" s="18" t="str">
        <f t="shared" si="21"/>
        <v/>
      </c>
    </row>
    <row r="710" spans="1:13" s="17" customFormat="1" x14ac:dyDescent="0.25">
      <c r="A710" s="16" t="str">
        <f>IF(URN&lt;&gt;"",_xll.mdValue("Resident",_xlnm.Database,$F710),"")</f>
        <v/>
      </c>
      <c r="B710" s="16" t="str">
        <f>IF(PersonId&lt;&gt;"",_xll.mdValue("Resident First Name",_xlnm.Database,$A$8),"")</f>
        <v/>
      </c>
      <c r="C710" s="16" t="str">
        <f>IF(PersonId&lt;&gt;"",_xll.mdValue("Resident Last Name",_xlnm.Database,$A$8),"")</f>
        <v/>
      </c>
      <c r="D710" s="16" t="str">
        <f>IF(PersonId&lt;&gt;"",_xll.mdValue("Person Accomodation Code",_xlnm.Database,$A710),"")</f>
        <v/>
      </c>
      <c r="E710" s="28" t="str">
        <f t="shared" si="20"/>
        <v/>
      </c>
      <c r="F710" s="16" t="str">
        <f>IF('Paste Here'!$A704&lt;&gt;"",'Paste Here'!$A704,"")</f>
        <v/>
      </c>
      <c r="G710" s="16" t="str">
        <f>IF('Paste Here'!$B704&lt;&gt;"",'Paste Here'!$B704,"")</f>
        <v/>
      </c>
      <c r="H710" s="16" t="str">
        <f>IF('Paste Here'!$C704&lt;&gt;"",'Paste Here'!$C704,"")</f>
        <v/>
      </c>
      <c r="I710" s="25" t="str">
        <f>IF('Paste Here'!$D704&lt;&gt;"",'Paste Here'!$D704,"")</f>
        <v/>
      </c>
      <c r="J710" s="27" t="str">
        <f>IF('Paste Here'!$E704&lt;&gt;"",'Paste Here'!$E704,"")</f>
        <v/>
      </c>
      <c r="K710" s="16" t="str">
        <f>IF('Paste Here'!$F704&lt;&gt;"",'Paste Here'!$F704,"")</f>
        <v/>
      </c>
      <c r="L710" s="16" t="str">
        <f>IF('Paste Here'!$G704&lt;&gt;"",'Paste Here'!$G704,"")</f>
        <v/>
      </c>
      <c r="M710" s="18" t="str">
        <f t="shared" si="21"/>
        <v/>
      </c>
    </row>
    <row r="711" spans="1:13" s="17" customFormat="1" x14ac:dyDescent="0.25">
      <c r="A711" s="16" t="str">
        <f>IF(URN&lt;&gt;"",_xll.mdValue("Resident",_xlnm.Database,$F711),"")</f>
        <v/>
      </c>
      <c r="B711" s="16" t="str">
        <f>IF(PersonId&lt;&gt;"",_xll.mdValue("Resident First Name",_xlnm.Database,$A$8),"")</f>
        <v/>
      </c>
      <c r="C711" s="16" t="str">
        <f>IF(PersonId&lt;&gt;"",_xll.mdValue("Resident Last Name",_xlnm.Database,$A$8),"")</f>
        <v/>
      </c>
      <c r="D711" s="16" t="str">
        <f>IF(PersonId&lt;&gt;"",_xll.mdValue("Person Accomodation Code",_xlnm.Database,$A711),"")</f>
        <v/>
      </c>
      <c r="E711" s="28" t="str">
        <f t="shared" si="20"/>
        <v/>
      </c>
      <c r="F711" s="16" t="str">
        <f>IF('Paste Here'!$A705&lt;&gt;"",'Paste Here'!$A705,"")</f>
        <v/>
      </c>
      <c r="G711" s="16" t="str">
        <f>IF('Paste Here'!$B705&lt;&gt;"",'Paste Here'!$B705,"")</f>
        <v/>
      </c>
      <c r="H711" s="16" t="str">
        <f>IF('Paste Here'!$C705&lt;&gt;"",'Paste Here'!$C705,"")</f>
        <v/>
      </c>
      <c r="I711" s="25" t="str">
        <f>IF('Paste Here'!$D705&lt;&gt;"",'Paste Here'!$D705,"")</f>
        <v/>
      </c>
      <c r="J711" s="27" t="str">
        <f>IF('Paste Here'!$E705&lt;&gt;"",'Paste Here'!$E705,"")</f>
        <v/>
      </c>
      <c r="K711" s="16" t="str">
        <f>IF('Paste Here'!$F705&lt;&gt;"",'Paste Here'!$F705,"")</f>
        <v/>
      </c>
      <c r="L711" s="16" t="str">
        <f>IF('Paste Here'!$G705&lt;&gt;"",'Paste Here'!$G705,"")</f>
        <v/>
      </c>
      <c r="M711" s="18" t="str">
        <f t="shared" si="21"/>
        <v/>
      </c>
    </row>
    <row r="712" spans="1:13" s="17" customFormat="1" x14ac:dyDescent="0.25">
      <c r="A712" s="16" t="str">
        <f>IF(URN&lt;&gt;"",_xll.mdValue("Resident",_xlnm.Database,$F712),"")</f>
        <v/>
      </c>
      <c r="B712" s="16" t="str">
        <f>IF(PersonId&lt;&gt;"",_xll.mdValue("Resident First Name",_xlnm.Database,$A$8),"")</f>
        <v/>
      </c>
      <c r="C712" s="16" t="str">
        <f>IF(PersonId&lt;&gt;"",_xll.mdValue("Resident Last Name",_xlnm.Database,$A$8),"")</f>
        <v/>
      </c>
      <c r="D712" s="16" t="str">
        <f>IF(PersonId&lt;&gt;"",_xll.mdValue("Person Accomodation Code",_xlnm.Database,$A712),"")</f>
        <v/>
      </c>
      <c r="E712" s="28" t="str">
        <f t="shared" ref="E712:E775" si="22">IF(ClientCare_Accommodation&lt;&gt;"",IF(ClientCare_Accommodation&lt;&gt;AccommodationCode,"Missing Accommodation",""),"")</f>
        <v/>
      </c>
      <c r="F712" s="16" t="str">
        <f>IF('Paste Here'!$A706&lt;&gt;"",'Paste Here'!$A706,"")</f>
        <v/>
      </c>
      <c r="G712" s="16" t="str">
        <f>IF('Paste Here'!$B706&lt;&gt;"",'Paste Here'!$B706,"")</f>
        <v/>
      </c>
      <c r="H712" s="16" t="str">
        <f>IF('Paste Here'!$C706&lt;&gt;"",'Paste Here'!$C706,"")</f>
        <v/>
      </c>
      <c r="I712" s="25" t="str">
        <f>IF('Paste Here'!$D706&lt;&gt;"",'Paste Here'!$D706,"")</f>
        <v/>
      </c>
      <c r="J712" s="27" t="str">
        <f>IF('Paste Here'!$E706&lt;&gt;"",'Paste Here'!$E706,"")</f>
        <v/>
      </c>
      <c r="K712" s="16" t="str">
        <f>IF('Paste Here'!$F706&lt;&gt;"",'Paste Here'!$F706,"")</f>
        <v/>
      </c>
      <c r="L712" s="16" t="str">
        <f>IF('Paste Here'!$G706&lt;&gt;"",'Paste Here'!$G706,"")</f>
        <v/>
      </c>
      <c r="M712" s="18" t="str">
        <f t="shared" ref="M712:M775" si="23">IF(PersonId&lt;&gt;"","Normal","")</f>
        <v/>
      </c>
    </row>
    <row r="713" spans="1:13" s="17" customFormat="1" x14ac:dyDescent="0.25">
      <c r="A713" s="16" t="str">
        <f>IF(URN&lt;&gt;"",_xll.mdValue("Resident",_xlnm.Database,$F713),"")</f>
        <v/>
      </c>
      <c r="B713" s="16" t="str">
        <f>IF(PersonId&lt;&gt;"",_xll.mdValue("Resident First Name",_xlnm.Database,$A$8),"")</f>
        <v/>
      </c>
      <c r="C713" s="16" t="str">
        <f>IF(PersonId&lt;&gt;"",_xll.mdValue("Resident Last Name",_xlnm.Database,$A$8),"")</f>
        <v/>
      </c>
      <c r="D713" s="16" t="str">
        <f>IF(PersonId&lt;&gt;"",_xll.mdValue("Person Accomodation Code",_xlnm.Database,$A713),"")</f>
        <v/>
      </c>
      <c r="E713" s="28" t="str">
        <f t="shared" si="22"/>
        <v/>
      </c>
      <c r="F713" s="16" t="str">
        <f>IF('Paste Here'!$A707&lt;&gt;"",'Paste Here'!$A707,"")</f>
        <v/>
      </c>
      <c r="G713" s="16" t="str">
        <f>IF('Paste Here'!$B707&lt;&gt;"",'Paste Here'!$B707,"")</f>
        <v/>
      </c>
      <c r="H713" s="16" t="str">
        <f>IF('Paste Here'!$C707&lt;&gt;"",'Paste Here'!$C707,"")</f>
        <v/>
      </c>
      <c r="I713" s="25" t="str">
        <f>IF('Paste Here'!$D707&lt;&gt;"",'Paste Here'!$D707,"")</f>
        <v/>
      </c>
      <c r="J713" s="27" t="str">
        <f>IF('Paste Here'!$E707&lt;&gt;"",'Paste Here'!$E707,"")</f>
        <v/>
      </c>
      <c r="K713" s="16" t="str">
        <f>IF('Paste Here'!$F707&lt;&gt;"",'Paste Here'!$F707,"")</f>
        <v/>
      </c>
      <c r="L713" s="16" t="str">
        <f>IF('Paste Here'!$G707&lt;&gt;"",'Paste Here'!$G707,"")</f>
        <v/>
      </c>
      <c r="M713" s="18" t="str">
        <f t="shared" si="23"/>
        <v/>
      </c>
    </row>
    <row r="714" spans="1:13" s="17" customFormat="1" x14ac:dyDescent="0.25">
      <c r="A714" s="16" t="str">
        <f>IF(URN&lt;&gt;"",_xll.mdValue("Resident",_xlnm.Database,$F714),"")</f>
        <v/>
      </c>
      <c r="B714" s="16" t="str">
        <f>IF(PersonId&lt;&gt;"",_xll.mdValue("Resident First Name",_xlnm.Database,$A$8),"")</f>
        <v/>
      </c>
      <c r="C714" s="16" t="str">
        <f>IF(PersonId&lt;&gt;"",_xll.mdValue("Resident Last Name",_xlnm.Database,$A$8),"")</f>
        <v/>
      </c>
      <c r="D714" s="16" t="str">
        <f>IF(PersonId&lt;&gt;"",_xll.mdValue("Person Accomodation Code",_xlnm.Database,$A714),"")</f>
        <v/>
      </c>
      <c r="E714" s="28" t="str">
        <f t="shared" si="22"/>
        <v/>
      </c>
      <c r="F714" s="16" t="str">
        <f>IF('Paste Here'!$A708&lt;&gt;"",'Paste Here'!$A708,"")</f>
        <v/>
      </c>
      <c r="G714" s="16" t="str">
        <f>IF('Paste Here'!$B708&lt;&gt;"",'Paste Here'!$B708,"")</f>
        <v/>
      </c>
      <c r="H714" s="16" t="str">
        <f>IF('Paste Here'!$C708&lt;&gt;"",'Paste Here'!$C708,"")</f>
        <v/>
      </c>
      <c r="I714" s="25" t="str">
        <f>IF('Paste Here'!$D708&lt;&gt;"",'Paste Here'!$D708,"")</f>
        <v/>
      </c>
      <c r="J714" s="27" t="str">
        <f>IF('Paste Here'!$E708&lt;&gt;"",'Paste Here'!$E708,"")</f>
        <v/>
      </c>
      <c r="K714" s="16" t="str">
        <f>IF('Paste Here'!$F708&lt;&gt;"",'Paste Here'!$F708,"")</f>
        <v/>
      </c>
      <c r="L714" s="16" t="str">
        <f>IF('Paste Here'!$G708&lt;&gt;"",'Paste Here'!$G708,"")</f>
        <v/>
      </c>
      <c r="M714" s="18" t="str">
        <f t="shared" si="23"/>
        <v/>
      </c>
    </row>
    <row r="715" spans="1:13" s="17" customFormat="1" x14ac:dyDescent="0.25">
      <c r="A715" s="16" t="str">
        <f>IF(URN&lt;&gt;"",_xll.mdValue("Resident",_xlnm.Database,$F715),"")</f>
        <v/>
      </c>
      <c r="B715" s="16" t="str">
        <f>IF(PersonId&lt;&gt;"",_xll.mdValue("Resident First Name",_xlnm.Database,$A$8),"")</f>
        <v/>
      </c>
      <c r="C715" s="16" t="str">
        <f>IF(PersonId&lt;&gt;"",_xll.mdValue("Resident Last Name",_xlnm.Database,$A$8),"")</f>
        <v/>
      </c>
      <c r="D715" s="16" t="str">
        <f>IF(PersonId&lt;&gt;"",_xll.mdValue("Person Accomodation Code",_xlnm.Database,$A715),"")</f>
        <v/>
      </c>
      <c r="E715" s="28" t="str">
        <f t="shared" si="22"/>
        <v/>
      </c>
      <c r="F715" s="16" t="str">
        <f>IF('Paste Here'!$A709&lt;&gt;"",'Paste Here'!$A709,"")</f>
        <v/>
      </c>
      <c r="G715" s="16" t="str">
        <f>IF('Paste Here'!$B709&lt;&gt;"",'Paste Here'!$B709,"")</f>
        <v/>
      </c>
      <c r="H715" s="16" t="str">
        <f>IF('Paste Here'!$C709&lt;&gt;"",'Paste Here'!$C709,"")</f>
        <v/>
      </c>
      <c r="I715" s="25" t="str">
        <f>IF('Paste Here'!$D709&lt;&gt;"",'Paste Here'!$D709,"")</f>
        <v/>
      </c>
      <c r="J715" s="27" t="str">
        <f>IF('Paste Here'!$E709&lt;&gt;"",'Paste Here'!$E709,"")</f>
        <v/>
      </c>
      <c r="K715" s="16" t="str">
        <f>IF('Paste Here'!$F709&lt;&gt;"",'Paste Here'!$F709,"")</f>
        <v/>
      </c>
      <c r="L715" s="16" t="str">
        <f>IF('Paste Here'!$G709&lt;&gt;"",'Paste Here'!$G709,"")</f>
        <v/>
      </c>
      <c r="M715" s="18" t="str">
        <f t="shared" si="23"/>
        <v/>
      </c>
    </row>
    <row r="716" spans="1:13" s="17" customFormat="1" x14ac:dyDescent="0.25">
      <c r="A716" s="16" t="str">
        <f>IF(URN&lt;&gt;"",_xll.mdValue("Resident",_xlnm.Database,$F716),"")</f>
        <v/>
      </c>
      <c r="B716" s="16" t="str">
        <f>IF(PersonId&lt;&gt;"",_xll.mdValue("Resident First Name",_xlnm.Database,$A$8),"")</f>
        <v/>
      </c>
      <c r="C716" s="16" t="str">
        <f>IF(PersonId&lt;&gt;"",_xll.mdValue("Resident Last Name",_xlnm.Database,$A$8),"")</f>
        <v/>
      </c>
      <c r="D716" s="16" t="str">
        <f>IF(PersonId&lt;&gt;"",_xll.mdValue("Person Accomodation Code",_xlnm.Database,$A716),"")</f>
        <v/>
      </c>
      <c r="E716" s="28" t="str">
        <f t="shared" si="22"/>
        <v/>
      </c>
      <c r="F716" s="16" t="str">
        <f>IF('Paste Here'!$A710&lt;&gt;"",'Paste Here'!$A710,"")</f>
        <v/>
      </c>
      <c r="G716" s="16" t="str">
        <f>IF('Paste Here'!$B710&lt;&gt;"",'Paste Here'!$B710,"")</f>
        <v/>
      </c>
      <c r="H716" s="16" t="str">
        <f>IF('Paste Here'!$C710&lt;&gt;"",'Paste Here'!$C710,"")</f>
        <v/>
      </c>
      <c r="I716" s="25" t="str">
        <f>IF('Paste Here'!$D710&lt;&gt;"",'Paste Here'!$D710,"")</f>
        <v/>
      </c>
      <c r="J716" s="27" t="str">
        <f>IF('Paste Here'!$E710&lt;&gt;"",'Paste Here'!$E710,"")</f>
        <v/>
      </c>
      <c r="K716" s="16" t="str">
        <f>IF('Paste Here'!$F710&lt;&gt;"",'Paste Here'!$F710,"")</f>
        <v/>
      </c>
      <c r="L716" s="16" t="str">
        <f>IF('Paste Here'!$G710&lt;&gt;"",'Paste Here'!$G710,"")</f>
        <v/>
      </c>
      <c r="M716" s="18" t="str">
        <f t="shared" si="23"/>
        <v/>
      </c>
    </row>
    <row r="717" spans="1:13" s="17" customFormat="1" x14ac:dyDescent="0.25">
      <c r="A717" s="16" t="str">
        <f>IF(URN&lt;&gt;"",_xll.mdValue("Resident",_xlnm.Database,$F717),"")</f>
        <v/>
      </c>
      <c r="B717" s="16" t="str">
        <f>IF(PersonId&lt;&gt;"",_xll.mdValue("Resident First Name",_xlnm.Database,$A$8),"")</f>
        <v/>
      </c>
      <c r="C717" s="16" t="str">
        <f>IF(PersonId&lt;&gt;"",_xll.mdValue("Resident Last Name",_xlnm.Database,$A$8),"")</f>
        <v/>
      </c>
      <c r="D717" s="16" t="str">
        <f>IF(PersonId&lt;&gt;"",_xll.mdValue("Person Accomodation Code",_xlnm.Database,$A717),"")</f>
        <v/>
      </c>
      <c r="E717" s="28" t="str">
        <f t="shared" si="22"/>
        <v/>
      </c>
      <c r="F717" s="16" t="str">
        <f>IF('Paste Here'!$A711&lt;&gt;"",'Paste Here'!$A711,"")</f>
        <v/>
      </c>
      <c r="G717" s="16" t="str">
        <f>IF('Paste Here'!$B711&lt;&gt;"",'Paste Here'!$B711,"")</f>
        <v/>
      </c>
      <c r="H717" s="16" t="str">
        <f>IF('Paste Here'!$C711&lt;&gt;"",'Paste Here'!$C711,"")</f>
        <v/>
      </c>
      <c r="I717" s="25" t="str">
        <f>IF('Paste Here'!$D711&lt;&gt;"",'Paste Here'!$D711,"")</f>
        <v/>
      </c>
      <c r="J717" s="27" t="str">
        <f>IF('Paste Here'!$E711&lt;&gt;"",'Paste Here'!$E711,"")</f>
        <v/>
      </c>
      <c r="K717" s="16" t="str">
        <f>IF('Paste Here'!$F711&lt;&gt;"",'Paste Here'!$F711,"")</f>
        <v/>
      </c>
      <c r="L717" s="16" t="str">
        <f>IF('Paste Here'!$G711&lt;&gt;"",'Paste Here'!$G711,"")</f>
        <v/>
      </c>
      <c r="M717" s="18" t="str">
        <f t="shared" si="23"/>
        <v/>
      </c>
    </row>
    <row r="718" spans="1:13" s="17" customFormat="1" x14ac:dyDescent="0.25">
      <c r="A718" s="16" t="str">
        <f>IF(URN&lt;&gt;"",_xll.mdValue("Resident",_xlnm.Database,$F718),"")</f>
        <v/>
      </c>
      <c r="B718" s="16" t="str">
        <f>IF(PersonId&lt;&gt;"",_xll.mdValue("Resident First Name",_xlnm.Database,$A$8),"")</f>
        <v/>
      </c>
      <c r="C718" s="16" t="str">
        <f>IF(PersonId&lt;&gt;"",_xll.mdValue("Resident Last Name",_xlnm.Database,$A$8),"")</f>
        <v/>
      </c>
      <c r="D718" s="16" t="str">
        <f>IF(PersonId&lt;&gt;"",_xll.mdValue("Person Accomodation Code",_xlnm.Database,$A718),"")</f>
        <v/>
      </c>
      <c r="E718" s="28" t="str">
        <f t="shared" si="22"/>
        <v/>
      </c>
      <c r="F718" s="16" t="str">
        <f>IF('Paste Here'!$A712&lt;&gt;"",'Paste Here'!$A712,"")</f>
        <v/>
      </c>
      <c r="G718" s="16" t="str">
        <f>IF('Paste Here'!$B712&lt;&gt;"",'Paste Here'!$B712,"")</f>
        <v/>
      </c>
      <c r="H718" s="16" t="str">
        <f>IF('Paste Here'!$C712&lt;&gt;"",'Paste Here'!$C712,"")</f>
        <v/>
      </c>
      <c r="I718" s="25" t="str">
        <f>IF('Paste Here'!$D712&lt;&gt;"",'Paste Here'!$D712,"")</f>
        <v/>
      </c>
      <c r="J718" s="27" t="str">
        <f>IF('Paste Here'!$E712&lt;&gt;"",'Paste Here'!$E712,"")</f>
        <v/>
      </c>
      <c r="K718" s="16" t="str">
        <f>IF('Paste Here'!$F712&lt;&gt;"",'Paste Here'!$F712,"")</f>
        <v/>
      </c>
      <c r="L718" s="16" t="str">
        <f>IF('Paste Here'!$G712&lt;&gt;"",'Paste Here'!$G712,"")</f>
        <v/>
      </c>
      <c r="M718" s="18" t="str">
        <f t="shared" si="23"/>
        <v/>
      </c>
    </row>
    <row r="719" spans="1:13" s="17" customFormat="1" x14ac:dyDescent="0.25">
      <c r="A719" s="16" t="str">
        <f>IF(URN&lt;&gt;"",_xll.mdValue("Resident",_xlnm.Database,$F719),"")</f>
        <v/>
      </c>
      <c r="B719" s="16" t="str">
        <f>IF(PersonId&lt;&gt;"",_xll.mdValue("Resident First Name",_xlnm.Database,$A$8),"")</f>
        <v/>
      </c>
      <c r="C719" s="16" t="str">
        <f>IF(PersonId&lt;&gt;"",_xll.mdValue("Resident Last Name",_xlnm.Database,$A$8),"")</f>
        <v/>
      </c>
      <c r="D719" s="16" t="str">
        <f>IF(PersonId&lt;&gt;"",_xll.mdValue("Person Accomodation Code",_xlnm.Database,$A719),"")</f>
        <v/>
      </c>
      <c r="E719" s="28" t="str">
        <f t="shared" si="22"/>
        <v/>
      </c>
      <c r="F719" s="16" t="str">
        <f>IF('Paste Here'!$A713&lt;&gt;"",'Paste Here'!$A713,"")</f>
        <v/>
      </c>
      <c r="G719" s="16" t="str">
        <f>IF('Paste Here'!$B713&lt;&gt;"",'Paste Here'!$B713,"")</f>
        <v/>
      </c>
      <c r="H719" s="16" t="str">
        <f>IF('Paste Here'!$C713&lt;&gt;"",'Paste Here'!$C713,"")</f>
        <v/>
      </c>
      <c r="I719" s="25" t="str">
        <f>IF('Paste Here'!$D713&lt;&gt;"",'Paste Here'!$D713,"")</f>
        <v/>
      </c>
      <c r="J719" s="27" t="str">
        <f>IF('Paste Here'!$E713&lt;&gt;"",'Paste Here'!$E713,"")</f>
        <v/>
      </c>
      <c r="K719" s="16" t="str">
        <f>IF('Paste Here'!$F713&lt;&gt;"",'Paste Here'!$F713,"")</f>
        <v/>
      </c>
      <c r="L719" s="16" t="str">
        <f>IF('Paste Here'!$G713&lt;&gt;"",'Paste Here'!$G713,"")</f>
        <v/>
      </c>
      <c r="M719" s="18" t="str">
        <f t="shared" si="23"/>
        <v/>
      </c>
    </row>
    <row r="720" spans="1:13" s="17" customFormat="1" x14ac:dyDescent="0.25">
      <c r="A720" s="16" t="str">
        <f>IF(URN&lt;&gt;"",_xll.mdValue("Resident",_xlnm.Database,$F720),"")</f>
        <v/>
      </c>
      <c r="B720" s="16" t="str">
        <f>IF(PersonId&lt;&gt;"",_xll.mdValue("Resident First Name",_xlnm.Database,$A$8),"")</f>
        <v/>
      </c>
      <c r="C720" s="16" t="str">
        <f>IF(PersonId&lt;&gt;"",_xll.mdValue("Resident Last Name",_xlnm.Database,$A$8),"")</f>
        <v/>
      </c>
      <c r="D720" s="16" t="str">
        <f>IF(PersonId&lt;&gt;"",_xll.mdValue("Person Accomodation Code",_xlnm.Database,$A720),"")</f>
        <v/>
      </c>
      <c r="E720" s="28" t="str">
        <f t="shared" si="22"/>
        <v/>
      </c>
      <c r="F720" s="16" t="str">
        <f>IF('Paste Here'!$A714&lt;&gt;"",'Paste Here'!$A714,"")</f>
        <v/>
      </c>
      <c r="G720" s="16" t="str">
        <f>IF('Paste Here'!$B714&lt;&gt;"",'Paste Here'!$B714,"")</f>
        <v/>
      </c>
      <c r="H720" s="16" t="str">
        <f>IF('Paste Here'!$C714&lt;&gt;"",'Paste Here'!$C714,"")</f>
        <v/>
      </c>
      <c r="I720" s="25" t="str">
        <f>IF('Paste Here'!$D714&lt;&gt;"",'Paste Here'!$D714,"")</f>
        <v/>
      </c>
      <c r="J720" s="27" t="str">
        <f>IF('Paste Here'!$E714&lt;&gt;"",'Paste Here'!$E714,"")</f>
        <v/>
      </c>
      <c r="K720" s="16" t="str">
        <f>IF('Paste Here'!$F714&lt;&gt;"",'Paste Here'!$F714,"")</f>
        <v/>
      </c>
      <c r="L720" s="16" t="str">
        <f>IF('Paste Here'!$G714&lt;&gt;"",'Paste Here'!$G714,"")</f>
        <v/>
      </c>
      <c r="M720" s="18" t="str">
        <f t="shared" si="23"/>
        <v/>
      </c>
    </row>
    <row r="721" spans="1:13" s="17" customFormat="1" x14ac:dyDescent="0.25">
      <c r="A721" s="16" t="str">
        <f>IF(URN&lt;&gt;"",_xll.mdValue("Resident",_xlnm.Database,$F721),"")</f>
        <v/>
      </c>
      <c r="B721" s="16" t="str">
        <f>IF(PersonId&lt;&gt;"",_xll.mdValue("Resident First Name",_xlnm.Database,$A$8),"")</f>
        <v/>
      </c>
      <c r="C721" s="16" t="str">
        <f>IF(PersonId&lt;&gt;"",_xll.mdValue("Resident Last Name",_xlnm.Database,$A$8),"")</f>
        <v/>
      </c>
      <c r="D721" s="16" t="str">
        <f>IF(PersonId&lt;&gt;"",_xll.mdValue("Person Accomodation Code",_xlnm.Database,$A721),"")</f>
        <v/>
      </c>
      <c r="E721" s="28" t="str">
        <f t="shared" si="22"/>
        <v/>
      </c>
      <c r="F721" s="16" t="str">
        <f>IF('Paste Here'!$A715&lt;&gt;"",'Paste Here'!$A715,"")</f>
        <v/>
      </c>
      <c r="G721" s="16" t="str">
        <f>IF('Paste Here'!$B715&lt;&gt;"",'Paste Here'!$B715,"")</f>
        <v/>
      </c>
      <c r="H721" s="16" t="str">
        <f>IF('Paste Here'!$C715&lt;&gt;"",'Paste Here'!$C715,"")</f>
        <v/>
      </c>
      <c r="I721" s="25" t="str">
        <f>IF('Paste Here'!$D715&lt;&gt;"",'Paste Here'!$D715,"")</f>
        <v/>
      </c>
      <c r="J721" s="27" t="str">
        <f>IF('Paste Here'!$E715&lt;&gt;"",'Paste Here'!$E715,"")</f>
        <v/>
      </c>
      <c r="K721" s="16" t="str">
        <f>IF('Paste Here'!$F715&lt;&gt;"",'Paste Here'!$F715,"")</f>
        <v/>
      </c>
      <c r="L721" s="16" t="str">
        <f>IF('Paste Here'!$G715&lt;&gt;"",'Paste Here'!$G715,"")</f>
        <v/>
      </c>
      <c r="M721" s="18" t="str">
        <f t="shared" si="23"/>
        <v/>
      </c>
    </row>
    <row r="722" spans="1:13" s="17" customFormat="1" x14ac:dyDescent="0.25">
      <c r="A722" s="16" t="str">
        <f>IF(URN&lt;&gt;"",_xll.mdValue("Resident",_xlnm.Database,$F722),"")</f>
        <v/>
      </c>
      <c r="B722" s="16" t="str">
        <f>IF(PersonId&lt;&gt;"",_xll.mdValue("Resident First Name",_xlnm.Database,$A$8),"")</f>
        <v/>
      </c>
      <c r="C722" s="16" t="str">
        <f>IF(PersonId&lt;&gt;"",_xll.mdValue("Resident Last Name",_xlnm.Database,$A$8),"")</f>
        <v/>
      </c>
      <c r="D722" s="16" t="str">
        <f>IF(PersonId&lt;&gt;"",_xll.mdValue("Person Accomodation Code",_xlnm.Database,$A722),"")</f>
        <v/>
      </c>
      <c r="E722" s="28" t="str">
        <f t="shared" si="22"/>
        <v/>
      </c>
      <c r="F722" s="16" t="str">
        <f>IF('Paste Here'!$A716&lt;&gt;"",'Paste Here'!$A716,"")</f>
        <v/>
      </c>
      <c r="G722" s="16" t="str">
        <f>IF('Paste Here'!$B716&lt;&gt;"",'Paste Here'!$B716,"")</f>
        <v/>
      </c>
      <c r="H722" s="16" t="str">
        <f>IF('Paste Here'!$C716&lt;&gt;"",'Paste Here'!$C716,"")</f>
        <v/>
      </c>
      <c r="I722" s="25" t="str">
        <f>IF('Paste Here'!$D716&lt;&gt;"",'Paste Here'!$D716,"")</f>
        <v/>
      </c>
      <c r="J722" s="27" t="str">
        <f>IF('Paste Here'!$E716&lt;&gt;"",'Paste Here'!$E716,"")</f>
        <v/>
      </c>
      <c r="K722" s="16" t="str">
        <f>IF('Paste Here'!$F716&lt;&gt;"",'Paste Here'!$F716,"")</f>
        <v/>
      </c>
      <c r="L722" s="16" t="str">
        <f>IF('Paste Here'!$G716&lt;&gt;"",'Paste Here'!$G716,"")</f>
        <v/>
      </c>
      <c r="M722" s="18" t="str">
        <f t="shared" si="23"/>
        <v/>
      </c>
    </row>
    <row r="723" spans="1:13" s="17" customFormat="1" x14ac:dyDescent="0.25">
      <c r="A723" s="16" t="str">
        <f>IF(URN&lt;&gt;"",_xll.mdValue("Resident",_xlnm.Database,$F723),"")</f>
        <v/>
      </c>
      <c r="B723" s="16" t="str">
        <f>IF(PersonId&lt;&gt;"",_xll.mdValue("Resident First Name",_xlnm.Database,$A$8),"")</f>
        <v/>
      </c>
      <c r="C723" s="16" t="str">
        <f>IF(PersonId&lt;&gt;"",_xll.mdValue("Resident Last Name",_xlnm.Database,$A$8),"")</f>
        <v/>
      </c>
      <c r="D723" s="16" t="str">
        <f>IF(PersonId&lt;&gt;"",_xll.mdValue("Person Accomodation Code",_xlnm.Database,$A723),"")</f>
        <v/>
      </c>
      <c r="E723" s="28" t="str">
        <f t="shared" si="22"/>
        <v/>
      </c>
      <c r="F723" s="16" t="str">
        <f>IF('Paste Here'!$A717&lt;&gt;"",'Paste Here'!$A717,"")</f>
        <v/>
      </c>
      <c r="G723" s="16" t="str">
        <f>IF('Paste Here'!$B717&lt;&gt;"",'Paste Here'!$B717,"")</f>
        <v/>
      </c>
      <c r="H723" s="16" t="str">
        <f>IF('Paste Here'!$C717&lt;&gt;"",'Paste Here'!$C717,"")</f>
        <v/>
      </c>
      <c r="I723" s="25" t="str">
        <f>IF('Paste Here'!$D717&lt;&gt;"",'Paste Here'!$D717,"")</f>
        <v/>
      </c>
      <c r="J723" s="27" t="str">
        <f>IF('Paste Here'!$E717&lt;&gt;"",'Paste Here'!$E717,"")</f>
        <v/>
      </c>
      <c r="K723" s="16" t="str">
        <f>IF('Paste Here'!$F717&lt;&gt;"",'Paste Here'!$F717,"")</f>
        <v/>
      </c>
      <c r="L723" s="16" t="str">
        <f>IF('Paste Here'!$G717&lt;&gt;"",'Paste Here'!$G717,"")</f>
        <v/>
      </c>
      <c r="M723" s="18" t="str">
        <f t="shared" si="23"/>
        <v/>
      </c>
    </row>
    <row r="724" spans="1:13" s="17" customFormat="1" x14ac:dyDescent="0.25">
      <c r="A724" s="16" t="str">
        <f>IF(URN&lt;&gt;"",_xll.mdValue("Resident",_xlnm.Database,$F724),"")</f>
        <v/>
      </c>
      <c r="B724" s="16" t="str">
        <f>IF(PersonId&lt;&gt;"",_xll.mdValue("Resident First Name",_xlnm.Database,$A$8),"")</f>
        <v/>
      </c>
      <c r="C724" s="16" t="str">
        <f>IF(PersonId&lt;&gt;"",_xll.mdValue("Resident Last Name",_xlnm.Database,$A$8),"")</f>
        <v/>
      </c>
      <c r="D724" s="16" t="str">
        <f>IF(PersonId&lt;&gt;"",_xll.mdValue("Person Accomodation Code",_xlnm.Database,$A724),"")</f>
        <v/>
      </c>
      <c r="E724" s="28" t="str">
        <f t="shared" si="22"/>
        <v/>
      </c>
      <c r="F724" s="16" t="str">
        <f>IF('Paste Here'!$A718&lt;&gt;"",'Paste Here'!$A718,"")</f>
        <v/>
      </c>
      <c r="G724" s="16" t="str">
        <f>IF('Paste Here'!$B718&lt;&gt;"",'Paste Here'!$B718,"")</f>
        <v/>
      </c>
      <c r="H724" s="16" t="str">
        <f>IF('Paste Here'!$C718&lt;&gt;"",'Paste Here'!$C718,"")</f>
        <v/>
      </c>
      <c r="I724" s="25" t="str">
        <f>IF('Paste Here'!$D718&lt;&gt;"",'Paste Here'!$D718,"")</f>
        <v/>
      </c>
      <c r="J724" s="27" t="str">
        <f>IF('Paste Here'!$E718&lt;&gt;"",'Paste Here'!$E718,"")</f>
        <v/>
      </c>
      <c r="K724" s="16" t="str">
        <f>IF('Paste Here'!$F718&lt;&gt;"",'Paste Here'!$F718,"")</f>
        <v/>
      </c>
      <c r="L724" s="16" t="str">
        <f>IF('Paste Here'!$G718&lt;&gt;"",'Paste Here'!$G718,"")</f>
        <v/>
      </c>
      <c r="M724" s="18" t="str">
        <f t="shared" si="23"/>
        <v/>
      </c>
    </row>
    <row r="725" spans="1:13" s="17" customFormat="1" x14ac:dyDescent="0.25">
      <c r="A725" s="16" t="str">
        <f>IF(URN&lt;&gt;"",_xll.mdValue("Resident",_xlnm.Database,$F725),"")</f>
        <v/>
      </c>
      <c r="B725" s="16" t="str">
        <f>IF(PersonId&lt;&gt;"",_xll.mdValue("Resident First Name",_xlnm.Database,$A$8),"")</f>
        <v/>
      </c>
      <c r="C725" s="16" t="str">
        <f>IF(PersonId&lt;&gt;"",_xll.mdValue("Resident Last Name",_xlnm.Database,$A$8),"")</f>
        <v/>
      </c>
      <c r="D725" s="16" t="str">
        <f>IF(PersonId&lt;&gt;"",_xll.mdValue("Person Accomodation Code",_xlnm.Database,$A725),"")</f>
        <v/>
      </c>
      <c r="E725" s="28" t="str">
        <f t="shared" si="22"/>
        <v/>
      </c>
      <c r="F725" s="16" t="str">
        <f>IF('Paste Here'!$A719&lt;&gt;"",'Paste Here'!$A719,"")</f>
        <v/>
      </c>
      <c r="G725" s="16" t="str">
        <f>IF('Paste Here'!$B719&lt;&gt;"",'Paste Here'!$B719,"")</f>
        <v/>
      </c>
      <c r="H725" s="16" t="str">
        <f>IF('Paste Here'!$C719&lt;&gt;"",'Paste Here'!$C719,"")</f>
        <v/>
      </c>
      <c r="I725" s="25" t="str">
        <f>IF('Paste Here'!$D719&lt;&gt;"",'Paste Here'!$D719,"")</f>
        <v/>
      </c>
      <c r="J725" s="27" t="str">
        <f>IF('Paste Here'!$E719&lt;&gt;"",'Paste Here'!$E719,"")</f>
        <v/>
      </c>
      <c r="K725" s="16" t="str">
        <f>IF('Paste Here'!$F719&lt;&gt;"",'Paste Here'!$F719,"")</f>
        <v/>
      </c>
      <c r="L725" s="16" t="str">
        <f>IF('Paste Here'!$G719&lt;&gt;"",'Paste Here'!$G719,"")</f>
        <v/>
      </c>
      <c r="M725" s="18" t="str">
        <f t="shared" si="23"/>
        <v/>
      </c>
    </row>
    <row r="726" spans="1:13" s="17" customFormat="1" x14ac:dyDescent="0.25">
      <c r="A726" s="16" t="str">
        <f>IF(URN&lt;&gt;"",_xll.mdValue("Resident",_xlnm.Database,$F726),"")</f>
        <v/>
      </c>
      <c r="B726" s="16" t="str">
        <f>IF(PersonId&lt;&gt;"",_xll.mdValue("Resident First Name",_xlnm.Database,$A$8),"")</f>
        <v/>
      </c>
      <c r="C726" s="16" t="str">
        <f>IF(PersonId&lt;&gt;"",_xll.mdValue("Resident Last Name",_xlnm.Database,$A$8),"")</f>
        <v/>
      </c>
      <c r="D726" s="16" t="str">
        <f>IF(PersonId&lt;&gt;"",_xll.mdValue("Person Accomodation Code",_xlnm.Database,$A726),"")</f>
        <v/>
      </c>
      <c r="E726" s="28" t="str">
        <f t="shared" si="22"/>
        <v/>
      </c>
      <c r="F726" s="16" t="str">
        <f>IF('Paste Here'!$A720&lt;&gt;"",'Paste Here'!$A720,"")</f>
        <v/>
      </c>
      <c r="G726" s="16" t="str">
        <f>IF('Paste Here'!$B720&lt;&gt;"",'Paste Here'!$B720,"")</f>
        <v/>
      </c>
      <c r="H726" s="16" t="str">
        <f>IF('Paste Here'!$C720&lt;&gt;"",'Paste Here'!$C720,"")</f>
        <v/>
      </c>
      <c r="I726" s="25" t="str">
        <f>IF('Paste Here'!$D720&lt;&gt;"",'Paste Here'!$D720,"")</f>
        <v/>
      </c>
      <c r="J726" s="27" t="str">
        <f>IF('Paste Here'!$E720&lt;&gt;"",'Paste Here'!$E720,"")</f>
        <v/>
      </c>
      <c r="K726" s="16" t="str">
        <f>IF('Paste Here'!$F720&lt;&gt;"",'Paste Here'!$F720,"")</f>
        <v/>
      </c>
      <c r="L726" s="16" t="str">
        <f>IF('Paste Here'!$G720&lt;&gt;"",'Paste Here'!$G720,"")</f>
        <v/>
      </c>
      <c r="M726" s="18" t="str">
        <f t="shared" si="23"/>
        <v/>
      </c>
    </row>
    <row r="727" spans="1:13" s="17" customFormat="1" x14ac:dyDescent="0.25">
      <c r="A727" s="16" t="str">
        <f>IF(URN&lt;&gt;"",_xll.mdValue("Resident",_xlnm.Database,$F727),"")</f>
        <v/>
      </c>
      <c r="B727" s="16" t="str">
        <f>IF(PersonId&lt;&gt;"",_xll.mdValue("Resident First Name",_xlnm.Database,$A$8),"")</f>
        <v/>
      </c>
      <c r="C727" s="16" t="str">
        <f>IF(PersonId&lt;&gt;"",_xll.mdValue("Resident Last Name",_xlnm.Database,$A$8),"")</f>
        <v/>
      </c>
      <c r="D727" s="16" t="str">
        <f>IF(PersonId&lt;&gt;"",_xll.mdValue("Person Accomodation Code",_xlnm.Database,$A727),"")</f>
        <v/>
      </c>
      <c r="E727" s="28" t="str">
        <f t="shared" si="22"/>
        <v/>
      </c>
      <c r="F727" s="16" t="str">
        <f>IF('Paste Here'!$A721&lt;&gt;"",'Paste Here'!$A721,"")</f>
        <v/>
      </c>
      <c r="G727" s="16" t="str">
        <f>IF('Paste Here'!$B721&lt;&gt;"",'Paste Here'!$B721,"")</f>
        <v/>
      </c>
      <c r="H727" s="16" t="str">
        <f>IF('Paste Here'!$C721&lt;&gt;"",'Paste Here'!$C721,"")</f>
        <v/>
      </c>
      <c r="I727" s="25" t="str">
        <f>IF('Paste Here'!$D721&lt;&gt;"",'Paste Here'!$D721,"")</f>
        <v/>
      </c>
      <c r="J727" s="27" t="str">
        <f>IF('Paste Here'!$E721&lt;&gt;"",'Paste Here'!$E721,"")</f>
        <v/>
      </c>
      <c r="K727" s="16" t="str">
        <f>IF('Paste Here'!$F721&lt;&gt;"",'Paste Here'!$F721,"")</f>
        <v/>
      </c>
      <c r="L727" s="16" t="str">
        <f>IF('Paste Here'!$G721&lt;&gt;"",'Paste Here'!$G721,"")</f>
        <v/>
      </c>
      <c r="M727" s="18" t="str">
        <f t="shared" si="23"/>
        <v/>
      </c>
    </row>
    <row r="728" spans="1:13" s="17" customFormat="1" x14ac:dyDescent="0.25">
      <c r="A728" s="16" t="str">
        <f>IF(URN&lt;&gt;"",_xll.mdValue("Resident",_xlnm.Database,$F728),"")</f>
        <v/>
      </c>
      <c r="B728" s="16" t="str">
        <f>IF(PersonId&lt;&gt;"",_xll.mdValue("Resident First Name",_xlnm.Database,$A$8),"")</f>
        <v/>
      </c>
      <c r="C728" s="16" t="str">
        <f>IF(PersonId&lt;&gt;"",_xll.mdValue("Resident Last Name",_xlnm.Database,$A$8),"")</f>
        <v/>
      </c>
      <c r="D728" s="16" t="str">
        <f>IF(PersonId&lt;&gt;"",_xll.mdValue("Person Accomodation Code",_xlnm.Database,$A728),"")</f>
        <v/>
      </c>
      <c r="E728" s="28" t="str">
        <f t="shared" si="22"/>
        <v/>
      </c>
      <c r="F728" s="16" t="str">
        <f>IF('Paste Here'!$A722&lt;&gt;"",'Paste Here'!$A722,"")</f>
        <v/>
      </c>
      <c r="G728" s="16" t="str">
        <f>IF('Paste Here'!$B722&lt;&gt;"",'Paste Here'!$B722,"")</f>
        <v/>
      </c>
      <c r="H728" s="16" t="str">
        <f>IF('Paste Here'!$C722&lt;&gt;"",'Paste Here'!$C722,"")</f>
        <v/>
      </c>
      <c r="I728" s="25" t="str">
        <f>IF('Paste Here'!$D722&lt;&gt;"",'Paste Here'!$D722,"")</f>
        <v/>
      </c>
      <c r="J728" s="27" t="str">
        <f>IF('Paste Here'!$E722&lt;&gt;"",'Paste Here'!$E722,"")</f>
        <v/>
      </c>
      <c r="K728" s="16" t="str">
        <f>IF('Paste Here'!$F722&lt;&gt;"",'Paste Here'!$F722,"")</f>
        <v/>
      </c>
      <c r="L728" s="16" t="str">
        <f>IF('Paste Here'!$G722&lt;&gt;"",'Paste Here'!$G722,"")</f>
        <v/>
      </c>
      <c r="M728" s="18" t="str">
        <f t="shared" si="23"/>
        <v/>
      </c>
    </row>
    <row r="729" spans="1:13" s="17" customFormat="1" x14ac:dyDescent="0.25">
      <c r="A729" s="16" t="str">
        <f>IF(URN&lt;&gt;"",_xll.mdValue("Resident",_xlnm.Database,$F729),"")</f>
        <v/>
      </c>
      <c r="B729" s="16" t="str">
        <f>IF(PersonId&lt;&gt;"",_xll.mdValue("Resident First Name",_xlnm.Database,$A$8),"")</f>
        <v/>
      </c>
      <c r="C729" s="16" t="str">
        <f>IF(PersonId&lt;&gt;"",_xll.mdValue("Resident Last Name",_xlnm.Database,$A$8),"")</f>
        <v/>
      </c>
      <c r="D729" s="16" t="str">
        <f>IF(PersonId&lt;&gt;"",_xll.mdValue("Person Accomodation Code",_xlnm.Database,$A729),"")</f>
        <v/>
      </c>
      <c r="E729" s="28" t="str">
        <f t="shared" si="22"/>
        <v/>
      </c>
      <c r="F729" s="16" t="str">
        <f>IF('Paste Here'!$A723&lt;&gt;"",'Paste Here'!$A723,"")</f>
        <v/>
      </c>
      <c r="G729" s="16" t="str">
        <f>IF('Paste Here'!$B723&lt;&gt;"",'Paste Here'!$B723,"")</f>
        <v/>
      </c>
      <c r="H729" s="16" t="str">
        <f>IF('Paste Here'!$C723&lt;&gt;"",'Paste Here'!$C723,"")</f>
        <v/>
      </c>
      <c r="I729" s="25" t="str">
        <f>IF('Paste Here'!$D723&lt;&gt;"",'Paste Here'!$D723,"")</f>
        <v/>
      </c>
      <c r="J729" s="27" t="str">
        <f>IF('Paste Here'!$E723&lt;&gt;"",'Paste Here'!$E723,"")</f>
        <v/>
      </c>
      <c r="K729" s="16" t="str">
        <f>IF('Paste Here'!$F723&lt;&gt;"",'Paste Here'!$F723,"")</f>
        <v/>
      </c>
      <c r="L729" s="16" t="str">
        <f>IF('Paste Here'!$G723&lt;&gt;"",'Paste Here'!$G723,"")</f>
        <v/>
      </c>
      <c r="M729" s="18" t="str">
        <f t="shared" si="23"/>
        <v/>
      </c>
    </row>
    <row r="730" spans="1:13" s="17" customFormat="1" x14ac:dyDescent="0.25">
      <c r="A730" s="16" t="str">
        <f>IF(URN&lt;&gt;"",_xll.mdValue("Resident",_xlnm.Database,$F730),"")</f>
        <v/>
      </c>
      <c r="B730" s="16" t="str">
        <f>IF(PersonId&lt;&gt;"",_xll.mdValue("Resident First Name",_xlnm.Database,$A$8),"")</f>
        <v/>
      </c>
      <c r="C730" s="16" t="str">
        <f>IF(PersonId&lt;&gt;"",_xll.mdValue("Resident Last Name",_xlnm.Database,$A$8),"")</f>
        <v/>
      </c>
      <c r="D730" s="16" t="str">
        <f>IF(PersonId&lt;&gt;"",_xll.mdValue("Person Accomodation Code",_xlnm.Database,$A730),"")</f>
        <v/>
      </c>
      <c r="E730" s="28" t="str">
        <f t="shared" si="22"/>
        <v/>
      </c>
      <c r="F730" s="16" t="str">
        <f>IF('Paste Here'!$A724&lt;&gt;"",'Paste Here'!$A724,"")</f>
        <v/>
      </c>
      <c r="G730" s="16" t="str">
        <f>IF('Paste Here'!$B724&lt;&gt;"",'Paste Here'!$B724,"")</f>
        <v/>
      </c>
      <c r="H730" s="16" t="str">
        <f>IF('Paste Here'!$C724&lt;&gt;"",'Paste Here'!$C724,"")</f>
        <v/>
      </c>
      <c r="I730" s="25" t="str">
        <f>IF('Paste Here'!$D724&lt;&gt;"",'Paste Here'!$D724,"")</f>
        <v/>
      </c>
      <c r="J730" s="27" t="str">
        <f>IF('Paste Here'!$E724&lt;&gt;"",'Paste Here'!$E724,"")</f>
        <v/>
      </c>
      <c r="K730" s="16" t="str">
        <f>IF('Paste Here'!$F724&lt;&gt;"",'Paste Here'!$F724,"")</f>
        <v/>
      </c>
      <c r="L730" s="16" t="str">
        <f>IF('Paste Here'!$G724&lt;&gt;"",'Paste Here'!$G724,"")</f>
        <v/>
      </c>
      <c r="M730" s="18" t="str">
        <f t="shared" si="23"/>
        <v/>
      </c>
    </row>
    <row r="731" spans="1:13" s="17" customFormat="1" x14ac:dyDescent="0.25">
      <c r="A731" s="16" t="str">
        <f>IF(URN&lt;&gt;"",_xll.mdValue("Resident",_xlnm.Database,$F731),"")</f>
        <v/>
      </c>
      <c r="B731" s="16" t="str">
        <f>IF(PersonId&lt;&gt;"",_xll.mdValue("Resident First Name",_xlnm.Database,$A$8),"")</f>
        <v/>
      </c>
      <c r="C731" s="16" t="str">
        <f>IF(PersonId&lt;&gt;"",_xll.mdValue("Resident Last Name",_xlnm.Database,$A$8),"")</f>
        <v/>
      </c>
      <c r="D731" s="16" t="str">
        <f>IF(PersonId&lt;&gt;"",_xll.mdValue("Person Accomodation Code",_xlnm.Database,$A731),"")</f>
        <v/>
      </c>
      <c r="E731" s="28" t="str">
        <f t="shared" si="22"/>
        <v/>
      </c>
      <c r="F731" s="16" t="str">
        <f>IF('Paste Here'!$A725&lt;&gt;"",'Paste Here'!$A725,"")</f>
        <v/>
      </c>
      <c r="G731" s="16" t="str">
        <f>IF('Paste Here'!$B725&lt;&gt;"",'Paste Here'!$B725,"")</f>
        <v/>
      </c>
      <c r="H731" s="16" t="str">
        <f>IF('Paste Here'!$C725&lt;&gt;"",'Paste Here'!$C725,"")</f>
        <v/>
      </c>
      <c r="I731" s="25" t="str">
        <f>IF('Paste Here'!$D725&lt;&gt;"",'Paste Here'!$D725,"")</f>
        <v/>
      </c>
      <c r="J731" s="27" t="str">
        <f>IF('Paste Here'!$E725&lt;&gt;"",'Paste Here'!$E725,"")</f>
        <v/>
      </c>
      <c r="K731" s="16" t="str">
        <f>IF('Paste Here'!$F725&lt;&gt;"",'Paste Here'!$F725,"")</f>
        <v/>
      </c>
      <c r="L731" s="16" t="str">
        <f>IF('Paste Here'!$G725&lt;&gt;"",'Paste Here'!$G725,"")</f>
        <v/>
      </c>
      <c r="M731" s="18" t="str">
        <f t="shared" si="23"/>
        <v/>
      </c>
    </row>
    <row r="732" spans="1:13" s="17" customFormat="1" x14ac:dyDescent="0.25">
      <c r="A732" s="16" t="str">
        <f>IF(URN&lt;&gt;"",_xll.mdValue("Resident",_xlnm.Database,$F732),"")</f>
        <v/>
      </c>
      <c r="B732" s="16" t="str">
        <f>IF(PersonId&lt;&gt;"",_xll.mdValue("Resident First Name",_xlnm.Database,$A$8),"")</f>
        <v/>
      </c>
      <c r="C732" s="16" t="str">
        <f>IF(PersonId&lt;&gt;"",_xll.mdValue("Resident Last Name",_xlnm.Database,$A$8),"")</f>
        <v/>
      </c>
      <c r="D732" s="16" t="str">
        <f>IF(PersonId&lt;&gt;"",_xll.mdValue("Person Accomodation Code",_xlnm.Database,$A732),"")</f>
        <v/>
      </c>
      <c r="E732" s="28" t="str">
        <f t="shared" si="22"/>
        <v/>
      </c>
      <c r="F732" s="16" t="str">
        <f>IF('Paste Here'!$A726&lt;&gt;"",'Paste Here'!$A726,"")</f>
        <v/>
      </c>
      <c r="G732" s="16" t="str">
        <f>IF('Paste Here'!$B726&lt;&gt;"",'Paste Here'!$B726,"")</f>
        <v/>
      </c>
      <c r="H732" s="16" t="str">
        <f>IF('Paste Here'!$C726&lt;&gt;"",'Paste Here'!$C726,"")</f>
        <v/>
      </c>
      <c r="I732" s="25" t="str">
        <f>IF('Paste Here'!$D726&lt;&gt;"",'Paste Here'!$D726,"")</f>
        <v/>
      </c>
      <c r="J732" s="27" t="str">
        <f>IF('Paste Here'!$E726&lt;&gt;"",'Paste Here'!$E726,"")</f>
        <v/>
      </c>
      <c r="K732" s="16" t="str">
        <f>IF('Paste Here'!$F726&lt;&gt;"",'Paste Here'!$F726,"")</f>
        <v/>
      </c>
      <c r="L732" s="16" t="str">
        <f>IF('Paste Here'!$G726&lt;&gt;"",'Paste Here'!$G726,"")</f>
        <v/>
      </c>
      <c r="M732" s="18" t="str">
        <f t="shared" si="23"/>
        <v/>
      </c>
    </row>
    <row r="733" spans="1:13" s="17" customFormat="1" x14ac:dyDescent="0.25">
      <c r="A733" s="16" t="str">
        <f>IF(URN&lt;&gt;"",_xll.mdValue("Resident",_xlnm.Database,$F733),"")</f>
        <v/>
      </c>
      <c r="B733" s="16" t="str">
        <f>IF(PersonId&lt;&gt;"",_xll.mdValue("Resident First Name",_xlnm.Database,$A$8),"")</f>
        <v/>
      </c>
      <c r="C733" s="16" t="str">
        <f>IF(PersonId&lt;&gt;"",_xll.mdValue("Resident Last Name",_xlnm.Database,$A$8),"")</f>
        <v/>
      </c>
      <c r="D733" s="16" t="str">
        <f>IF(PersonId&lt;&gt;"",_xll.mdValue("Person Accomodation Code",_xlnm.Database,$A733),"")</f>
        <v/>
      </c>
      <c r="E733" s="28" t="str">
        <f t="shared" si="22"/>
        <v/>
      </c>
      <c r="F733" s="16" t="str">
        <f>IF('Paste Here'!$A727&lt;&gt;"",'Paste Here'!$A727,"")</f>
        <v/>
      </c>
      <c r="G733" s="16" t="str">
        <f>IF('Paste Here'!$B727&lt;&gt;"",'Paste Here'!$B727,"")</f>
        <v/>
      </c>
      <c r="H733" s="16" t="str">
        <f>IF('Paste Here'!$C727&lt;&gt;"",'Paste Here'!$C727,"")</f>
        <v/>
      </c>
      <c r="I733" s="25" t="str">
        <f>IF('Paste Here'!$D727&lt;&gt;"",'Paste Here'!$D727,"")</f>
        <v/>
      </c>
      <c r="J733" s="27" t="str">
        <f>IF('Paste Here'!$E727&lt;&gt;"",'Paste Here'!$E727,"")</f>
        <v/>
      </c>
      <c r="K733" s="16" t="str">
        <f>IF('Paste Here'!$F727&lt;&gt;"",'Paste Here'!$F727,"")</f>
        <v/>
      </c>
      <c r="L733" s="16" t="str">
        <f>IF('Paste Here'!$G727&lt;&gt;"",'Paste Here'!$G727,"")</f>
        <v/>
      </c>
      <c r="M733" s="18" t="str">
        <f t="shared" si="23"/>
        <v/>
      </c>
    </row>
    <row r="734" spans="1:13" s="17" customFormat="1" x14ac:dyDescent="0.25">
      <c r="A734" s="16" t="str">
        <f>IF(URN&lt;&gt;"",_xll.mdValue("Resident",_xlnm.Database,$F734),"")</f>
        <v/>
      </c>
      <c r="B734" s="16" t="str">
        <f>IF(PersonId&lt;&gt;"",_xll.mdValue("Resident First Name",_xlnm.Database,$A$8),"")</f>
        <v/>
      </c>
      <c r="C734" s="16" t="str">
        <f>IF(PersonId&lt;&gt;"",_xll.mdValue("Resident Last Name",_xlnm.Database,$A$8),"")</f>
        <v/>
      </c>
      <c r="D734" s="16" t="str">
        <f>IF(PersonId&lt;&gt;"",_xll.mdValue("Person Accomodation Code",_xlnm.Database,$A734),"")</f>
        <v/>
      </c>
      <c r="E734" s="28" t="str">
        <f t="shared" si="22"/>
        <v/>
      </c>
      <c r="F734" s="16" t="str">
        <f>IF('Paste Here'!$A728&lt;&gt;"",'Paste Here'!$A728,"")</f>
        <v/>
      </c>
      <c r="G734" s="16" t="str">
        <f>IF('Paste Here'!$B728&lt;&gt;"",'Paste Here'!$B728,"")</f>
        <v/>
      </c>
      <c r="H734" s="16" t="str">
        <f>IF('Paste Here'!$C728&lt;&gt;"",'Paste Here'!$C728,"")</f>
        <v/>
      </c>
      <c r="I734" s="25" t="str">
        <f>IF('Paste Here'!$D728&lt;&gt;"",'Paste Here'!$D728,"")</f>
        <v/>
      </c>
      <c r="J734" s="27" t="str">
        <f>IF('Paste Here'!$E728&lt;&gt;"",'Paste Here'!$E728,"")</f>
        <v/>
      </c>
      <c r="K734" s="16" t="str">
        <f>IF('Paste Here'!$F728&lt;&gt;"",'Paste Here'!$F728,"")</f>
        <v/>
      </c>
      <c r="L734" s="16" t="str">
        <f>IF('Paste Here'!$G728&lt;&gt;"",'Paste Here'!$G728,"")</f>
        <v/>
      </c>
      <c r="M734" s="18" t="str">
        <f t="shared" si="23"/>
        <v/>
      </c>
    </row>
    <row r="735" spans="1:13" s="17" customFormat="1" x14ac:dyDescent="0.25">
      <c r="A735" s="16" t="str">
        <f>IF(URN&lt;&gt;"",_xll.mdValue("Resident",_xlnm.Database,$F735),"")</f>
        <v/>
      </c>
      <c r="B735" s="16" t="str">
        <f>IF(PersonId&lt;&gt;"",_xll.mdValue("Resident First Name",_xlnm.Database,$A$8),"")</f>
        <v/>
      </c>
      <c r="C735" s="16" t="str">
        <f>IF(PersonId&lt;&gt;"",_xll.mdValue("Resident Last Name",_xlnm.Database,$A$8),"")</f>
        <v/>
      </c>
      <c r="D735" s="16" t="str">
        <f>IF(PersonId&lt;&gt;"",_xll.mdValue("Person Accomodation Code",_xlnm.Database,$A735),"")</f>
        <v/>
      </c>
      <c r="E735" s="28" t="str">
        <f t="shared" si="22"/>
        <v/>
      </c>
      <c r="F735" s="16" t="str">
        <f>IF('Paste Here'!$A729&lt;&gt;"",'Paste Here'!$A729,"")</f>
        <v/>
      </c>
      <c r="G735" s="16" t="str">
        <f>IF('Paste Here'!$B729&lt;&gt;"",'Paste Here'!$B729,"")</f>
        <v/>
      </c>
      <c r="H735" s="16" t="str">
        <f>IF('Paste Here'!$C729&lt;&gt;"",'Paste Here'!$C729,"")</f>
        <v/>
      </c>
      <c r="I735" s="25" t="str">
        <f>IF('Paste Here'!$D729&lt;&gt;"",'Paste Here'!$D729,"")</f>
        <v/>
      </c>
      <c r="J735" s="27" t="str">
        <f>IF('Paste Here'!$E729&lt;&gt;"",'Paste Here'!$E729,"")</f>
        <v/>
      </c>
      <c r="K735" s="16" t="str">
        <f>IF('Paste Here'!$F729&lt;&gt;"",'Paste Here'!$F729,"")</f>
        <v/>
      </c>
      <c r="L735" s="16" t="str">
        <f>IF('Paste Here'!$G729&lt;&gt;"",'Paste Here'!$G729,"")</f>
        <v/>
      </c>
      <c r="M735" s="18" t="str">
        <f t="shared" si="23"/>
        <v/>
      </c>
    </row>
    <row r="736" spans="1:13" s="17" customFormat="1" x14ac:dyDescent="0.25">
      <c r="A736" s="16" t="str">
        <f>IF(URN&lt;&gt;"",_xll.mdValue("Resident",_xlnm.Database,$F736),"")</f>
        <v/>
      </c>
      <c r="B736" s="16" t="str">
        <f>IF(PersonId&lt;&gt;"",_xll.mdValue("Resident First Name",_xlnm.Database,$A$8),"")</f>
        <v/>
      </c>
      <c r="C736" s="16" t="str">
        <f>IF(PersonId&lt;&gt;"",_xll.mdValue("Resident Last Name",_xlnm.Database,$A$8),"")</f>
        <v/>
      </c>
      <c r="D736" s="16" t="str">
        <f>IF(PersonId&lt;&gt;"",_xll.mdValue("Person Accomodation Code",_xlnm.Database,$A736),"")</f>
        <v/>
      </c>
      <c r="E736" s="28" t="str">
        <f t="shared" si="22"/>
        <v/>
      </c>
      <c r="F736" s="16" t="str">
        <f>IF('Paste Here'!$A730&lt;&gt;"",'Paste Here'!$A730,"")</f>
        <v/>
      </c>
      <c r="G736" s="16" t="str">
        <f>IF('Paste Here'!$B730&lt;&gt;"",'Paste Here'!$B730,"")</f>
        <v/>
      </c>
      <c r="H736" s="16" t="str">
        <f>IF('Paste Here'!$C730&lt;&gt;"",'Paste Here'!$C730,"")</f>
        <v/>
      </c>
      <c r="I736" s="25" t="str">
        <f>IF('Paste Here'!$D730&lt;&gt;"",'Paste Here'!$D730,"")</f>
        <v/>
      </c>
      <c r="J736" s="27" t="str">
        <f>IF('Paste Here'!$E730&lt;&gt;"",'Paste Here'!$E730,"")</f>
        <v/>
      </c>
      <c r="K736" s="16" t="str">
        <f>IF('Paste Here'!$F730&lt;&gt;"",'Paste Here'!$F730,"")</f>
        <v/>
      </c>
      <c r="L736" s="16" t="str">
        <f>IF('Paste Here'!$G730&lt;&gt;"",'Paste Here'!$G730,"")</f>
        <v/>
      </c>
      <c r="M736" s="18" t="str">
        <f t="shared" si="23"/>
        <v/>
      </c>
    </row>
    <row r="737" spans="1:13" s="17" customFormat="1" x14ac:dyDescent="0.25">
      <c r="A737" s="16" t="str">
        <f>IF(URN&lt;&gt;"",_xll.mdValue("Resident",_xlnm.Database,$F737),"")</f>
        <v/>
      </c>
      <c r="B737" s="16" t="str">
        <f>IF(PersonId&lt;&gt;"",_xll.mdValue("Resident First Name",_xlnm.Database,$A$8),"")</f>
        <v/>
      </c>
      <c r="C737" s="16" t="str">
        <f>IF(PersonId&lt;&gt;"",_xll.mdValue("Resident Last Name",_xlnm.Database,$A$8),"")</f>
        <v/>
      </c>
      <c r="D737" s="16" t="str">
        <f>IF(PersonId&lt;&gt;"",_xll.mdValue("Person Accomodation Code",_xlnm.Database,$A737),"")</f>
        <v/>
      </c>
      <c r="E737" s="28" t="str">
        <f t="shared" si="22"/>
        <v/>
      </c>
      <c r="F737" s="16" t="str">
        <f>IF('Paste Here'!$A731&lt;&gt;"",'Paste Here'!$A731,"")</f>
        <v/>
      </c>
      <c r="G737" s="16" t="str">
        <f>IF('Paste Here'!$B731&lt;&gt;"",'Paste Here'!$B731,"")</f>
        <v/>
      </c>
      <c r="H737" s="16" t="str">
        <f>IF('Paste Here'!$C731&lt;&gt;"",'Paste Here'!$C731,"")</f>
        <v/>
      </c>
      <c r="I737" s="25" t="str">
        <f>IF('Paste Here'!$D731&lt;&gt;"",'Paste Here'!$D731,"")</f>
        <v/>
      </c>
      <c r="J737" s="27" t="str">
        <f>IF('Paste Here'!$E731&lt;&gt;"",'Paste Here'!$E731,"")</f>
        <v/>
      </c>
      <c r="K737" s="16" t="str">
        <f>IF('Paste Here'!$F731&lt;&gt;"",'Paste Here'!$F731,"")</f>
        <v/>
      </c>
      <c r="L737" s="16" t="str">
        <f>IF('Paste Here'!$G731&lt;&gt;"",'Paste Here'!$G731,"")</f>
        <v/>
      </c>
      <c r="M737" s="18" t="str">
        <f t="shared" si="23"/>
        <v/>
      </c>
    </row>
    <row r="738" spans="1:13" s="17" customFormat="1" x14ac:dyDescent="0.25">
      <c r="A738" s="16" t="str">
        <f>IF(URN&lt;&gt;"",_xll.mdValue("Resident",_xlnm.Database,$F738),"")</f>
        <v/>
      </c>
      <c r="B738" s="16" t="str">
        <f>IF(PersonId&lt;&gt;"",_xll.mdValue("Resident First Name",_xlnm.Database,$A$8),"")</f>
        <v/>
      </c>
      <c r="C738" s="16" t="str">
        <f>IF(PersonId&lt;&gt;"",_xll.mdValue("Resident Last Name",_xlnm.Database,$A$8),"")</f>
        <v/>
      </c>
      <c r="D738" s="16" t="str">
        <f>IF(PersonId&lt;&gt;"",_xll.mdValue("Person Accomodation Code",_xlnm.Database,$A738),"")</f>
        <v/>
      </c>
      <c r="E738" s="28" t="str">
        <f t="shared" si="22"/>
        <v/>
      </c>
      <c r="F738" s="16" t="str">
        <f>IF('Paste Here'!$A732&lt;&gt;"",'Paste Here'!$A732,"")</f>
        <v/>
      </c>
      <c r="G738" s="16" t="str">
        <f>IF('Paste Here'!$B732&lt;&gt;"",'Paste Here'!$B732,"")</f>
        <v/>
      </c>
      <c r="H738" s="16" t="str">
        <f>IF('Paste Here'!$C732&lt;&gt;"",'Paste Here'!$C732,"")</f>
        <v/>
      </c>
      <c r="I738" s="25" t="str">
        <f>IF('Paste Here'!$D732&lt;&gt;"",'Paste Here'!$D732,"")</f>
        <v/>
      </c>
      <c r="J738" s="27" t="str">
        <f>IF('Paste Here'!$E732&lt;&gt;"",'Paste Here'!$E732,"")</f>
        <v/>
      </c>
      <c r="K738" s="16" t="str">
        <f>IF('Paste Here'!$F732&lt;&gt;"",'Paste Here'!$F732,"")</f>
        <v/>
      </c>
      <c r="L738" s="16" t="str">
        <f>IF('Paste Here'!$G732&lt;&gt;"",'Paste Here'!$G732,"")</f>
        <v/>
      </c>
      <c r="M738" s="18" t="str">
        <f t="shared" si="23"/>
        <v/>
      </c>
    </row>
    <row r="739" spans="1:13" s="17" customFormat="1" x14ac:dyDescent="0.25">
      <c r="A739" s="16" t="str">
        <f>IF(URN&lt;&gt;"",_xll.mdValue("Resident",_xlnm.Database,$F739),"")</f>
        <v/>
      </c>
      <c r="B739" s="16" t="str">
        <f>IF(PersonId&lt;&gt;"",_xll.mdValue("Resident First Name",_xlnm.Database,$A$8),"")</f>
        <v/>
      </c>
      <c r="C739" s="16" t="str">
        <f>IF(PersonId&lt;&gt;"",_xll.mdValue("Resident Last Name",_xlnm.Database,$A$8),"")</f>
        <v/>
      </c>
      <c r="D739" s="16" t="str">
        <f>IF(PersonId&lt;&gt;"",_xll.mdValue("Person Accomodation Code",_xlnm.Database,$A739),"")</f>
        <v/>
      </c>
      <c r="E739" s="28" t="str">
        <f t="shared" si="22"/>
        <v/>
      </c>
      <c r="F739" s="16" t="str">
        <f>IF('Paste Here'!$A733&lt;&gt;"",'Paste Here'!$A733,"")</f>
        <v/>
      </c>
      <c r="G739" s="16" t="str">
        <f>IF('Paste Here'!$B733&lt;&gt;"",'Paste Here'!$B733,"")</f>
        <v/>
      </c>
      <c r="H739" s="16" t="str">
        <f>IF('Paste Here'!$C733&lt;&gt;"",'Paste Here'!$C733,"")</f>
        <v/>
      </c>
      <c r="I739" s="25" t="str">
        <f>IF('Paste Here'!$D733&lt;&gt;"",'Paste Here'!$D733,"")</f>
        <v/>
      </c>
      <c r="J739" s="27" t="str">
        <f>IF('Paste Here'!$E733&lt;&gt;"",'Paste Here'!$E733,"")</f>
        <v/>
      </c>
      <c r="K739" s="16" t="str">
        <f>IF('Paste Here'!$F733&lt;&gt;"",'Paste Here'!$F733,"")</f>
        <v/>
      </c>
      <c r="L739" s="16" t="str">
        <f>IF('Paste Here'!$G733&lt;&gt;"",'Paste Here'!$G733,"")</f>
        <v/>
      </c>
      <c r="M739" s="18" t="str">
        <f t="shared" si="23"/>
        <v/>
      </c>
    </row>
    <row r="740" spans="1:13" s="17" customFormat="1" x14ac:dyDescent="0.25">
      <c r="A740" s="16" t="str">
        <f>IF(URN&lt;&gt;"",_xll.mdValue("Resident",_xlnm.Database,$F740),"")</f>
        <v/>
      </c>
      <c r="B740" s="16" t="str">
        <f>IF(PersonId&lt;&gt;"",_xll.mdValue("Resident First Name",_xlnm.Database,$A$8),"")</f>
        <v/>
      </c>
      <c r="C740" s="16" t="str">
        <f>IF(PersonId&lt;&gt;"",_xll.mdValue("Resident Last Name",_xlnm.Database,$A$8),"")</f>
        <v/>
      </c>
      <c r="D740" s="16" t="str">
        <f>IF(PersonId&lt;&gt;"",_xll.mdValue("Person Accomodation Code",_xlnm.Database,$A740),"")</f>
        <v/>
      </c>
      <c r="E740" s="28" t="str">
        <f t="shared" si="22"/>
        <v/>
      </c>
      <c r="F740" s="16" t="str">
        <f>IF('Paste Here'!$A734&lt;&gt;"",'Paste Here'!$A734,"")</f>
        <v/>
      </c>
      <c r="G740" s="16" t="str">
        <f>IF('Paste Here'!$B734&lt;&gt;"",'Paste Here'!$B734,"")</f>
        <v/>
      </c>
      <c r="H740" s="16" t="str">
        <f>IF('Paste Here'!$C734&lt;&gt;"",'Paste Here'!$C734,"")</f>
        <v/>
      </c>
      <c r="I740" s="25" t="str">
        <f>IF('Paste Here'!$D734&lt;&gt;"",'Paste Here'!$D734,"")</f>
        <v/>
      </c>
      <c r="J740" s="27" t="str">
        <f>IF('Paste Here'!$E734&lt;&gt;"",'Paste Here'!$E734,"")</f>
        <v/>
      </c>
      <c r="K740" s="16" t="str">
        <f>IF('Paste Here'!$F734&lt;&gt;"",'Paste Here'!$F734,"")</f>
        <v/>
      </c>
      <c r="L740" s="16" t="str">
        <f>IF('Paste Here'!$G734&lt;&gt;"",'Paste Here'!$G734,"")</f>
        <v/>
      </c>
      <c r="M740" s="18" t="str">
        <f t="shared" si="23"/>
        <v/>
      </c>
    </row>
    <row r="741" spans="1:13" s="17" customFormat="1" x14ac:dyDescent="0.25">
      <c r="A741" s="16" t="str">
        <f>IF(URN&lt;&gt;"",_xll.mdValue("Resident",_xlnm.Database,$F741),"")</f>
        <v/>
      </c>
      <c r="B741" s="16" t="str">
        <f>IF(PersonId&lt;&gt;"",_xll.mdValue("Resident First Name",_xlnm.Database,$A$8),"")</f>
        <v/>
      </c>
      <c r="C741" s="16" t="str">
        <f>IF(PersonId&lt;&gt;"",_xll.mdValue("Resident Last Name",_xlnm.Database,$A$8),"")</f>
        <v/>
      </c>
      <c r="D741" s="16" t="str">
        <f>IF(PersonId&lt;&gt;"",_xll.mdValue("Person Accomodation Code",_xlnm.Database,$A741),"")</f>
        <v/>
      </c>
      <c r="E741" s="28" t="str">
        <f t="shared" si="22"/>
        <v/>
      </c>
      <c r="F741" s="16" t="str">
        <f>IF('Paste Here'!$A735&lt;&gt;"",'Paste Here'!$A735,"")</f>
        <v/>
      </c>
      <c r="G741" s="16" t="str">
        <f>IF('Paste Here'!$B735&lt;&gt;"",'Paste Here'!$B735,"")</f>
        <v/>
      </c>
      <c r="H741" s="16" t="str">
        <f>IF('Paste Here'!$C735&lt;&gt;"",'Paste Here'!$C735,"")</f>
        <v/>
      </c>
      <c r="I741" s="25" t="str">
        <f>IF('Paste Here'!$D735&lt;&gt;"",'Paste Here'!$D735,"")</f>
        <v/>
      </c>
      <c r="J741" s="27" t="str">
        <f>IF('Paste Here'!$E735&lt;&gt;"",'Paste Here'!$E735,"")</f>
        <v/>
      </c>
      <c r="K741" s="16" t="str">
        <f>IF('Paste Here'!$F735&lt;&gt;"",'Paste Here'!$F735,"")</f>
        <v/>
      </c>
      <c r="L741" s="16" t="str">
        <f>IF('Paste Here'!$G735&lt;&gt;"",'Paste Here'!$G735,"")</f>
        <v/>
      </c>
      <c r="M741" s="18" t="str">
        <f t="shared" si="23"/>
        <v/>
      </c>
    </row>
    <row r="742" spans="1:13" s="17" customFormat="1" x14ac:dyDescent="0.25">
      <c r="A742" s="16" t="str">
        <f>IF(URN&lt;&gt;"",_xll.mdValue("Resident",_xlnm.Database,$F742),"")</f>
        <v/>
      </c>
      <c r="B742" s="16" t="str">
        <f>IF(PersonId&lt;&gt;"",_xll.mdValue("Resident First Name",_xlnm.Database,$A$8),"")</f>
        <v/>
      </c>
      <c r="C742" s="16" t="str">
        <f>IF(PersonId&lt;&gt;"",_xll.mdValue("Resident Last Name",_xlnm.Database,$A$8),"")</f>
        <v/>
      </c>
      <c r="D742" s="16" t="str">
        <f>IF(PersonId&lt;&gt;"",_xll.mdValue("Person Accomodation Code",_xlnm.Database,$A742),"")</f>
        <v/>
      </c>
      <c r="E742" s="28" t="str">
        <f t="shared" si="22"/>
        <v/>
      </c>
      <c r="F742" s="16" t="str">
        <f>IF('Paste Here'!$A736&lt;&gt;"",'Paste Here'!$A736,"")</f>
        <v/>
      </c>
      <c r="G742" s="16" t="str">
        <f>IF('Paste Here'!$B736&lt;&gt;"",'Paste Here'!$B736,"")</f>
        <v/>
      </c>
      <c r="H742" s="16" t="str">
        <f>IF('Paste Here'!$C736&lt;&gt;"",'Paste Here'!$C736,"")</f>
        <v/>
      </c>
      <c r="I742" s="25" t="str">
        <f>IF('Paste Here'!$D736&lt;&gt;"",'Paste Here'!$D736,"")</f>
        <v/>
      </c>
      <c r="J742" s="27" t="str">
        <f>IF('Paste Here'!$E736&lt;&gt;"",'Paste Here'!$E736,"")</f>
        <v/>
      </c>
      <c r="K742" s="16" t="str">
        <f>IF('Paste Here'!$F736&lt;&gt;"",'Paste Here'!$F736,"")</f>
        <v/>
      </c>
      <c r="L742" s="16" t="str">
        <f>IF('Paste Here'!$G736&lt;&gt;"",'Paste Here'!$G736,"")</f>
        <v/>
      </c>
      <c r="M742" s="18" t="str">
        <f t="shared" si="23"/>
        <v/>
      </c>
    </row>
    <row r="743" spans="1:13" s="17" customFormat="1" x14ac:dyDescent="0.25">
      <c r="A743" s="16" t="str">
        <f>IF(URN&lt;&gt;"",_xll.mdValue("Resident",_xlnm.Database,$F743),"")</f>
        <v/>
      </c>
      <c r="B743" s="16" t="str">
        <f>IF(PersonId&lt;&gt;"",_xll.mdValue("Resident First Name",_xlnm.Database,$A$8),"")</f>
        <v/>
      </c>
      <c r="C743" s="16" t="str">
        <f>IF(PersonId&lt;&gt;"",_xll.mdValue("Resident Last Name",_xlnm.Database,$A$8),"")</f>
        <v/>
      </c>
      <c r="D743" s="16" t="str">
        <f>IF(PersonId&lt;&gt;"",_xll.mdValue("Person Accomodation Code",_xlnm.Database,$A743),"")</f>
        <v/>
      </c>
      <c r="E743" s="28" t="str">
        <f t="shared" si="22"/>
        <v/>
      </c>
      <c r="F743" s="16" t="str">
        <f>IF('Paste Here'!$A737&lt;&gt;"",'Paste Here'!$A737,"")</f>
        <v/>
      </c>
      <c r="G743" s="16" t="str">
        <f>IF('Paste Here'!$B737&lt;&gt;"",'Paste Here'!$B737,"")</f>
        <v/>
      </c>
      <c r="H743" s="16" t="str">
        <f>IF('Paste Here'!$C737&lt;&gt;"",'Paste Here'!$C737,"")</f>
        <v/>
      </c>
      <c r="I743" s="25" t="str">
        <f>IF('Paste Here'!$D737&lt;&gt;"",'Paste Here'!$D737,"")</f>
        <v/>
      </c>
      <c r="J743" s="27" t="str">
        <f>IF('Paste Here'!$E737&lt;&gt;"",'Paste Here'!$E737,"")</f>
        <v/>
      </c>
      <c r="K743" s="16" t="str">
        <f>IF('Paste Here'!$F737&lt;&gt;"",'Paste Here'!$F737,"")</f>
        <v/>
      </c>
      <c r="L743" s="16" t="str">
        <f>IF('Paste Here'!$G737&lt;&gt;"",'Paste Here'!$G737,"")</f>
        <v/>
      </c>
      <c r="M743" s="18" t="str">
        <f t="shared" si="23"/>
        <v/>
      </c>
    </row>
    <row r="744" spans="1:13" s="17" customFormat="1" x14ac:dyDescent="0.25">
      <c r="A744" s="16" t="str">
        <f>IF(URN&lt;&gt;"",_xll.mdValue("Resident",_xlnm.Database,$F744),"")</f>
        <v/>
      </c>
      <c r="B744" s="16" t="str">
        <f>IF(PersonId&lt;&gt;"",_xll.mdValue("Resident First Name",_xlnm.Database,$A$8),"")</f>
        <v/>
      </c>
      <c r="C744" s="16" t="str">
        <f>IF(PersonId&lt;&gt;"",_xll.mdValue("Resident Last Name",_xlnm.Database,$A$8),"")</f>
        <v/>
      </c>
      <c r="D744" s="16" t="str">
        <f>IF(PersonId&lt;&gt;"",_xll.mdValue("Person Accomodation Code",_xlnm.Database,$A744),"")</f>
        <v/>
      </c>
      <c r="E744" s="28" t="str">
        <f t="shared" si="22"/>
        <v/>
      </c>
      <c r="F744" s="16" t="str">
        <f>IF('Paste Here'!$A738&lt;&gt;"",'Paste Here'!$A738,"")</f>
        <v/>
      </c>
      <c r="G744" s="16" t="str">
        <f>IF('Paste Here'!$B738&lt;&gt;"",'Paste Here'!$B738,"")</f>
        <v/>
      </c>
      <c r="H744" s="16" t="str">
        <f>IF('Paste Here'!$C738&lt;&gt;"",'Paste Here'!$C738,"")</f>
        <v/>
      </c>
      <c r="I744" s="25" t="str">
        <f>IF('Paste Here'!$D738&lt;&gt;"",'Paste Here'!$D738,"")</f>
        <v/>
      </c>
      <c r="J744" s="27" t="str">
        <f>IF('Paste Here'!$E738&lt;&gt;"",'Paste Here'!$E738,"")</f>
        <v/>
      </c>
      <c r="K744" s="16" t="str">
        <f>IF('Paste Here'!$F738&lt;&gt;"",'Paste Here'!$F738,"")</f>
        <v/>
      </c>
      <c r="L744" s="16" t="str">
        <f>IF('Paste Here'!$G738&lt;&gt;"",'Paste Here'!$G738,"")</f>
        <v/>
      </c>
      <c r="M744" s="18" t="str">
        <f t="shared" si="23"/>
        <v/>
      </c>
    </row>
    <row r="745" spans="1:13" s="17" customFormat="1" x14ac:dyDescent="0.25">
      <c r="A745" s="16" t="str">
        <f>IF(URN&lt;&gt;"",_xll.mdValue("Resident",_xlnm.Database,$F745),"")</f>
        <v/>
      </c>
      <c r="B745" s="16" t="str">
        <f>IF(PersonId&lt;&gt;"",_xll.mdValue("Resident First Name",_xlnm.Database,$A$8),"")</f>
        <v/>
      </c>
      <c r="C745" s="16" t="str">
        <f>IF(PersonId&lt;&gt;"",_xll.mdValue("Resident Last Name",_xlnm.Database,$A$8),"")</f>
        <v/>
      </c>
      <c r="D745" s="16" t="str">
        <f>IF(PersonId&lt;&gt;"",_xll.mdValue("Person Accomodation Code",_xlnm.Database,$A745),"")</f>
        <v/>
      </c>
      <c r="E745" s="28" t="str">
        <f t="shared" si="22"/>
        <v/>
      </c>
      <c r="F745" s="16" t="str">
        <f>IF('Paste Here'!$A739&lt;&gt;"",'Paste Here'!$A739,"")</f>
        <v/>
      </c>
      <c r="G745" s="16" t="str">
        <f>IF('Paste Here'!$B739&lt;&gt;"",'Paste Here'!$B739,"")</f>
        <v/>
      </c>
      <c r="H745" s="16" t="str">
        <f>IF('Paste Here'!$C739&lt;&gt;"",'Paste Here'!$C739,"")</f>
        <v/>
      </c>
      <c r="I745" s="25" t="str">
        <f>IF('Paste Here'!$D739&lt;&gt;"",'Paste Here'!$D739,"")</f>
        <v/>
      </c>
      <c r="J745" s="27" t="str">
        <f>IF('Paste Here'!$E739&lt;&gt;"",'Paste Here'!$E739,"")</f>
        <v/>
      </c>
      <c r="K745" s="16" t="str">
        <f>IF('Paste Here'!$F739&lt;&gt;"",'Paste Here'!$F739,"")</f>
        <v/>
      </c>
      <c r="L745" s="16" t="str">
        <f>IF('Paste Here'!$G739&lt;&gt;"",'Paste Here'!$G739,"")</f>
        <v/>
      </c>
      <c r="M745" s="18" t="str">
        <f t="shared" si="23"/>
        <v/>
      </c>
    </row>
    <row r="746" spans="1:13" s="17" customFormat="1" x14ac:dyDescent="0.25">
      <c r="A746" s="16" t="str">
        <f>IF(URN&lt;&gt;"",_xll.mdValue("Resident",_xlnm.Database,$F746),"")</f>
        <v/>
      </c>
      <c r="B746" s="16" t="str">
        <f>IF(PersonId&lt;&gt;"",_xll.mdValue("Resident First Name",_xlnm.Database,$A$8),"")</f>
        <v/>
      </c>
      <c r="C746" s="16" t="str">
        <f>IF(PersonId&lt;&gt;"",_xll.mdValue("Resident Last Name",_xlnm.Database,$A$8),"")</f>
        <v/>
      </c>
      <c r="D746" s="16" t="str">
        <f>IF(PersonId&lt;&gt;"",_xll.mdValue("Person Accomodation Code",_xlnm.Database,$A746),"")</f>
        <v/>
      </c>
      <c r="E746" s="28" t="str">
        <f t="shared" si="22"/>
        <v/>
      </c>
      <c r="F746" s="16" t="str">
        <f>IF('Paste Here'!$A740&lt;&gt;"",'Paste Here'!$A740,"")</f>
        <v/>
      </c>
      <c r="G746" s="16" t="str">
        <f>IF('Paste Here'!$B740&lt;&gt;"",'Paste Here'!$B740,"")</f>
        <v/>
      </c>
      <c r="H746" s="16" t="str">
        <f>IF('Paste Here'!$C740&lt;&gt;"",'Paste Here'!$C740,"")</f>
        <v/>
      </c>
      <c r="I746" s="25" t="str">
        <f>IF('Paste Here'!$D740&lt;&gt;"",'Paste Here'!$D740,"")</f>
        <v/>
      </c>
      <c r="J746" s="27" t="str">
        <f>IF('Paste Here'!$E740&lt;&gt;"",'Paste Here'!$E740,"")</f>
        <v/>
      </c>
      <c r="K746" s="16" t="str">
        <f>IF('Paste Here'!$F740&lt;&gt;"",'Paste Here'!$F740,"")</f>
        <v/>
      </c>
      <c r="L746" s="16" t="str">
        <f>IF('Paste Here'!$G740&lt;&gt;"",'Paste Here'!$G740,"")</f>
        <v/>
      </c>
      <c r="M746" s="18" t="str">
        <f t="shared" si="23"/>
        <v/>
      </c>
    </row>
    <row r="747" spans="1:13" s="17" customFormat="1" x14ac:dyDescent="0.25">
      <c r="A747" s="16" t="str">
        <f>IF(URN&lt;&gt;"",_xll.mdValue("Resident",_xlnm.Database,$F747),"")</f>
        <v/>
      </c>
      <c r="B747" s="16" t="str">
        <f>IF(PersonId&lt;&gt;"",_xll.mdValue("Resident First Name",_xlnm.Database,$A$8),"")</f>
        <v/>
      </c>
      <c r="C747" s="16" t="str">
        <f>IF(PersonId&lt;&gt;"",_xll.mdValue("Resident Last Name",_xlnm.Database,$A$8),"")</f>
        <v/>
      </c>
      <c r="D747" s="16" t="str">
        <f>IF(PersonId&lt;&gt;"",_xll.mdValue("Person Accomodation Code",_xlnm.Database,$A747),"")</f>
        <v/>
      </c>
      <c r="E747" s="28" t="str">
        <f t="shared" si="22"/>
        <v/>
      </c>
      <c r="F747" s="16" t="str">
        <f>IF('Paste Here'!$A741&lt;&gt;"",'Paste Here'!$A741,"")</f>
        <v/>
      </c>
      <c r="G747" s="16" t="str">
        <f>IF('Paste Here'!$B741&lt;&gt;"",'Paste Here'!$B741,"")</f>
        <v/>
      </c>
      <c r="H747" s="16" t="str">
        <f>IF('Paste Here'!$C741&lt;&gt;"",'Paste Here'!$C741,"")</f>
        <v/>
      </c>
      <c r="I747" s="25" t="str">
        <f>IF('Paste Here'!$D741&lt;&gt;"",'Paste Here'!$D741,"")</f>
        <v/>
      </c>
      <c r="J747" s="27" t="str">
        <f>IF('Paste Here'!$E741&lt;&gt;"",'Paste Here'!$E741,"")</f>
        <v/>
      </c>
      <c r="K747" s="16" t="str">
        <f>IF('Paste Here'!$F741&lt;&gt;"",'Paste Here'!$F741,"")</f>
        <v/>
      </c>
      <c r="L747" s="16" t="str">
        <f>IF('Paste Here'!$G741&lt;&gt;"",'Paste Here'!$G741,"")</f>
        <v/>
      </c>
      <c r="M747" s="18" t="str">
        <f t="shared" si="23"/>
        <v/>
      </c>
    </row>
    <row r="748" spans="1:13" s="17" customFormat="1" x14ac:dyDescent="0.25">
      <c r="A748" s="16" t="str">
        <f>IF(URN&lt;&gt;"",_xll.mdValue("Resident",_xlnm.Database,$F748),"")</f>
        <v/>
      </c>
      <c r="B748" s="16" t="str">
        <f>IF(PersonId&lt;&gt;"",_xll.mdValue("Resident First Name",_xlnm.Database,$A$8),"")</f>
        <v/>
      </c>
      <c r="C748" s="16" t="str">
        <f>IF(PersonId&lt;&gt;"",_xll.mdValue("Resident Last Name",_xlnm.Database,$A$8),"")</f>
        <v/>
      </c>
      <c r="D748" s="16" t="str">
        <f>IF(PersonId&lt;&gt;"",_xll.mdValue("Person Accomodation Code",_xlnm.Database,$A748),"")</f>
        <v/>
      </c>
      <c r="E748" s="28" t="str">
        <f t="shared" si="22"/>
        <v/>
      </c>
      <c r="F748" s="16" t="str">
        <f>IF('Paste Here'!$A742&lt;&gt;"",'Paste Here'!$A742,"")</f>
        <v/>
      </c>
      <c r="G748" s="16" t="str">
        <f>IF('Paste Here'!$B742&lt;&gt;"",'Paste Here'!$B742,"")</f>
        <v/>
      </c>
      <c r="H748" s="16" t="str">
        <f>IF('Paste Here'!$C742&lt;&gt;"",'Paste Here'!$C742,"")</f>
        <v/>
      </c>
      <c r="I748" s="25" t="str">
        <f>IF('Paste Here'!$D742&lt;&gt;"",'Paste Here'!$D742,"")</f>
        <v/>
      </c>
      <c r="J748" s="27" t="str">
        <f>IF('Paste Here'!$E742&lt;&gt;"",'Paste Here'!$E742,"")</f>
        <v/>
      </c>
      <c r="K748" s="16" t="str">
        <f>IF('Paste Here'!$F742&lt;&gt;"",'Paste Here'!$F742,"")</f>
        <v/>
      </c>
      <c r="L748" s="16" t="str">
        <f>IF('Paste Here'!$G742&lt;&gt;"",'Paste Here'!$G742,"")</f>
        <v/>
      </c>
      <c r="M748" s="18" t="str">
        <f t="shared" si="23"/>
        <v/>
      </c>
    </row>
    <row r="749" spans="1:13" s="17" customFormat="1" x14ac:dyDescent="0.25">
      <c r="A749" s="16" t="str">
        <f>IF(URN&lt;&gt;"",_xll.mdValue("Resident",_xlnm.Database,$F749),"")</f>
        <v/>
      </c>
      <c r="B749" s="16" t="str">
        <f>IF(PersonId&lt;&gt;"",_xll.mdValue("Resident First Name",_xlnm.Database,$A$8),"")</f>
        <v/>
      </c>
      <c r="C749" s="16" t="str">
        <f>IF(PersonId&lt;&gt;"",_xll.mdValue("Resident Last Name",_xlnm.Database,$A$8),"")</f>
        <v/>
      </c>
      <c r="D749" s="16" t="str">
        <f>IF(PersonId&lt;&gt;"",_xll.mdValue("Person Accomodation Code",_xlnm.Database,$A749),"")</f>
        <v/>
      </c>
      <c r="E749" s="28" t="str">
        <f t="shared" si="22"/>
        <v/>
      </c>
      <c r="F749" s="16" t="str">
        <f>IF('Paste Here'!$A743&lt;&gt;"",'Paste Here'!$A743,"")</f>
        <v/>
      </c>
      <c r="G749" s="16" t="str">
        <f>IF('Paste Here'!$B743&lt;&gt;"",'Paste Here'!$B743,"")</f>
        <v/>
      </c>
      <c r="H749" s="16" t="str">
        <f>IF('Paste Here'!$C743&lt;&gt;"",'Paste Here'!$C743,"")</f>
        <v/>
      </c>
      <c r="I749" s="25" t="str">
        <f>IF('Paste Here'!$D743&lt;&gt;"",'Paste Here'!$D743,"")</f>
        <v/>
      </c>
      <c r="J749" s="27" t="str">
        <f>IF('Paste Here'!$E743&lt;&gt;"",'Paste Here'!$E743,"")</f>
        <v/>
      </c>
      <c r="K749" s="16" t="str">
        <f>IF('Paste Here'!$F743&lt;&gt;"",'Paste Here'!$F743,"")</f>
        <v/>
      </c>
      <c r="L749" s="16" t="str">
        <f>IF('Paste Here'!$G743&lt;&gt;"",'Paste Here'!$G743,"")</f>
        <v/>
      </c>
      <c r="M749" s="18" t="str">
        <f t="shared" si="23"/>
        <v/>
      </c>
    </row>
    <row r="750" spans="1:13" s="17" customFormat="1" x14ac:dyDescent="0.25">
      <c r="A750" s="16" t="str">
        <f>IF(URN&lt;&gt;"",_xll.mdValue("Resident",_xlnm.Database,$F750),"")</f>
        <v/>
      </c>
      <c r="B750" s="16" t="str">
        <f>IF(PersonId&lt;&gt;"",_xll.mdValue("Resident First Name",_xlnm.Database,$A$8),"")</f>
        <v/>
      </c>
      <c r="C750" s="16" t="str">
        <f>IF(PersonId&lt;&gt;"",_xll.mdValue("Resident Last Name",_xlnm.Database,$A$8),"")</f>
        <v/>
      </c>
      <c r="D750" s="16" t="str">
        <f>IF(PersonId&lt;&gt;"",_xll.mdValue("Person Accomodation Code",_xlnm.Database,$A750),"")</f>
        <v/>
      </c>
      <c r="E750" s="28" t="str">
        <f t="shared" si="22"/>
        <v/>
      </c>
      <c r="F750" s="16" t="str">
        <f>IF('Paste Here'!$A744&lt;&gt;"",'Paste Here'!$A744,"")</f>
        <v/>
      </c>
      <c r="G750" s="16" t="str">
        <f>IF('Paste Here'!$B744&lt;&gt;"",'Paste Here'!$B744,"")</f>
        <v/>
      </c>
      <c r="H750" s="16" t="str">
        <f>IF('Paste Here'!$C744&lt;&gt;"",'Paste Here'!$C744,"")</f>
        <v/>
      </c>
      <c r="I750" s="25" t="str">
        <f>IF('Paste Here'!$D744&lt;&gt;"",'Paste Here'!$D744,"")</f>
        <v/>
      </c>
      <c r="J750" s="27" t="str">
        <f>IF('Paste Here'!$E744&lt;&gt;"",'Paste Here'!$E744,"")</f>
        <v/>
      </c>
      <c r="K750" s="16" t="str">
        <f>IF('Paste Here'!$F744&lt;&gt;"",'Paste Here'!$F744,"")</f>
        <v/>
      </c>
      <c r="L750" s="16" t="str">
        <f>IF('Paste Here'!$G744&lt;&gt;"",'Paste Here'!$G744,"")</f>
        <v/>
      </c>
      <c r="M750" s="18" t="str">
        <f t="shared" si="23"/>
        <v/>
      </c>
    </row>
    <row r="751" spans="1:13" s="17" customFormat="1" x14ac:dyDescent="0.25">
      <c r="A751" s="16" t="str">
        <f>IF(URN&lt;&gt;"",_xll.mdValue("Resident",_xlnm.Database,$F751),"")</f>
        <v/>
      </c>
      <c r="B751" s="16" t="str">
        <f>IF(PersonId&lt;&gt;"",_xll.mdValue("Resident First Name",_xlnm.Database,$A$8),"")</f>
        <v/>
      </c>
      <c r="C751" s="16" t="str">
        <f>IF(PersonId&lt;&gt;"",_xll.mdValue("Resident Last Name",_xlnm.Database,$A$8),"")</f>
        <v/>
      </c>
      <c r="D751" s="16" t="str">
        <f>IF(PersonId&lt;&gt;"",_xll.mdValue("Person Accomodation Code",_xlnm.Database,$A751),"")</f>
        <v/>
      </c>
      <c r="E751" s="28" t="str">
        <f t="shared" si="22"/>
        <v/>
      </c>
      <c r="F751" s="16" t="str">
        <f>IF('Paste Here'!$A745&lt;&gt;"",'Paste Here'!$A745,"")</f>
        <v/>
      </c>
      <c r="G751" s="16" t="str">
        <f>IF('Paste Here'!$B745&lt;&gt;"",'Paste Here'!$B745,"")</f>
        <v/>
      </c>
      <c r="H751" s="16" t="str">
        <f>IF('Paste Here'!$C745&lt;&gt;"",'Paste Here'!$C745,"")</f>
        <v/>
      </c>
      <c r="I751" s="25" t="str">
        <f>IF('Paste Here'!$D745&lt;&gt;"",'Paste Here'!$D745,"")</f>
        <v/>
      </c>
      <c r="J751" s="27" t="str">
        <f>IF('Paste Here'!$E745&lt;&gt;"",'Paste Here'!$E745,"")</f>
        <v/>
      </c>
      <c r="K751" s="16" t="str">
        <f>IF('Paste Here'!$F745&lt;&gt;"",'Paste Here'!$F745,"")</f>
        <v/>
      </c>
      <c r="L751" s="16" t="str">
        <f>IF('Paste Here'!$G745&lt;&gt;"",'Paste Here'!$G745,"")</f>
        <v/>
      </c>
      <c r="M751" s="18" t="str">
        <f t="shared" si="23"/>
        <v/>
      </c>
    </row>
    <row r="752" spans="1:13" s="17" customFormat="1" x14ac:dyDescent="0.25">
      <c r="A752" s="16" t="str">
        <f>IF(URN&lt;&gt;"",_xll.mdValue("Resident",_xlnm.Database,$F752),"")</f>
        <v/>
      </c>
      <c r="B752" s="16" t="str">
        <f>IF(PersonId&lt;&gt;"",_xll.mdValue("Resident First Name",_xlnm.Database,$A$8),"")</f>
        <v/>
      </c>
      <c r="C752" s="16" t="str">
        <f>IF(PersonId&lt;&gt;"",_xll.mdValue("Resident Last Name",_xlnm.Database,$A$8),"")</f>
        <v/>
      </c>
      <c r="D752" s="16" t="str">
        <f>IF(PersonId&lt;&gt;"",_xll.mdValue("Person Accomodation Code",_xlnm.Database,$A752),"")</f>
        <v/>
      </c>
      <c r="E752" s="28" t="str">
        <f t="shared" si="22"/>
        <v/>
      </c>
      <c r="F752" s="16" t="str">
        <f>IF('Paste Here'!$A746&lt;&gt;"",'Paste Here'!$A746,"")</f>
        <v/>
      </c>
      <c r="G752" s="16" t="str">
        <f>IF('Paste Here'!$B746&lt;&gt;"",'Paste Here'!$B746,"")</f>
        <v/>
      </c>
      <c r="H752" s="16" t="str">
        <f>IF('Paste Here'!$C746&lt;&gt;"",'Paste Here'!$C746,"")</f>
        <v/>
      </c>
      <c r="I752" s="25" t="str">
        <f>IF('Paste Here'!$D746&lt;&gt;"",'Paste Here'!$D746,"")</f>
        <v/>
      </c>
      <c r="J752" s="27" t="str">
        <f>IF('Paste Here'!$E746&lt;&gt;"",'Paste Here'!$E746,"")</f>
        <v/>
      </c>
      <c r="K752" s="16" t="str">
        <f>IF('Paste Here'!$F746&lt;&gt;"",'Paste Here'!$F746,"")</f>
        <v/>
      </c>
      <c r="L752" s="16" t="str">
        <f>IF('Paste Here'!$G746&lt;&gt;"",'Paste Here'!$G746,"")</f>
        <v/>
      </c>
      <c r="M752" s="18" t="str">
        <f t="shared" si="23"/>
        <v/>
      </c>
    </row>
    <row r="753" spans="1:13" s="17" customFormat="1" x14ac:dyDescent="0.25">
      <c r="A753" s="16" t="str">
        <f>IF(URN&lt;&gt;"",_xll.mdValue("Resident",_xlnm.Database,$F753),"")</f>
        <v/>
      </c>
      <c r="B753" s="16" t="str">
        <f>IF(PersonId&lt;&gt;"",_xll.mdValue("Resident First Name",_xlnm.Database,$A$8),"")</f>
        <v/>
      </c>
      <c r="C753" s="16" t="str">
        <f>IF(PersonId&lt;&gt;"",_xll.mdValue("Resident Last Name",_xlnm.Database,$A$8),"")</f>
        <v/>
      </c>
      <c r="D753" s="16" t="str">
        <f>IF(PersonId&lt;&gt;"",_xll.mdValue("Person Accomodation Code",_xlnm.Database,$A753),"")</f>
        <v/>
      </c>
      <c r="E753" s="28" t="str">
        <f t="shared" si="22"/>
        <v/>
      </c>
      <c r="F753" s="16" t="str">
        <f>IF('Paste Here'!$A747&lt;&gt;"",'Paste Here'!$A747,"")</f>
        <v/>
      </c>
      <c r="G753" s="16" t="str">
        <f>IF('Paste Here'!$B747&lt;&gt;"",'Paste Here'!$B747,"")</f>
        <v/>
      </c>
      <c r="H753" s="16" t="str">
        <f>IF('Paste Here'!$C747&lt;&gt;"",'Paste Here'!$C747,"")</f>
        <v/>
      </c>
      <c r="I753" s="25" t="str">
        <f>IF('Paste Here'!$D747&lt;&gt;"",'Paste Here'!$D747,"")</f>
        <v/>
      </c>
      <c r="J753" s="27" t="str">
        <f>IF('Paste Here'!$E747&lt;&gt;"",'Paste Here'!$E747,"")</f>
        <v/>
      </c>
      <c r="K753" s="16" t="str">
        <f>IF('Paste Here'!$F747&lt;&gt;"",'Paste Here'!$F747,"")</f>
        <v/>
      </c>
      <c r="L753" s="16" t="str">
        <f>IF('Paste Here'!$G747&lt;&gt;"",'Paste Here'!$G747,"")</f>
        <v/>
      </c>
      <c r="M753" s="18" t="str">
        <f t="shared" si="23"/>
        <v/>
      </c>
    </row>
    <row r="754" spans="1:13" s="17" customFormat="1" x14ac:dyDescent="0.25">
      <c r="A754" s="16" t="str">
        <f>IF(URN&lt;&gt;"",_xll.mdValue("Resident",_xlnm.Database,$F754),"")</f>
        <v/>
      </c>
      <c r="B754" s="16" t="str">
        <f>IF(PersonId&lt;&gt;"",_xll.mdValue("Resident First Name",_xlnm.Database,$A$8),"")</f>
        <v/>
      </c>
      <c r="C754" s="16" t="str">
        <f>IF(PersonId&lt;&gt;"",_xll.mdValue("Resident Last Name",_xlnm.Database,$A$8),"")</f>
        <v/>
      </c>
      <c r="D754" s="16" t="str">
        <f>IF(PersonId&lt;&gt;"",_xll.mdValue("Person Accomodation Code",_xlnm.Database,$A754),"")</f>
        <v/>
      </c>
      <c r="E754" s="28" t="str">
        <f t="shared" si="22"/>
        <v/>
      </c>
      <c r="F754" s="16" t="str">
        <f>IF('Paste Here'!$A748&lt;&gt;"",'Paste Here'!$A748,"")</f>
        <v/>
      </c>
      <c r="G754" s="16" t="str">
        <f>IF('Paste Here'!$B748&lt;&gt;"",'Paste Here'!$B748,"")</f>
        <v/>
      </c>
      <c r="H754" s="16" t="str">
        <f>IF('Paste Here'!$C748&lt;&gt;"",'Paste Here'!$C748,"")</f>
        <v/>
      </c>
      <c r="I754" s="25" t="str">
        <f>IF('Paste Here'!$D748&lt;&gt;"",'Paste Here'!$D748,"")</f>
        <v/>
      </c>
      <c r="J754" s="27" t="str">
        <f>IF('Paste Here'!$E748&lt;&gt;"",'Paste Here'!$E748,"")</f>
        <v/>
      </c>
      <c r="K754" s="16" t="str">
        <f>IF('Paste Here'!$F748&lt;&gt;"",'Paste Here'!$F748,"")</f>
        <v/>
      </c>
      <c r="L754" s="16" t="str">
        <f>IF('Paste Here'!$G748&lt;&gt;"",'Paste Here'!$G748,"")</f>
        <v/>
      </c>
      <c r="M754" s="18" t="str">
        <f t="shared" si="23"/>
        <v/>
      </c>
    </row>
    <row r="755" spans="1:13" s="17" customFormat="1" x14ac:dyDescent="0.25">
      <c r="A755" s="16" t="str">
        <f>IF(URN&lt;&gt;"",_xll.mdValue("Resident",_xlnm.Database,$F755),"")</f>
        <v/>
      </c>
      <c r="B755" s="16" t="str">
        <f>IF(PersonId&lt;&gt;"",_xll.mdValue("Resident First Name",_xlnm.Database,$A$8),"")</f>
        <v/>
      </c>
      <c r="C755" s="16" t="str">
        <f>IF(PersonId&lt;&gt;"",_xll.mdValue("Resident Last Name",_xlnm.Database,$A$8),"")</f>
        <v/>
      </c>
      <c r="D755" s="16" t="str">
        <f>IF(PersonId&lt;&gt;"",_xll.mdValue("Person Accomodation Code",_xlnm.Database,$A755),"")</f>
        <v/>
      </c>
      <c r="E755" s="28" t="str">
        <f t="shared" si="22"/>
        <v/>
      </c>
      <c r="F755" s="16" t="str">
        <f>IF('Paste Here'!$A749&lt;&gt;"",'Paste Here'!$A749,"")</f>
        <v/>
      </c>
      <c r="G755" s="16" t="str">
        <f>IF('Paste Here'!$B749&lt;&gt;"",'Paste Here'!$B749,"")</f>
        <v/>
      </c>
      <c r="H755" s="16" t="str">
        <f>IF('Paste Here'!$C749&lt;&gt;"",'Paste Here'!$C749,"")</f>
        <v/>
      </c>
      <c r="I755" s="25" t="str">
        <f>IF('Paste Here'!$D749&lt;&gt;"",'Paste Here'!$D749,"")</f>
        <v/>
      </c>
      <c r="J755" s="27" t="str">
        <f>IF('Paste Here'!$E749&lt;&gt;"",'Paste Here'!$E749,"")</f>
        <v/>
      </c>
      <c r="K755" s="16" t="str">
        <f>IF('Paste Here'!$F749&lt;&gt;"",'Paste Here'!$F749,"")</f>
        <v/>
      </c>
      <c r="L755" s="16" t="str">
        <f>IF('Paste Here'!$G749&lt;&gt;"",'Paste Here'!$G749,"")</f>
        <v/>
      </c>
      <c r="M755" s="18" t="str">
        <f t="shared" si="23"/>
        <v/>
      </c>
    </row>
    <row r="756" spans="1:13" s="17" customFormat="1" x14ac:dyDescent="0.25">
      <c r="A756" s="16" t="str">
        <f>IF(URN&lt;&gt;"",_xll.mdValue("Resident",_xlnm.Database,$F756),"")</f>
        <v/>
      </c>
      <c r="B756" s="16" t="str">
        <f>IF(PersonId&lt;&gt;"",_xll.mdValue("Resident First Name",_xlnm.Database,$A$8),"")</f>
        <v/>
      </c>
      <c r="C756" s="16" t="str">
        <f>IF(PersonId&lt;&gt;"",_xll.mdValue("Resident Last Name",_xlnm.Database,$A$8),"")</f>
        <v/>
      </c>
      <c r="D756" s="16" t="str">
        <f>IF(PersonId&lt;&gt;"",_xll.mdValue("Person Accomodation Code",_xlnm.Database,$A756),"")</f>
        <v/>
      </c>
      <c r="E756" s="28" t="str">
        <f t="shared" si="22"/>
        <v/>
      </c>
      <c r="F756" s="16" t="str">
        <f>IF('Paste Here'!$A750&lt;&gt;"",'Paste Here'!$A750,"")</f>
        <v/>
      </c>
      <c r="G756" s="16" t="str">
        <f>IF('Paste Here'!$B750&lt;&gt;"",'Paste Here'!$B750,"")</f>
        <v/>
      </c>
      <c r="H756" s="16" t="str">
        <f>IF('Paste Here'!$C750&lt;&gt;"",'Paste Here'!$C750,"")</f>
        <v/>
      </c>
      <c r="I756" s="25" t="str">
        <f>IF('Paste Here'!$D750&lt;&gt;"",'Paste Here'!$D750,"")</f>
        <v/>
      </c>
      <c r="J756" s="27" t="str">
        <f>IF('Paste Here'!$E750&lt;&gt;"",'Paste Here'!$E750,"")</f>
        <v/>
      </c>
      <c r="K756" s="16" t="str">
        <f>IF('Paste Here'!$F750&lt;&gt;"",'Paste Here'!$F750,"")</f>
        <v/>
      </c>
      <c r="L756" s="16" t="str">
        <f>IF('Paste Here'!$G750&lt;&gt;"",'Paste Here'!$G750,"")</f>
        <v/>
      </c>
      <c r="M756" s="18" t="str">
        <f t="shared" si="23"/>
        <v/>
      </c>
    </row>
    <row r="757" spans="1:13" s="17" customFormat="1" x14ac:dyDescent="0.25">
      <c r="A757" s="16" t="str">
        <f>IF(URN&lt;&gt;"",_xll.mdValue("Resident",_xlnm.Database,$F757),"")</f>
        <v/>
      </c>
      <c r="B757" s="16" t="str">
        <f>IF(PersonId&lt;&gt;"",_xll.mdValue("Resident First Name",_xlnm.Database,$A$8),"")</f>
        <v/>
      </c>
      <c r="C757" s="16" t="str">
        <f>IF(PersonId&lt;&gt;"",_xll.mdValue("Resident Last Name",_xlnm.Database,$A$8),"")</f>
        <v/>
      </c>
      <c r="D757" s="16" t="str">
        <f>IF(PersonId&lt;&gt;"",_xll.mdValue("Person Accomodation Code",_xlnm.Database,$A757),"")</f>
        <v/>
      </c>
      <c r="E757" s="28" t="str">
        <f t="shared" si="22"/>
        <v/>
      </c>
      <c r="F757" s="16" t="str">
        <f>IF('Paste Here'!$A751&lt;&gt;"",'Paste Here'!$A751,"")</f>
        <v/>
      </c>
      <c r="G757" s="16" t="str">
        <f>IF('Paste Here'!$B751&lt;&gt;"",'Paste Here'!$B751,"")</f>
        <v/>
      </c>
      <c r="H757" s="16" t="str">
        <f>IF('Paste Here'!$C751&lt;&gt;"",'Paste Here'!$C751,"")</f>
        <v/>
      </c>
      <c r="I757" s="25" t="str">
        <f>IF('Paste Here'!$D751&lt;&gt;"",'Paste Here'!$D751,"")</f>
        <v/>
      </c>
      <c r="J757" s="27" t="str">
        <f>IF('Paste Here'!$E751&lt;&gt;"",'Paste Here'!$E751,"")</f>
        <v/>
      </c>
      <c r="K757" s="16" t="str">
        <f>IF('Paste Here'!$F751&lt;&gt;"",'Paste Here'!$F751,"")</f>
        <v/>
      </c>
      <c r="L757" s="16" t="str">
        <f>IF('Paste Here'!$G751&lt;&gt;"",'Paste Here'!$G751,"")</f>
        <v/>
      </c>
      <c r="M757" s="18" t="str">
        <f t="shared" si="23"/>
        <v/>
      </c>
    </row>
    <row r="758" spans="1:13" s="17" customFormat="1" x14ac:dyDescent="0.25">
      <c r="A758" s="16" t="str">
        <f>IF(URN&lt;&gt;"",_xll.mdValue("Resident",_xlnm.Database,$F758),"")</f>
        <v/>
      </c>
      <c r="B758" s="16" t="str">
        <f>IF(PersonId&lt;&gt;"",_xll.mdValue("Resident First Name",_xlnm.Database,$A$8),"")</f>
        <v/>
      </c>
      <c r="C758" s="16" t="str">
        <f>IF(PersonId&lt;&gt;"",_xll.mdValue("Resident Last Name",_xlnm.Database,$A$8),"")</f>
        <v/>
      </c>
      <c r="D758" s="16" t="str">
        <f>IF(PersonId&lt;&gt;"",_xll.mdValue("Person Accomodation Code",_xlnm.Database,$A758),"")</f>
        <v/>
      </c>
      <c r="E758" s="28" t="str">
        <f t="shared" si="22"/>
        <v/>
      </c>
      <c r="F758" s="16" t="str">
        <f>IF('Paste Here'!$A752&lt;&gt;"",'Paste Here'!$A752,"")</f>
        <v/>
      </c>
      <c r="G758" s="16" t="str">
        <f>IF('Paste Here'!$B752&lt;&gt;"",'Paste Here'!$B752,"")</f>
        <v/>
      </c>
      <c r="H758" s="16" t="str">
        <f>IF('Paste Here'!$C752&lt;&gt;"",'Paste Here'!$C752,"")</f>
        <v/>
      </c>
      <c r="I758" s="25" t="str">
        <f>IF('Paste Here'!$D752&lt;&gt;"",'Paste Here'!$D752,"")</f>
        <v/>
      </c>
      <c r="J758" s="27" t="str">
        <f>IF('Paste Here'!$E752&lt;&gt;"",'Paste Here'!$E752,"")</f>
        <v/>
      </c>
      <c r="K758" s="16" t="str">
        <f>IF('Paste Here'!$F752&lt;&gt;"",'Paste Here'!$F752,"")</f>
        <v/>
      </c>
      <c r="L758" s="16" t="str">
        <f>IF('Paste Here'!$G752&lt;&gt;"",'Paste Here'!$G752,"")</f>
        <v/>
      </c>
      <c r="M758" s="18" t="str">
        <f t="shared" si="23"/>
        <v/>
      </c>
    </row>
    <row r="759" spans="1:13" s="17" customFormat="1" x14ac:dyDescent="0.25">
      <c r="A759" s="16" t="str">
        <f>IF(URN&lt;&gt;"",_xll.mdValue("Resident",_xlnm.Database,$F759),"")</f>
        <v/>
      </c>
      <c r="B759" s="16" t="str">
        <f>IF(PersonId&lt;&gt;"",_xll.mdValue("Resident First Name",_xlnm.Database,$A$8),"")</f>
        <v/>
      </c>
      <c r="C759" s="16" t="str">
        <f>IF(PersonId&lt;&gt;"",_xll.mdValue("Resident Last Name",_xlnm.Database,$A$8),"")</f>
        <v/>
      </c>
      <c r="D759" s="16" t="str">
        <f>IF(PersonId&lt;&gt;"",_xll.mdValue("Person Accomodation Code",_xlnm.Database,$A759),"")</f>
        <v/>
      </c>
      <c r="E759" s="28" t="str">
        <f t="shared" si="22"/>
        <v/>
      </c>
      <c r="F759" s="16" t="str">
        <f>IF('Paste Here'!$A753&lt;&gt;"",'Paste Here'!$A753,"")</f>
        <v/>
      </c>
      <c r="G759" s="16" t="str">
        <f>IF('Paste Here'!$B753&lt;&gt;"",'Paste Here'!$B753,"")</f>
        <v/>
      </c>
      <c r="H759" s="16" t="str">
        <f>IF('Paste Here'!$C753&lt;&gt;"",'Paste Here'!$C753,"")</f>
        <v/>
      </c>
      <c r="I759" s="25" t="str">
        <f>IF('Paste Here'!$D753&lt;&gt;"",'Paste Here'!$D753,"")</f>
        <v/>
      </c>
      <c r="J759" s="27" t="str">
        <f>IF('Paste Here'!$E753&lt;&gt;"",'Paste Here'!$E753,"")</f>
        <v/>
      </c>
      <c r="K759" s="16" t="str">
        <f>IF('Paste Here'!$F753&lt;&gt;"",'Paste Here'!$F753,"")</f>
        <v/>
      </c>
      <c r="L759" s="16" t="str">
        <f>IF('Paste Here'!$G753&lt;&gt;"",'Paste Here'!$G753,"")</f>
        <v/>
      </c>
      <c r="M759" s="18" t="str">
        <f t="shared" si="23"/>
        <v/>
      </c>
    </row>
    <row r="760" spans="1:13" s="17" customFormat="1" x14ac:dyDescent="0.25">
      <c r="A760" s="16" t="str">
        <f>IF(URN&lt;&gt;"",_xll.mdValue("Resident",_xlnm.Database,$F760),"")</f>
        <v/>
      </c>
      <c r="B760" s="16" t="str">
        <f>IF(PersonId&lt;&gt;"",_xll.mdValue("Resident First Name",_xlnm.Database,$A$8),"")</f>
        <v/>
      </c>
      <c r="C760" s="16" t="str">
        <f>IF(PersonId&lt;&gt;"",_xll.mdValue("Resident Last Name",_xlnm.Database,$A$8),"")</f>
        <v/>
      </c>
      <c r="D760" s="16" t="str">
        <f>IF(PersonId&lt;&gt;"",_xll.mdValue("Person Accomodation Code",_xlnm.Database,$A760),"")</f>
        <v/>
      </c>
      <c r="E760" s="28" t="str">
        <f t="shared" si="22"/>
        <v/>
      </c>
      <c r="F760" s="16" t="str">
        <f>IF('Paste Here'!$A754&lt;&gt;"",'Paste Here'!$A754,"")</f>
        <v/>
      </c>
      <c r="G760" s="16" t="str">
        <f>IF('Paste Here'!$B754&lt;&gt;"",'Paste Here'!$B754,"")</f>
        <v/>
      </c>
      <c r="H760" s="16" t="str">
        <f>IF('Paste Here'!$C754&lt;&gt;"",'Paste Here'!$C754,"")</f>
        <v/>
      </c>
      <c r="I760" s="25" t="str">
        <f>IF('Paste Here'!$D754&lt;&gt;"",'Paste Here'!$D754,"")</f>
        <v/>
      </c>
      <c r="J760" s="27" t="str">
        <f>IF('Paste Here'!$E754&lt;&gt;"",'Paste Here'!$E754,"")</f>
        <v/>
      </c>
      <c r="K760" s="16" t="str">
        <f>IF('Paste Here'!$F754&lt;&gt;"",'Paste Here'!$F754,"")</f>
        <v/>
      </c>
      <c r="L760" s="16" t="str">
        <f>IF('Paste Here'!$G754&lt;&gt;"",'Paste Here'!$G754,"")</f>
        <v/>
      </c>
      <c r="M760" s="18" t="str">
        <f t="shared" si="23"/>
        <v/>
      </c>
    </row>
    <row r="761" spans="1:13" s="17" customFormat="1" x14ac:dyDescent="0.25">
      <c r="A761" s="16" t="str">
        <f>IF(URN&lt;&gt;"",_xll.mdValue("Resident",_xlnm.Database,$F761),"")</f>
        <v/>
      </c>
      <c r="B761" s="16" t="str">
        <f>IF(PersonId&lt;&gt;"",_xll.mdValue("Resident First Name",_xlnm.Database,$A$8),"")</f>
        <v/>
      </c>
      <c r="C761" s="16" t="str">
        <f>IF(PersonId&lt;&gt;"",_xll.mdValue("Resident Last Name",_xlnm.Database,$A$8),"")</f>
        <v/>
      </c>
      <c r="D761" s="16" t="str">
        <f>IF(PersonId&lt;&gt;"",_xll.mdValue("Person Accomodation Code",_xlnm.Database,$A761),"")</f>
        <v/>
      </c>
      <c r="E761" s="28" t="str">
        <f t="shared" si="22"/>
        <v/>
      </c>
      <c r="F761" s="16" t="str">
        <f>IF('Paste Here'!$A755&lt;&gt;"",'Paste Here'!$A755,"")</f>
        <v/>
      </c>
      <c r="G761" s="16" t="str">
        <f>IF('Paste Here'!$B755&lt;&gt;"",'Paste Here'!$B755,"")</f>
        <v/>
      </c>
      <c r="H761" s="16" t="str">
        <f>IF('Paste Here'!$C755&lt;&gt;"",'Paste Here'!$C755,"")</f>
        <v/>
      </c>
      <c r="I761" s="25" t="str">
        <f>IF('Paste Here'!$D755&lt;&gt;"",'Paste Here'!$D755,"")</f>
        <v/>
      </c>
      <c r="J761" s="27" t="str">
        <f>IF('Paste Here'!$E755&lt;&gt;"",'Paste Here'!$E755,"")</f>
        <v/>
      </c>
      <c r="K761" s="16" t="str">
        <f>IF('Paste Here'!$F755&lt;&gt;"",'Paste Here'!$F755,"")</f>
        <v/>
      </c>
      <c r="L761" s="16" t="str">
        <f>IF('Paste Here'!$G755&lt;&gt;"",'Paste Here'!$G755,"")</f>
        <v/>
      </c>
      <c r="M761" s="18" t="str">
        <f t="shared" si="23"/>
        <v/>
      </c>
    </row>
    <row r="762" spans="1:13" s="17" customFormat="1" x14ac:dyDescent="0.25">
      <c r="A762" s="16" t="str">
        <f>IF(URN&lt;&gt;"",_xll.mdValue("Resident",_xlnm.Database,$F762),"")</f>
        <v/>
      </c>
      <c r="B762" s="16" t="str">
        <f>IF(PersonId&lt;&gt;"",_xll.mdValue("Resident First Name",_xlnm.Database,$A$8),"")</f>
        <v/>
      </c>
      <c r="C762" s="16" t="str">
        <f>IF(PersonId&lt;&gt;"",_xll.mdValue("Resident Last Name",_xlnm.Database,$A$8),"")</f>
        <v/>
      </c>
      <c r="D762" s="16" t="str">
        <f>IF(PersonId&lt;&gt;"",_xll.mdValue("Person Accomodation Code",_xlnm.Database,$A762),"")</f>
        <v/>
      </c>
      <c r="E762" s="28" t="str">
        <f t="shared" si="22"/>
        <v/>
      </c>
      <c r="F762" s="16" t="str">
        <f>IF('Paste Here'!$A756&lt;&gt;"",'Paste Here'!$A756,"")</f>
        <v/>
      </c>
      <c r="G762" s="16" t="str">
        <f>IF('Paste Here'!$B756&lt;&gt;"",'Paste Here'!$B756,"")</f>
        <v/>
      </c>
      <c r="H762" s="16" t="str">
        <f>IF('Paste Here'!$C756&lt;&gt;"",'Paste Here'!$C756,"")</f>
        <v/>
      </c>
      <c r="I762" s="25" t="str">
        <f>IF('Paste Here'!$D756&lt;&gt;"",'Paste Here'!$D756,"")</f>
        <v/>
      </c>
      <c r="J762" s="27" t="str">
        <f>IF('Paste Here'!$E756&lt;&gt;"",'Paste Here'!$E756,"")</f>
        <v/>
      </c>
      <c r="K762" s="16" t="str">
        <f>IF('Paste Here'!$F756&lt;&gt;"",'Paste Here'!$F756,"")</f>
        <v/>
      </c>
      <c r="L762" s="16" t="str">
        <f>IF('Paste Here'!$G756&lt;&gt;"",'Paste Here'!$G756,"")</f>
        <v/>
      </c>
      <c r="M762" s="18" t="str">
        <f t="shared" si="23"/>
        <v/>
      </c>
    </row>
    <row r="763" spans="1:13" s="17" customFormat="1" x14ac:dyDescent="0.25">
      <c r="A763" s="16" t="str">
        <f>IF(URN&lt;&gt;"",_xll.mdValue("Resident",_xlnm.Database,$F763),"")</f>
        <v/>
      </c>
      <c r="B763" s="16" t="str">
        <f>IF(PersonId&lt;&gt;"",_xll.mdValue("Resident First Name",_xlnm.Database,$A$8),"")</f>
        <v/>
      </c>
      <c r="C763" s="16" t="str">
        <f>IF(PersonId&lt;&gt;"",_xll.mdValue("Resident Last Name",_xlnm.Database,$A$8),"")</f>
        <v/>
      </c>
      <c r="D763" s="16" t="str">
        <f>IF(PersonId&lt;&gt;"",_xll.mdValue("Person Accomodation Code",_xlnm.Database,$A763),"")</f>
        <v/>
      </c>
      <c r="E763" s="28" t="str">
        <f t="shared" si="22"/>
        <v/>
      </c>
      <c r="F763" s="16" t="str">
        <f>IF('Paste Here'!$A757&lt;&gt;"",'Paste Here'!$A757,"")</f>
        <v/>
      </c>
      <c r="G763" s="16" t="str">
        <f>IF('Paste Here'!$B757&lt;&gt;"",'Paste Here'!$B757,"")</f>
        <v/>
      </c>
      <c r="H763" s="16" t="str">
        <f>IF('Paste Here'!$C757&lt;&gt;"",'Paste Here'!$C757,"")</f>
        <v/>
      </c>
      <c r="I763" s="25" t="str">
        <f>IF('Paste Here'!$D757&lt;&gt;"",'Paste Here'!$D757,"")</f>
        <v/>
      </c>
      <c r="J763" s="27" t="str">
        <f>IF('Paste Here'!$E757&lt;&gt;"",'Paste Here'!$E757,"")</f>
        <v/>
      </c>
      <c r="K763" s="16" t="str">
        <f>IF('Paste Here'!$F757&lt;&gt;"",'Paste Here'!$F757,"")</f>
        <v/>
      </c>
      <c r="L763" s="16" t="str">
        <f>IF('Paste Here'!$G757&lt;&gt;"",'Paste Here'!$G757,"")</f>
        <v/>
      </c>
      <c r="M763" s="18" t="str">
        <f t="shared" si="23"/>
        <v/>
      </c>
    </row>
    <row r="764" spans="1:13" s="17" customFormat="1" x14ac:dyDescent="0.25">
      <c r="A764" s="16" t="str">
        <f>IF(URN&lt;&gt;"",_xll.mdValue("Resident",_xlnm.Database,$F764),"")</f>
        <v/>
      </c>
      <c r="B764" s="16" t="str">
        <f>IF(PersonId&lt;&gt;"",_xll.mdValue("Resident First Name",_xlnm.Database,$A$8),"")</f>
        <v/>
      </c>
      <c r="C764" s="16" t="str">
        <f>IF(PersonId&lt;&gt;"",_xll.mdValue("Resident Last Name",_xlnm.Database,$A$8),"")</f>
        <v/>
      </c>
      <c r="D764" s="16" t="str">
        <f>IF(PersonId&lt;&gt;"",_xll.mdValue("Person Accomodation Code",_xlnm.Database,$A764),"")</f>
        <v/>
      </c>
      <c r="E764" s="28" t="str">
        <f t="shared" si="22"/>
        <v/>
      </c>
      <c r="F764" s="16" t="str">
        <f>IF('Paste Here'!$A758&lt;&gt;"",'Paste Here'!$A758,"")</f>
        <v/>
      </c>
      <c r="G764" s="16" t="str">
        <f>IF('Paste Here'!$B758&lt;&gt;"",'Paste Here'!$B758,"")</f>
        <v/>
      </c>
      <c r="H764" s="16" t="str">
        <f>IF('Paste Here'!$C758&lt;&gt;"",'Paste Here'!$C758,"")</f>
        <v/>
      </c>
      <c r="I764" s="25" t="str">
        <f>IF('Paste Here'!$D758&lt;&gt;"",'Paste Here'!$D758,"")</f>
        <v/>
      </c>
      <c r="J764" s="27" t="str">
        <f>IF('Paste Here'!$E758&lt;&gt;"",'Paste Here'!$E758,"")</f>
        <v/>
      </c>
      <c r="K764" s="16" t="str">
        <f>IF('Paste Here'!$F758&lt;&gt;"",'Paste Here'!$F758,"")</f>
        <v/>
      </c>
      <c r="L764" s="16" t="str">
        <f>IF('Paste Here'!$G758&lt;&gt;"",'Paste Here'!$G758,"")</f>
        <v/>
      </c>
      <c r="M764" s="18" t="str">
        <f t="shared" si="23"/>
        <v/>
      </c>
    </row>
    <row r="765" spans="1:13" s="17" customFormat="1" x14ac:dyDescent="0.25">
      <c r="A765" s="16" t="str">
        <f>IF(URN&lt;&gt;"",_xll.mdValue("Resident",_xlnm.Database,$F765),"")</f>
        <v/>
      </c>
      <c r="B765" s="16" t="str">
        <f>IF(PersonId&lt;&gt;"",_xll.mdValue("Resident First Name",_xlnm.Database,$A$8),"")</f>
        <v/>
      </c>
      <c r="C765" s="16" t="str">
        <f>IF(PersonId&lt;&gt;"",_xll.mdValue("Resident Last Name",_xlnm.Database,$A$8),"")</f>
        <v/>
      </c>
      <c r="D765" s="16" t="str">
        <f>IF(PersonId&lt;&gt;"",_xll.mdValue("Person Accomodation Code",_xlnm.Database,$A765),"")</f>
        <v/>
      </c>
      <c r="E765" s="28" t="str">
        <f t="shared" si="22"/>
        <v/>
      </c>
      <c r="F765" s="16" t="str">
        <f>IF('Paste Here'!$A759&lt;&gt;"",'Paste Here'!$A759,"")</f>
        <v/>
      </c>
      <c r="G765" s="16" t="str">
        <f>IF('Paste Here'!$B759&lt;&gt;"",'Paste Here'!$B759,"")</f>
        <v/>
      </c>
      <c r="H765" s="16" t="str">
        <f>IF('Paste Here'!$C759&lt;&gt;"",'Paste Here'!$C759,"")</f>
        <v/>
      </c>
      <c r="I765" s="25" t="str">
        <f>IF('Paste Here'!$D759&lt;&gt;"",'Paste Here'!$D759,"")</f>
        <v/>
      </c>
      <c r="J765" s="27" t="str">
        <f>IF('Paste Here'!$E759&lt;&gt;"",'Paste Here'!$E759,"")</f>
        <v/>
      </c>
      <c r="K765" s="16" t="str">
        <f>IF('Paste Here'!$F759&lt;&gt;"",'Paste Here'!$F759,"")</f>
        <v/>
      </c>
      <c r="L765" s="16" t="str">
        <f>IF('Paste Here'!$G759&lt;&gt;"",'Paste Here'!$G759,"")</f>
        <v/>
      </c>
      <c r="M765" s="18" t="str">
        <f t="shared" si="23"/>
        <v/>
      </c>
    </row>
    <row r="766" spans="1:13" s="17" customFormat="1" x14ac:dyDescent="0.25">
      <c r="A766" s="16" t="str">
        <f>IF(URN&lt;&gt;"",_xll.mdValue("Resident",_xlnm.Database,$F766),"")</f>
        <v/>
      </c>
      <c r="B766" s="16" t="str">
        <f>IF(PersonId&lt;&gt;"",_xll.mdValue("Resident First Name",_xlnm.Database,$A$8),"")</f>
        <v/>
      </c>
      <c r="C766" s="16" t="str">
        <f>IF(PersonId&lt;&gt;"",_xll.mdValue("Resident Last Name",_xlnm.Database,$A$8),"")</f>
        <v/>
      </c>
      <c r="D766" s="16" t="str">
        <f>IF(PersonId&lt;&gt;"",_xll.mdValue("Person Accomodation Code",_xlnm.Database,$A766),"")</f>
        <v/>
      </c>
      <c r="E766" s="28" t="str">
        <f t="shared" si="22"/>
        <v/>
      </c>
      <c r="F766" s="16" t="str">
        <f>IF('Paste Here'!$A760&lt;&gt;"",'Paste Here'!$A760,"")</f>
        <v/>
      </c>
      <c r="G766" s="16" t="str">
        <f>IF('Paste Here'!$B760&lt;&gt;"",'Paste Here'!$B760,"")</f>
        <v/>
      </c>
      <c r="H766" s="16" t="str">
        <f>IF('Paste Here'!$C760&lt;&gt;"",'Paste Here'!$C760,"")</f>
        <v/>
      </c>
      <c r="I766" s="25" t="str">
        <f>IF('Paste Here'!$D760&lt;&gt;"",'Paste Here'!$D760,"")</f>
        <v/>
      </c>
      <c r="J766" s="27" t="str">
        <f>IF('Paste Here'!$E760&lt;&gt;"",'Paste Here'!$E760,"")</f>
        <v/>
      </c>
      <c r="K766" s="16" t="str">
        <f>IF('Paste Here'!$F760&lt;&gt;"",'Paste Here'!$F760,"")</f>
        <v/>
      </c>
      <c r="L766" s="16" t="str">
        <f>IF('Paste Here'!$G760&lt;&gt;"",'Paste Here'!$G760,"")</f>
        <v/>
      </c>
      <c r="M766" s="18" t="str">
        <f t="shared" si="23"/>
        <v/>
      </c>
    </row>
    <row r="767" spans="1:13" s="17" customFormat="1" x14ac:dyDescent="0.25">
      <c r="A767" s="16" t="str">
        <f>IF(URN&lt;&gt;"",_xll.mdValue("Resident",_xlnm.Database,$F767),"")</f>
        <v/>
      </c>
      <c r="B767" s="16" t="str">
        <f>IF(PersonId&lt;&gt;"",_xll.mdValue("Resident First Name",_xlnm.Database,$A$8),"")</f>
        <v/>
      </c>
      <c r="C767" s="16" t="str">
        <f>IF(PersonId&lt;&gt;"",_xll.mdValue("Resident Last Name",_xlnm.Database,$A$8),"")</f>
        <v/>
      </c>
      <c r="D767" s="16" t="str">
        <f>IF(PersonId&lt;&gt;"",_xll.mdValue("Person Accomodation Code",_xlnm.Database,$A767),"")</f>
        <v/>
      </c>
      <c r="E767" s="28" t="str">
        <f t="shared" si="22"/>
        <v/>
      </c>
      <c r="F767" s="16" t="str">
        <f>IF('Paste Here'!$A761&lt;&gt;"",'Paste Here'!$A761,"")</f>
        <v/>
      </c>
      <c r="G767" s="16" t="str">
        <f>IF('Paste Here'!$B761&lt;&gt;"",'Paste Here'!$B761,"")</f>
        <v/>
      </c>
      <c r="H767" s="16" t="str">
        <f>IF('Paste Here'!$C761&lt;&gt;"",'Paste Here'!$C761,"")</f>
        <v/>
      </c>
      <c r="I767" s="25" t="str">
        <f>IF('Paste Here'!$D761&lt;&gt;"",'Paste Here'!$D761,"")</f>
        <v/>
      </c>
      <c r="J767" s="27" t="str">
        <f>IF('Paste Here'!$E761&lt;&gt;"",'Paste Here'!$E761,"")</f>
        <v/>
      </c>
      <c r="K767" s="16" t="str">
        <f>IF('Paste Here'!$F761&lt;&gt;"",'Paste Here'!$F761,"")</f>
        <v/>
      </c>
      <c r="L767" s="16" t="str">
        <f>IF('Paste Here'!$G761&lt;&gt;"",'Paste Here'!$G761,"")</f>
        <v/>
      </c>
      <c r="M767" s="18" t="str">
        <f t="shared" si="23"/>
        <v/>
      </c>
    </row>
    <row r="768" spans="1:13" s="17" customFormat="1" x14ac:dyDescent="0.25">
      <c r="A768" s="16" t="str">
        <f>IF(URN&lt;&gt;"",_xll.mdValue("Resident",_xlnm.Database,$F768),"")</f>
        <v/>
      </c>
      <c r="B768" s="16" t="str">
        <f>IF(PersonId&lt;&gt;"",_xll.mdValue("Resident First Name",_xlnm.Database,$A$8),"")</f>
        <v/>
      </c>
      <c r="C768" s="16" t="str">
        <f>IF(PersonId&lt;&gt;"",_xll.mdValue("Resident Last Name",_xlnm.Database,$A$8),"")</f>
        <v/>
      </c>
      <c r="D768" s="16" t="str">
        <f>IF(PersonId&lt;&gt;"",_xll.mdValue("Person Accomodation Code",_xlnm.Database,$A768),"")</f>
        <v/>
      </c>
      <c r="E768" s="28" t="str">
        <f t="shared" si="22"/>
        <v/>
      </c>
      <c r="F768" s="16" t="str">
        <f>IF('Paste Here'!$A762&lt;&gt;"",'Paste Here'!$A762,"")</f>
        <v/>
      </c>
      <c r="G768" s="16" t="str">
        <f>IF('Paste Here'!$B762&lt;&gt;"",'Paste Here'!$B762,"")</f>
        <v/>
      </c>
      <c r="H768" s="16" t="str">
        <f>IF('Paste Here'!$C762&lt;&gt;"",'Paste Here'!$C762,"")</f>
        <v/>
      </c>
      <c r="I768" s="25" t="str">
        <f>IF('Paste Here'!$D762&lt;&gt;"",'Paste Here'!$D762,"")</f>
        <v/>
      </c>
      <c r="J768" s="27" t="str">
        <f>IF('Paste Here'!$E762&lt;&gt;"",'Paste Here'!$E762,"")</f>
        <v/>
      </c>
      <c r="K768" s="16" t="str">
        <f>IF('Paste Here'!$F762&lt;&gt;"",'Paste Here'!$F762,"")</f>
        <v/>
      </c>
      <c r="L768" s="16" t="str">
        <f>IF('Paste Here'!$G762&lt;&gt;"",'Paste Here'!$G762,"")</f>
        <v/>
      </c>
      <c r="M768" s="18" t="str">
        <f t="shared" si="23"/>
        <v/>
      </c>
    </row>
    <row r="769" spans="1:13" s="17" customFormat="1" x14ac:dyDescent="0.25">
      <c r="A769" s="16" t="str">
        <f>IF(URN&lt;&gt;"",_xll.mdValue("Resident",_xlnm.Database,$F769),"")</f>
        <v/>
      </c>
      <c r="B769" s="16" t="str">
        <f>IF(PersonId&lt;&gt;"",_xll.mdValue("Resident First Name",_xlnm.Database,$A$8),"")</f>
        <v/>
      </c>
      <c r="C769" s="16" t="str">
        <f>IF(PersonId&lt;&gt;"",_xll.mdValue("Resident Last Name",_xlnm.Database,$A$8),"")</f>
        <v/>
      </c>
      <c r="D769" s="16" t="str">
        <f>IF(PersonId&lt;&gt;"",_xll.mdValue("Person Accomodation Code",_xlnm.Database,$A769),"")</f>
        <v/>
      </c>
      <c r="E769" s="28" t="str">
        <f t="shared" si="22"/>
        <v/>
      </c>
      <c r="F769" s="16" t="str">
        <f>IF('Paste Here'!$A763&lt;&gt;"",'Paste Here'!$A763,"")</f>
        <v/>
      </c>
      <c r="G769" s="16" t="str">
        <f>IF('Paste Here'!$B763&lt;&gt;"",'Paste Here'!$B763,"")</f>
        <v/>
      </c>
      <c r="H769" s="16" t="str">
        <f>IF('Paste Here'!$C763&lt;&gt;"",'Paste Here'!$C763,"")</f>
        <v/>
      </c>
      <c r="I769" s="25" t="str">
        <f>IF('Paste Here'!$D763&lt;&gt;"",'Paste Here'!$D763,"")</f>
        <v/>
      </c>
      <c r="J769" s="27" t="str">
        <f>IF('Paste Here'!$E763&lt;&gt;"",'Paste Here'!$E763,"")</f>
        <v/>
      </c>
      <c r="K769" s="16" t="str">
        <f>IF('Paste Here'!$F763&lt;&gt;"",'Paste Here'!$F763,"")</f>
        <v/>
      </c>
      <c r="L769" s="16" t="str">
        <f>IF('Paste Here'!$G763&lt;&gt;"",'Paste Here'!$G763,"")</f>
        <v/>
      </c>
      <c r="M769" s="18" t="str">
        <f t="shared" si="23"/>
        <v/>
      </c>
    </row>
    <row r="770" spans="1:13" s="17" customFormat="1" x14ac:dyDescent="0.25">
      <c r="A770" s="16" t="str">
        <f>IF(URN&lt;&gt;"",_xll.mdValue("Resident",_xlnm.Database,$F770),"")</f>
        <v/>
      </c>
      <c r="B770" s="16" t="str">
        <f>IF(PersonId&lt;&gt;"",_xll.mdValue("Resident First Name",_xlnm.Database,$A$8),"")</f>
        <v/>
      </c>
      <c r="C770" s="16" t="str">
        <f>IF(PersonId&lt;&gt;"",_xll.mdValue("Resident Last Name",_xlnm.Database,$A$8),"")</f>
        <v/>
      </c>
      <c r="D770" s="16" t="str">
        <f>IF(PersonId&lt;&gt;"",_xll.mdValue("Person Accomodation Code",_xlnm.Database,$A770),"")</f>
        <v/>
      </c>
      <c r="E770" s="28" t="str">
        <f t="shared" si="22"/>
        <v/>
      </c>
      <c r="F770" s="16" t="str">
        <f>IF('Paste Here'!$A764&lt;&gt;"",'Paste Here'!$A764,"")</f>
        <v/>
      </c>
      <c r="G770" s="16" t="str">
        <f>IF('Paste Here'!$B764&lt;&gt;"",'Paste Here'!$B764,"")</f>
        <v/>
      </c>
      <c r="H770" s="16" t="str">
        <f>IF('Paste Here'!$C764&lt;&gt;"",'Paste Here'!$C764,"")</f>
        <v/>
      </c>
      <c r="I770" s="25" t="str">
        <f>IF('Paste Here'!$D764&lt;&gt;"",'Paste Here'!$D764,"")</f>
        <v/>
      </c>
      <c r="J770" s="27" t="str">
        <f>IF('Paste Here'!$E764&lt;&gt;"",'Paste Here'!$E764,"")</f>
        <v/>
      </c>
      <c r="K770" s="16" t="str">
        <f>IF('Paste Here'!$F764&lt;&gt;"",'Paste Here'!$F764,"")</f>
        <v/>
      </c>
      <c r="L770" s="16" t="str">
        <f>IF('Paste Here'!$G764&lt;&gt;"",'Paste Here'!$G764,"")</f>
        <v/>
      </c>
      <c r="M770" s="18" t="str">
        <f t="shared" si="23"/>
        <v/>
      </c>
    </row>
    <row r="771" spans="1:13" s="17" customFormat="1" x14ac:dyDescent="0.25">
      <c r="A771" s="16" t="str">
        <f>IF(URN&lt;&gt;"",_xll.mdValue("Resident",_xlnm.Database,$F771),"")</f>
        <v/>
      </c>
      <c r="B771" s="16" t="str">
        <f>IF(PersonId&lt;&gt;"",_xll.mdValue("Resident First Name",_xlnm.Database,$A$8),"")</f>
        <v/>
      </c>
      <c r="C771" s="16" t="str">
        <f>IF(PersonId&lt;&gt;"",_xll.mdValue("Resident Last Name",_xlnm.Database,$A$8),"")</f>
        <v/>
      </c>
      <c r="D771" s="16" t="str">
        <f>IF(PersonId&lt;&gt;"",_xll.mdValue("Person Accomodation Code",_xlnm.Database,$A771),"")</f>
        <v/>
      </c>
      <c r="E771" s="28" t="str">
        <f t="shared" si="22"/>
        <v/>
      </c>
      <c r="F771" s="16" t="str">
        <f>IF('Paste Here'!$A765&lt;&gt;"",'Paste Here'!$A765,"")</f>
        <v/>
      </c>
      <c r="G771" s="16" t="str">
        <f>IF('Paste Here'!$B765&lt;&gt;"",'Paste Here'!$B765,"")</f>
        <v/>
      </c>
      <c r="H771" s="16" t="str">
        <f>IF('Paste Here'!$C765&lt;&gt;"",'Paste Here'!$C765,"")</f>
        <v/>
      </c>
      <c r="I771" s="25" t="str">
        <f>IF('Paste Here'!$D765&lt;&gt;"",'Paste Here'!$D765,"")</f>
        <v/>
      </c>
      <c r="J771" s="27" t="str">
        <f>IF('Paste Here'!$E765&lt;&gt;"",'Paste Here'!$E765,"")</f>
        <v/>
      </c>
      <c r="K771" s="16" t="str">
        <f>IF('Paste Here'!$F765&lt;&gt;"",'Paste Here'!$F765,"")</f>
        <v/>
      </c>
      <c r="L771" s="16" t="str">
        <f>IF('Paste Here'!$G765&lt;&gt;"",'Paste Here'!$G765,"")</f>
        <v/>
      </c>
      <c r="M771" s="18" t="str">
        <f t="shared" si="23"/>
        <v/>
      </c>
    </row>
    <row r="772" spans="1:13" s="17" customFormat="1" x14ac:dyDescent="0.25">
      <c r="A772" s="16" t="str">
        <f>IF(URN&lt;&gt;"",_xll.mdValue("Resident",_xlnm.Database,$F772),"")</f>
        <v/>
      </c>
      <c r="B772" s="16" t="str">
        <f>IF(PersonId&lt;&gt;"",_xll.mdValue("Resident First Name",_xlnm.Database,$A$8),"")</f>
        <v/>
      </c>
      <c r="C772" s="16" t="str">
        <f>IF(PersonId&lt;&gt;"",_xll.mdValue("Resident Last Name",_xlnm.Database,$A$8),"")</f>
        <v/>
      </c>
      <c r="D772" s="16" t="str">
        <f>IF(PersonId&lt;&gt;"",_xll.mdValue("Person Accomodation Code",_xlnm.Database,$A772),"")</f>
        <v/>
      </c>
      <c r="E772" s="28" t="str">
        <f t="shared" si="22"/>
        <v/>
      </c>
      <c r="F772" s="16" t="str">
        <f>IF('Paste Here'!$A766&lt;&gt;"",'Paste Here'!$A766,"")</f>
        <v/>
      </c>
      <c r="G772" s="16" t="str">
        <f>IF('Paste Here'!$B766&lt;&gt;"",'Paste Here'!$B766,"")</f>
        <v/>
      </c>
      <c r="H772" s="16" t="str">
        <f>IF('Paste Here'!$C766&lt;&gt;"",'Paste Here'!$C766,"")</f>
        <v/>
      </c>
      <c r="I772" s="25" t="str">
        <f>IF('Paste Here'!$D766&lt;&gt;"",'Paste Here'!$D766,"")</f>
        <v/>
      </c>
      <c r="J772" s="27" t="str">
        <f>IF('Paste Here'!$E766&lt;&gt;"",'Paste Here'!$E766,"")</f>
        <v/>
      </c>
      <c r="K772" s="16" t="str">
        <f>IF('Paste Here'!$F766&lt;&gt;"",'Paste Here'!$F766,"")</f>
        <v/>
      </c>
      <c r="L772" s="16" t="str">
        <f>IF('Paste Here'!$G766&lt;&gt;"",'Paste Here'!$G766,"")</f>
        <v/>
      </c>
      <c r="M772" s="18" t="str">
        <f t="shared" si="23"/>
        <v/>
      </c>
    </row>
    <row r="773" spans="1:13" s="17" customFormat="1" x14ac:dyDescent="0.25">
      <c r="A773" s="16" t="str">
        <f>IF(URN&lt;&gt;"",_xll.mdValue("Resident",_xlnm.Database,$F773),"")</f>
        <v/>
      </c>
      <c r="B773" s="16" t="str">
        <f>IF(PersonId&lt;&gt;"",_xll.mdValue("Resident First Name",_xlnm.Database,$A$8),"")</f>
        <v/>
      </c>
      <c r="C773" s="16" t="str">
        <f>IF(PersonId&lt;&gt;"",_xll.mdValue("Resident Last Name",_xlnm.Database,$A$8),"")</f>
        <v/>
      </c>
      <c r="D773" s="16" t="str">
        <f>IF(PersonId&lt;&gt;"",_xll.mdValue("Person Accomodation Code",_xlnm.Database,$A773),"")</f>
        <v/>
      </c>
      <c r="E773" s="28" t="str">
        <f t="shared" si="22"/>
        <v/>
      </c>
      <c r="F773" s="16" t="str">
        <f>IF('Paste Here'!$A767&lt;&gt;"",'Paste Here'!$A767,"")</f>
        <v/>
      </c>
      <c r="G773" s="16" t="str">
        <f>IF('Paste Here'!$B767&lt;&gt;"",'Paste Here'!$B767,"")</f>
        <v/>
      </c>
      <c r="H773" s="16" t="str">
        <f>IF('Paste Here'!$C767&lt;&gt;"",'Paste Here'!$C767,"")</f>
        <v/>
      </c>
      <c r="I773" s="25" t="str">
        <f>IF('Paste Here'!$D767&lt;&gt;"",'Paste Here'!$D767,"")</f>
        <v/>
      </c>
      <c r="J773" s="27" t="str">
        <f>IF('Paste Here'!$E767&lt;&gt;"",'Paste Here'!$E767,"")</f>
        <v/>
      </c>
      <c r="K773" s="16" t="str">
        <f>IF('Paste Here'!$F767&lt;&gt;"",'Paste Here'!$F767,"")</f>
        <v/>
      </c>
      <c r="L773" s="16" t="str">
        <f>IF('Paste Here'!$G767&lt;&gt;"",'Paste Here'!$G767,"")</f>
        <v/>
      </c>
      <c r="M773" s="18" t="str">
        <f t="shared" si="23"/>
        <v/>
      </c>
    </row>
    <row r="774" spans="1:13" s="17" customFormat="1" x14ac:dyDescent="0.25">
      <c r="A774" s="16" t="str">
        <f>IF(URN&lt;&gt;"",_xll.mdValue("Resident",_xlnm.Database,$F774),"")</f>
        <v/>
      </c>
      <c r="B774" s="16" t="str">
        <f>IF(PersonId&lt;&gt;"",_xll.mdValue("Resident First Name",_xlnm.Database,$A$8),"")</f>
        <v/>
      </c>
      <c r="C774" s="16" t="str">
        <f>IF(PersonId&lt;&gt;"",_xll.mdValue("Resident Last Name",_xlnm.Database,$A$8),"")</f>
        <v/>
      </c>
      <c r="D774" s="16" t="str">
        <f>IF(PersonId&lt;&gt;"",_xll.mdValue("Person Accomodation Code",_xlnm.Database,$A774),"")</f>
        <v/>
      </c>
      <c r="E774" s="28" t="str">
        <f t="shared" si="22"/>
        <v/>
      </c>
      <c r="F774" s="16" t="str">
        <f>IF('Paste Here'!$A768&lt;&gt;"",'Paste Here'!$A768,"")</f>
        <v/>
      </c>
      <c r="G774" s="16" t="str">
        <f>IF('Paste Here'!$B768&lt;&gt;"",'Paste Here'!$B768,"")</f>
        <v/>
      </c>
      <c r="H774" s="16" t="str">
        <f>IF('Paste Here'!$C768&lt;&gt;"",'Paste Here'!$C768,"")</f>
        <v/>
      </c>
      <c r="I774" s="25" t="str">
        <f>IF('Paste Here'!$D768&lt;&gt;"",'Paste Here'!$D768,"")</f>
        <v/>
      </c>
      <c r="J774" s="27" t="str">
        <f>IF('Paste Here'!$E768&lt;&gt;"",'Paste Here'!$E768,"")</f>
        <v/>
      </c>
      <c r="K774" s="16" t="str">
        <f>IF('Paste Here'!$F768&lt;&gt;"",'Paste Here'!$F768,"")</f>
        <v/>
      </c>
      <c r="L774" s="16" t="str">
        <f>IF('Paste Here'!$G768&lt;&gt;"",'Paste Here'!$G768,"")</f>
        <v/>
      </c>
      <c r="M774" s="18" t="str">
        <f t="shared" si="23"/>
        <v/>
      </c>
    </row>
    <row r="775" spans="1:13" s="17" customFormat="1" x14ac:dyDescent="0.25">
      <c r="A775" s="16" t="str">
        <f>IF(URN&lt;&gt;"",_xll.mdValue("Resident",_xlnm.Database,$F775),"")</f>
        <v/>
      </c>
      <c r="B775" s="16" t="str">
        <f>IF(PersonId&lt;&gt;"",_xll.mdValue("Resident First Name",_xlnm.Database,$A$8),"")</f>
        <v/>
      </c>
      <c r="C775" s="16" t="str">
        <f>IF(PersonId&lt;&gt;"",_xll.mdValue("Resident Last Name",_xlnm.Database,$A$8),"")</f>
        <v/>
      </c>
      <c r="D775" s="16" t="str">
        <f>IF(PersonId&lt;&gt;"",_xll.mdValue("Person Accomodation Code",_xlnm.Database,$A775),"")</f>
        <v/>
      </c>
      <c r="E775" s="28" t="str">
        <f t="shared" si="22"/>
        <v/>
      </c>
      <c r="F775" s="16" t="str">
        <f>IF('Paste Here'!$A769&lt;&gt;"",'Paste Here'!$A769,"")</f>
        <v/>
      </c>
      <c r="G775" s="16" t="str">
        <f>IF('Paste Here'!$B769&lt;&gt;"",'Paste Here'!$B769,"")</f>
        <v/>
      </c>
      <c r="H775" s="16" t="str">
        <f>IF('Paste Here'!$C769&lt;&gt;"",'Paste Here'!$C769,"")</f>
        <v/>
      </c>
      <c r="I775" s="25" t="str">
        <f>IF('Paste Here'!$D769&lt;&gt;"",'Paste Here'!$D769,"")</f>
        <v/>
      </c>
      <c r="J775" s="27" t="str">
        <f>IF('Paste Here'!$E769&lt;&gt;"",'Paste Here'!$E769,"")</f>
        <v/>
      </c>
      <c r="K775" s="16" t="str">
        <f>IF('Paste Here'!$F769&lt;&gt;"",'Paste Here'!$F769,"")</f>
        <v/>
      </c>
      <c r="L775" s="16" t="str">
        <f>IF('Paste Here'!$G769&lt;&gt;"",'Paste Here'!$G769,"")</f>
        <v/>
      </c>
      <c r="M775" s="18" t="str">
        <f t="shared" si="23"/>
        <v/>
      </c>
    </row>
    <row r="776" spans="1:13" s="17" customFormat="1" x14ac:dyDescent="0.25">
      <c r="A776" s="16" t="str">
        <f>IF(URN&lt;&gt;"",_xll.mdValue("Resident",_xlnm.Database,$F776),"")</f>
        <v/>
      </c>
      <c r="B776" s="16" t="str">
        <f>IF(PersonId&lt;&gt;"",_xll.mdValue("Resident First Name",_xlnm.Database,$A$8),"")</f>
        <v/>
      </c>
      <c r="C776" s="16" t="str">
        <f>IF(PersonId&lt;&gt;"",_xll.mdValue("Resident Last Name",_xlnm.Database,$A$8),"")</f>
        <v/>
      </c>
      <c r="D776" s="16" t="str">
        <f>IF(PersonId&lt;&gt;"",_xll.mdValue("Person Accomodation Code",_xlnm.Database,$A776),"")</f>
        <v/>
      </c>
      <c r="E776" s="28" t="str">
        <f t="shared" ref="E776:E839" si="24">IF(ClientCare_Accommodation&lt;&gt;"",IF(ClientCare_Accommodation&lt;&gt;AccommodationCode,"Missing Accommodation",""),"")</f>
        <v/>
      </c>
      <c r="F776" s="16" t="str">
        <f>IF('Paste Here'!$A770&lt;&gt;"",'Paste Here'!$A770,"")</f>
        <v/>
      </c>
      <c r="G776" s="16" t="str">
        <f>IF('Paste Here'!$B770&lt;&gt;"",'Paste Here'!$B770,"")</f>
        <v/>
      </c>
      <c r="H776" s="16" t="str">
        <f>IF('Paste Here'!$C770&lt;&gt;"",'Paste Here'!$C770,"")</f>
        <v/>
      </c>
      <c r="I776" s="25" t="str">
        <f>IF('Paste Here'!$D770&lt;&gt;"",'Paste Here'!$D770,"")</f>
        <v/>
      </c>
      <c r="J776" s="27" t="str">
        <f>IF('Paste Here'!$E770&lt;&gt;"",'Paste Here'!$E770,"")</f>
        <v/>
      </c>
      <c r="K776" s="16" t="str">
        <f>IF('Paste Here'!$F770&lt;&gt;"",'Paste Here'!$F770,"")</f>
        <v/>
      </c>
      <c r="L776" s="16" t="str">
        <f>IF('Paste Here'!$G770&lt;&gt;"",'Paste Here'!$G770,"")</f>
        <v/>
      </c>
      <c r="M776" s="18" t="str">
        <f t="shared" ref="M776:M839" si="25">IF(PersonId&lt;&gt;"","Normal","")</f>
        <v/>
      </c>
    </row>
    <row r="777" spans="1:13" s="17" customFormat="1" x14ac:dyDescent="0.25">
      <c r="A777" s="16" t="str">
        <f>IF(URN&lt;&gt;"",_xll.mdValue("Resident",_xlnm.Database,$F777),"")</f>
        <v/>
      </c>
      <c r="B777" s="16" t="str">
        <f>IF(PersonId&lt;&gt;"",_xll.mdValue("Resident First Name",_xlnm.Database,$A$8),"")</f>
        <v/>
      </c>
      <c r="C777" s="16" t="str">
        <f>IF(PersonId&lt;&gt;"",_xll.mdValue("Resident Last Name",_xlnm.Database,$A$8),"")</f>
        <v/>
      </c>
      <c r="D777" s="16" t="str">
        <f>IF(PersonId&lt;&gt;"",_xll.mdValue("Person Accomodation Code",_xlnm.Database,$A777),"")</f>
        <v/>
      </c>
      <c r="E777" s="28" t="str">
        <f t="shared" si="24"/>
        <v/>
      </c>
      <c r="F777" s="16" t="str">
        <f>IF('Paste Here'!$A771&lt;&gt;"",'Paste Here'!$A771,"")</f>
        <v/>
      </c>
      <c r="G777" s="16" t="str">
        <f>IF('Paste Here'!$B771&lt;&gt;"",'Paste Here'!$B771,"")</f>
        <v/>
      </c>
      <c r="H777" s="16" t="str">
        <f>IF('Paste Here'!$C771&lt;&gt;"",'Paste Here'!$C771,"")</f>
        <v/>
      </c>
      <c r="I777" s="25" t="str">
        <f>IF('Paste Here'!$D771&lt;&gt;"",'Paste Here'!$D771,"")</f>
        <v/>
      </c>
      <c r="J777" s="27" t="str">
        <f>IF('Paste Here'!$E771&lt;&gt;"",'Paste Here'!$E771,"")</f>
        <v/>
      </c>
      <c r="K777" s="16" t="str">
        <f>IF('Paste Here'!$F771&lt;&gt;"",'Paste Here'!$F771,"")</f>
        <v/>
      </c>
      <c r="L777" s="16" t="str">
        <f>IF('Paste Here'!$G771&lt;&gt;"",'Paste Here'!$G771,"")</f>
        <v/>
      </c>
      <c r="M777" s="18" t="str">
        <f t="shared" si="25"/>
        <v/>
      </c>
    </row>
    <row r="778" spans="1:13" s="17" customFormat="1" x14ac:dyDescent="0.25">
      <c r="A778" s="16" t="str">
        <f>IF(URN&lt;&gt;"",_xll.mdValue("Resident",_xlnm.Database,$F778),"")</f>
        <v/>
      </c>
      <c r="B778" s="16" t="str">
        <f>IF(PersonId&lt;&gt;"",_xll.mdValue("Resident First Name",_xlnm.Database,$A$8),"")</f>
        <v/>
      </c>
      <c r="C778" s="16" t="str">
        <f>IF(PersonId&lt;&gt;"",_xll.mdValue("Resident Last Name",_xlnm.Database,$A$8),"")</f>
        <v/>
      </c>
      <c r="D778" s="16" t="str">
        <f>IF(PersonId&lt;&gt;"",_xll.mdValue("Person Accomodation Code",_xlnm.Database,$A778),"")</f>
        <v/>
      </c>
      <c r="E778" s="28" t="str">
        <f t="shared" si="24"/>
        <v/>
      </c>
      <c r="F778" s="16" t="str">
        <f>IF('Paste Here'!$A772&lt;&gt;"",'Paste Here'!$A772,"")</f>
        <v/>
      </c>
      <c r="G778" s="16" t="str">
        <f>IF('Paste Here'!$B772&lt;&gt;"",'Paste Here'!$B772,"")</f>
        <v/>
      </c>
      <c r="H778" s="16" t="str">
        <f>IF('Paste Here'!$C772&lt;&gt;"",'Paste Here'!$C772,"")</f>
        <v/>
      </c>
      <c r="I778" s="25" t="str">
        <f>IF('Paste Here'!$D772&lt;&gt;"",'Paste Here'!$D772,"")</f>
        <v/>
      </c>
      <c r="J778" s="27" t="str">
        <f>IF('Paste Here'!$E772&lt;&gt;"",'Paste Here'!$E772,"")</f>
        <v/>
      </c>
      <c r="K778" s="16" t="str">
        <f>IF('Paste Here'!$F772&lt;&gt;"",'Paste Here'!$F772,"")</f>
        <v/>
      </c>
      <c r="L778" s="16" t="str">
        <f>IF('Paste Here'!$G772&lt;&gt;"",'Paste Here'!$G772,"")</f>
        <v/>
      </c>
      <c r="M778" s="18" t="str">
        <f t="shared" si="25"/>
        <v/>
      </c>
    </row>
    <row r="779" spans="1:13" s="17" customFormat="1" x14ac:dyDescent="0.25">
      <c r="A779" s="16" t="str">
        <f>IF(URN&lt;&gt;"",_xll.mdValue("Resident",_xlnm.Database,$F779),"")</f>
        <v/>
      </c>
      <c r="B779" s="16" t="str">
        <f>IF(PersonId&lt;&gt;"",_xll.mdValue("Resident First Name",_xlnm.Database,$A$8),"")</f>
        <v/>
      </c>
      <c r="C779" s="16" t="str">
        <f>IF(PersonId&lt;&gt;"",_xll.mdValue("Resident Last Name",_xlnm.Database,$A$8),"")</f>
        <v/>
      </c>
      <c r="D779" s="16" t="str">
        <f>IF(PersonId&lt;&gt;"",_xll.mdValue("Person Accomodation Code",_xlnm.Database,$A779),"")</f>
        <v/>
      </c>
      <c r="E779" s="28" t="str">
        <f t="shared" si="24"/>
        <v/>
      </c>
      <c r="F779" s="16" t="str">
        <f>IF('Paste Here'!$A773&lt;&gt;"",'Paste Here'!$A773,"")</f>
        <v/>
      </c>
      <c r="G779" s="16" t="str">
        <f>IF('Paste Here'!$B773&lt;&gt;"",'Paste Here'!$B773,"")</f>
        <v/>
      </c>
      <c r="H779" s="16" t="str">
        <f>IF('Paste Here'!$C773&lt;&gt;"",'Paste Here'!$C773,"")</f>
        <v/>
      </c>
      <c r="I779" s="25" t="str">
        <f>IF('Paste Here'!$D773&lt;&gt;"",'Paste Here'!$D773,"")</f>
        <v/>
      </c>
      <c r="J779" s="27" t="str">
        <f>IF('Paste Here'!$E773&lt;&gt;"",'Paste Here'!$E773,"")</f>
        <v/>
      </c>
      <c r="K779" s="16" t="str">
        <f>IF('Paste Here'!$F773&lt;&gt;"",'Paste Here'!$F773,"")</f>
        <v/>
      </c>
      <c r="L779" s="16" t="str">
        <f>IF('Paste Here'!$G773&lt;&gt;"",'Paste Here'!$G773,"")</f>
        <v/>
      </c>
      <c r="M779" s="18" t="str">
        <f t="shared" si="25"/>
        <v/>
      </c>
    </row>
    <row r="780" spans="1:13" s="17" customFormat="1" x14ac:dyDescent="0.25">
      <c r="A780" s="16" t="str">
        <f>IF(URN&lt;&gt;"",_xll.mdValue("Resident",_xlnm.Database,$F780),"")</f>
        <v/>
      </c>
      <c r="B780" s="16" t="str">
        <f>IF(PersonId&lt;&gt;"",_xll.mdValue("Resident First Name",_xlnm.Database,$A$8),"")</f>
        <v/>
      </c>
      <c r="C780" s="16" t="str">
        <f>IF(PersonId&lt;&gt;"",_xll.mdValue("Resident Last Name",_xlnm.Database,$A$8),"")</f>
        <v/>
      </c>
      <c r="D780" s="16" t="str">
        <f>IF(PersonId&lt;&gt;"",_xll.mdValue("Person Accomodation Code",_xlnm.Database,$A780),"")</f>
        <v/>
      </c>
      <c r="E780" s="28" t="str">
        <f t="shared" si="24"/>
        <v/>
      </c>
      <c r="F780" s="16" t="str">
        <f>IF('Paste Here'!$A774&lt;&gt;"",'Paste Here'!$A774,"")</f>
        <v/>
      </c>
      <c r="G780" s="16" t="str">
        <f>IF('Paste Here'!$B774&lt;&gt;"",'Paste Here'!$B774,"")</f>
        <v/>
      </c>
      <c r="H780" s="16" t="str">
        <f>IF('Paste Here'!$C774&lt;&gt;"",'Paste Here'!$C774,"")</f>
        <v/>
      </c>
      <c r="I780" s="25" t="str">
        <f>IF('Paste Here'!$D774&lt;&gt;"",'Paste Here'!$D774,"")</f>
        <v/>
      </c>
      <c r="J780" s="27" t="str">
        <f>IF('Paste Here'!$E774&lt;&gt;"",'Paste Here'!$E774,"")</f>
        <v/>
      </c>
      <c r="K780" s="16" t="str">
        <f>IF('Paste Here'!$F774&lt;&gt;"",'Paste Here'!$F774,"")</f>
        <v/>
      </c>
      <c r="L780" s="16" t="str">
        <f>IF('Paste Here'!$G774&lt;&gt;"",'Paste Here'!$G774,"")</f>
        <v/>
      </c>
      <c r="M780" s="18" t="str">
        <f t="shared" si="25"/>
        <v/>
      </c>
    </row>
    <row r="781" spans="1:13" s="17" customFormat="1" x14ac:dyDescent="0.25">
      <c r="A781" s="16" t="str">
        <f>IF(URN&lt;&gt;"",_xll.mdValue("Resident",_xlnm.Database,$F781),"")</f>
        <v/>
      </c>
      <c r="B781" s="16" t="str">
        <f>IF(PersonId&lt;&gt;"",_xll.mdValue("Resident First Name",_xlnm.Database,$A$8),"")</f>
        <v/>
      </c>
      <c r="C781" s="16" t="str">
        <f>IF(PersonId&lt;&gt;"",_xll.mdValue("Resident Last Name",_xlnm.Database,$A$8),"")</f>
        <v/>
      </c>
      <c r="D781" s="16" t="str">
        <f>IF(PersonId&lt;&gt;"",_xll.mdValue("Person Accomodation Code",_xlnm.Database,$A781),"")</f>
        <v/>
      </c>
      <c r="E781" s="28" t="str">
        <f t="shared" si="24"/>
        <v/>
      </c>
      <c r="F781" s="16" t="str">
        <f>IF('Paste Here'!$A775&lt;&gt;"",'Paste Here'!$A775,"")</f>
        <v/>
      </c>
      <c r="G781" s="16" t="str">
        <f>IF('Paste Here'!$B775&lt;&gt;"",'Paste Here'!$B775,"")</f>
        <v/>
      </c>
      <c r="H781" s="16" t="str">
        <f>IF('Paste Here'!$C775&lt;&gt;"",'Paste Here'!$C775,"")</f>
        <v/>
      </c>
      <c r="I781" s="25" t="str">
        <f>IF('Paste Here'!$D775&lt;&gt;"",'Paste Here'!$D775,"")</f>
        <v/>
      </c>
      <c r="J781" s="27" t="str">
        <f>IF('Paste Here'!$E775&lt;&gt;"",'Paste Here'!$E775,"")</f>
        <v/>
      </c>
      <c r="K781" s="16" t="str">
        <f>IF('Paste Here'!$F775&lt;&gt;"",'Paste Here'!$F775,"")</f>
        <v/>
      </c>
      <c r="L781" s="16" t="str">
        <f>IF('Paste Here'!$G775&lt;&gt;"",'Paste Here'!$G775,"")</f>
        <v/>
      </c>
      <c r="M781" s="18" t="str">
        <f t="shared" si="25"/>
        <v/>
      </c>
    </row>
    <row r="782" spans="1:13" s="17" customFormat="1" x14ac:dyDescent="0.25">
      <c r="A782" s="16" t="str">
        <f>IF(URN&lt;&gt;"",_xll.mdValue("Resident",_xlnm.Database,$F782),"")</f>
        <v/>
      </c>
      <c r="B782" s="16" t="str">
        <f>IF(PersonId&lt;&gt;"",_xll.mdValue("Resident First Name",_xlnm.Database,$A$8),"")</f>
        <v/>
      </c>
      <c r="C782" s="16" t="str">
        <f>IF(PersonId&lt;&gt;"",_xll.mdValue("Resident Last Name",_xlnm.Database,$A$8),"")</f>
        <v/>
      </c>
      <c r="D782" s="16" t="str">
        <f>IF(PersonId&lt;&gt;"",_xll.mdValue("Person Accomodation Code",_xlnm.Database,$A782),"")</f>
        <v/>
      </c>
      <c r="E782" s="28" t="str">
        <f t="shared" si="24"/>
        <v/>
      </c>
      <c r="F782" s="16" t="str">
        <f>IF('Paste Here'!$A776&lt;&gt;"",'Paste Here'!$A776,"")</f>
        <v/>
      </c>
      <c r="G782" s="16" t="str">
        <f>IF('Paste Here'!$B776&lt;&gt;"",'Paste Here'!$B776,"")</f>
        <v/>
      </c>
      <c r="H782" s="16" t="str">
        <f>IF('Paste Here'!$C776&lt;&gt;"",'Paste Here'!$C776,"")</f>
        <v/>
      </c>
      <c r="I782" s="25" t="str">
        <f>IF('Paste Here'!$D776&lt;&gt;"",'Paste Here'!$D776,"")</f>
        <v/>
      </c>
      <c r="J782" s="27" t="str">
        <f>IF('Paste Here'!$E776&lt;&gt;"",'Paste Here'!$E776,"")</f>
        <v/>
      </c>
      <c r="K782" s="16" t="str">
        <f>IF('Paste Here'!$F776&lt;&gt;"",'Paste Here'!$F776,"")</f>
        <v/>
      </c>
      <c r="L782" s="16" t="str">
        <f>IF('Paste Here'!$G776&lt;&gt;"",'Paste Here'!$G776,"")</f>
        <v/>
      </c>
      <c r="M782" s="18" t="str">
        <f t="shared" si="25"/>
        <v/>
      </c>
    </row>
    <row r="783" spans="1:13" s="17" customFormat="1" x14ac:dyDescent="0.25">
      <c r="A783" s="16" t="str">
        <f>IF(URN&lt;&gt;"",_xll.mdValue("Resident",_xlnm.Database,$F783),"")</f>
        <v/>
      </c>
      <c r="B783" s="16" t="str">
        <f>IF(PersonId&lt;&gt;"",_xll.mdValue("Resident First Name",_xlnm.Database,$A$8),"")</f>
        <v/>
      </c>
      <c r="C783" s="16" t="str">
        <f>IF(PersonId&lt;&gt;"",_xll.mdValue("Resident Last Name",_xlnm.Database,$A$8),"")</f>
        <v/>
      </c>
      <c r="D783" s="16" t="str">
        <f>IF(PersonId&lt;&gt;"",_xll.mdValue("Person Accomodation Code",_xlnm.Database,$A783),"")</f>
        <v/>
      </c>
      <c r="E783" s="28" t="str">
        <f t="shared" si="24"/>
        <v/>
      </c>
      <c r="F783" s="16" t="str">
        <f>IF('Paste Here'!$A777&lt;&gt;"",'Paste Here'!$A777,"")</f>
        <v/>
      </c>
      <c r="G783" s="16" t="str">
        <f>IF('Paste Here'!$B777&lt;&gt;"",'Paste Here'!$B777,"")</f>
        <v/>
      </c>
      <c r="H783" s="16" t="str">
        <f>IF('Paste Here'!$C777&lt;&gt;"",'Paste Here'!$C777,"")</f>
        <v/>
      </c>
      <c r="I783" s="25" t="str">
        <f>IF('Paste Here'!$D777&lt;&gt;"",'Paste Here'!$D777,"")</f>
        <v/>
      </c>
      <c r="J783" s="27" t="str">
        <f>IF('Paste Here'!$E777&lt;&gt;"",'Paste Here'!$E777,"")</f>
        <v/>
      </c>
      <c r="K783" s="16" t="str">
        <f>IF('Paste Here'!$F777&lt;&gt;"",'Paste Here'!$F777,"")</f>
        <v/>
      </c>
      <c r="L783" s="16" t="str">
        <f>IF('Paste Here'!$G777&lt;&gt;"",'Paste Here'!$G777,"")</f>
        <v/>
      </c>
      <c r="M783" s="18" t="str">
        <f t="shared" si="25"/>
        <v/>
      </c>
    </row>
    <row r="784" spans="1:13" s="17" customFormat="1" x14ac:dyDescent="0.25">
      <c r="A784" s="16" t="str">
        <f>IF(URN&lt;&gt;"",_xll.mdValue("Resident",_xlnm.Database,$F784),"")</f>
        <v/>
      </c>
      <c r="B784" s="16" t="str">
        <f>IF(PersonId&lt;&gt;"",_xll.mdValue("Resident First Name",_xlnm.Database,$A$8),"")</f>
        <v/>
      </c>
      <c r="C784" s="16" t="str">
        <f>IF(PersonId&lt;&gt;"",_xll.mdValue("Resident Last Name",_xlnm.Database,$A$8),"")</f>
        <v/>
      </c>
      <c r="D784" s="16" t="str">
        <f>IF(PersonId&lt;&gt;"",_xll.mdValue("Person Accomodation Code",_xlnm.Database,$A784),"")</f>
        <v/>
      </c>
      <c r="E784" s="28" t="str">
        <f t="shared" si="24"/>
        <v/>
      </c>
      <c r="F784" s="16" t="str">
        <f>IF('Paste Here'!$A778&lt;&gt;"",'Paste Here'!$A778,"")</f>
        <v/>
      </c>
      <c r="G784" s="16" t="str">
        <f>IF('Paste Here'!$B778&lt;&gt;"",'Paste Here'!$B778,"")</f>
        <v/>
      </c>
      <c r="H784" s="16" t="str">
        <f>IF('Paste Here'!$C778&lt;&gt;"",'Paste Here'!$C778,"")</f>
        <v/>
      </c>
      <c r="I784" s="25" t="str">
        <f>IF('Paste Here'!$D778&lt;&gt;"",'Paste Here'!$D778,"")</f>
        <v/>
      </c>
      <c r="J784" s="27" t="str">
        <f>IF('Paste Here'!$E778&lt;&gt;"",'Paste Here'!$E778,"")</f>
        <v/>
      </c>
      <c r="K784" s="16" t="str">
        <f>IF('Paste Here'!$F778&lt;&gt;"",'Paste Here'!$F778,"")</f>
        <v/>
      </c>
      <c r="L784" s="16" t="str">
        <f>IF('Paste Here'!$G778&lt;&gt;"",'Paste Here'!$G778,"")</f>
        <v/>
      </c>
      <c r="M784" s="18" t="str">
        <f t="shared" si="25"/>
        <v/>
      </c>
    </row>
    <row r="785" spans="1:13" s="17" customFormat="1" x14ac:dyDescent="0.25">
      <c r="A785" s="16" t="str">
        <f>IF(URN&lt;&gt;"",_xll.mdValue("Resident",_xlnm.Database,$F785),"")</f>
        <v/>
      </c>
      <c r="B785" s="16" t="str">
        <f>IF(PersonId&lt;&gt;"",_xll.mdValue("Resident First Name",_xlnm.Database,$A$8),"")</f>
        <v/>
      </c>
      <c r="C785" s="16" t="str">
        <f>IF(PersonId&lt;&gt;"",_xll.mdValue("Resident Last Name",_xlnm.Database,$A$8),"")</f>
        <v/>
      </c>
      <c r="D785" s="16" t="str">
        <f>IF(PersonId&lt;&gt;"",_xll.mdValue("Person Accomodation Code",_xlnm.Database,$A785),"")</f>
        <v/>
      </c>
      <c r="E785" s="28" t="str">
        <f t="shared" si="24"/>
        <v/>
      </c>
      <c r="F785" s="16" t="str">
        <f>IF('Paste Here'!$A779&lt;&gt;"",'Paste Here'!$A779,"")</f>
        <v/>
      </c>
      <c r="G785" s="16" t="str">
        <f>IF('Paste Here'!$B779&lt;&gt;"",'Paste Here'!$B779,"")</f>
        <v/>
      </c>
      <c r="H785" s="16" t="str">
        <f>IF('Paste Here'!$C779&lt;&gt;"",'Paste Here'!$C779,"")</f>
        <v/>
      </c>
      <c r="I785" s="25" t="str">
        <f>IF('Paste Here'!$D779&lt;&gt;"",'Paste Here'!$D779,"")</f>
        <v/>
      </c>
      <c r="J785" s="27" t="str">
        <f>IF('Paste Here'!$E779&lt;&gt;"",'Paste Here'!$E779,"")</f>
        <v/>
      </c>
      <c r="K785" s="16" t="str">
        <f>IF('Paste Here'!$F779&lt;&gt;"",'Paste Here'!$F779,"")</f>
        <v/>
      </c>
      <c r="L785" s="16" t="str">
        <f>IF('Paste Here'!$G779&lt;&gt;"",'Paste Here'!$G779,"")</f>
        <v/>
      </c>
      <c r="M785" s="18" t="str">
        <f t="shared" si="25"/>
        <v/>
      </c>
    </row>
    <row r="786" spans="1:13" s="17" customFormat="1" x14ac:dyDescent="0.25">
      <c r="A786" s="16" t="str">
        <f>IF(URN&lt;&gt;"",_xll.mdValue("Resident",_xlnm.Database,$F786),"")</f>
        <v/>
      </c>
      <c r="B786" s="16" t="str">
        <f>IF(PersonId&lt;&gt;"",_xll.mdValue("Resident First Name",_xlnm.Database,$A$8),"")</f>
        <v/>
      </c>
      <c r="C786" s="16" t="str">
        <f>IF(PersonId&lt;&gt;"",_xll.mdValue("Resident Last Name",_xlnm.Database,$A$8),"")</f>
        <v/>
      </c>
      <c r="D786" s="16" t="str">
        <f>IF(PersonId&lt;&gt;"",_xll.mdValue("Person Accomodation Code",_xlnm.Database,$A786),"")</f>
        <v/>
      </c>
      <c r="E786" s="28" t="str">
        <f t="shared" si="24"/>
        <v/>
      </c>
      <c r="F786" s="16" t="str">
        <f>IF('Paste Here'!$A780&lt;&gt;"",'Paste Here'!$A780,"")</f>
        <v/>
      </c>
      <c r="G786" s="16" t="str">
        <f>IF('Paste Here'!$B780&lt;&gt;"",'Paste Here'!$B780,"")</f>
        <v/>
      </c>
      <c r="H786" s="16" t="str">
        <f>IF('Paste Here'!$C780&lt;&gt;"",'Paste Here'!$C780,"")</f>
        <v/>
      </c>
      <c r="I786" s="25" t="str">
        <f>IF('Paste Here'!$D780&lt;&gt;"",'Paste Here'!$D780,"")</f>
        <v/>
      </c>
      <c r="J786" s="27" t="str">
        <f>IF('Paste Here'!$E780&lt;&gt;"",'Paste Here'!$E780,"")</f>
        <v/>
      </c>
      <c r="K786" s="16" t="str">
        <f>IF('Paste Here'!$F780&lt;&gt;"",'Paste Here'!$F780,"")</f>
        <v/>
      </c>
      <c r="L786" s="16" t="str">
        <f>IF('Paste Here'!$G780&lt;&gt;"",'Paste Here'!$G780,"")</f>
        <v/>
      </c>
      <c r="M786" s="18" t="str">
        <f t="shared" si="25"/>
        <v/>
      </c>
    </row>
    <row r="787" spans="1:13" s="17" customFormat="1" x14ac:dyDescent="0.25">
      <c r="A787" s="16" t="str">
        <f>IF(URN&lt;&gt;"",_xll.mdValue("Resident",_xlnm.Database,$F787),"")</f>
        <v/>
      </c>
      <c r="B787" s="16" t="str">
        <f>IF(PersonId&lt;&gt;"",_xll.mdValue("Resident First Name",_xlnm.Database,$A$8),"")</f>
        <v/>
      </c>
      <c r="C787" s="16" t="str">
        <f>IF(PersonId&lt;&gt;"",_xll.mdValue("Resident Last Name",_xlnm.Database,$A$8),"")</f>
        <v/>
      </c>
      <c r="D787" s="16" t="str">
        <f>IF(PersonId&lt;&gt;"",_xll.mdValue("Person Accomodation Code",_xlnm.Database,$A787),"")</f>
        <v/>
      </c>
      <c r="E787" s="28" t="str">
        <f t="shared" si="24"/>
        <v/>
      </c>
      <c r="F787" s="16" t="str">
        <f>IF('Paste Here'!$A781&lt;&gt;"",'Paste Here'!$A781,"")</f>
        <v/>
      </c>
      <c r="G787" s="16" t="str">
        <f>IF('Paste Here'!$B781&lt;&gt;"",'Paste Here'!$B781,"")</f>
        <v/>
      </c>
      <c r="H787" s="16" t="str">
        <f>IF('Paste Here'!$C781&lt;&gt;"",'Paste Here'!$C781,"")</f>
        <v/>
      </c>
      <c r="I787" s="25" t="str">
        <f>IF('Paste Here'!$D781&lt;&gt;"",'Paste Here'!$D781,"")</f>
        <v/>
      </c>
      <c r="J787" s="27" t="str">
        <f>IF('Paste Here'!$E781&lt;&gt;"",'Paste Here'!$E781,"")</f>
        <v/>
      </c>
      <c r="K787" s="16" t="str">
        <f>IF('Paste Here'!$F781&lt;&gt;"",'Paste Here'!$F781,"")</f>
        <v/>
      </c>
      <c r="L787" s="16" t="str">
        <f>IF('Paste Here'!$G781&lt;&gt;"",'Paste Here'!$G781,"")</f>
        <v/>
      </c>
      <c r="M787" s="18" t="str">
        <f t="shared" si="25"/>
        <v/>
      </c>
    </row>
    <row r="788" spans="1:13" s="17" customFormat="1" x14ac:dyDescent="0.25">
      <c r="A788" s="16" t="str">
        <f>IF(URN&lt;&gt;"",_xll.mdValue("Resident",_xlnm.Database,$F788),"")</f>
        <v/>
      </c>
      <c r="B788" s="16" t="str">
        <f>IF(PersonId&lt;&gt;"",_xll.mdValue("Resident First Name",_xlnm.Database,$A$8),"")</f>
        <v/>
      </c>
      <c r="C788" s="16" t="str">
        <f>IF(PersonId&lt;&gt;"",_xll.mdValue("Resident Last Name",_xlnm.Database,$A$8),"")</f>
        <v/>
      </c>
      <c r="D788" s="16" t="str">
        <f>IF(PersonId&lt;&gt;"",_xll.mdValue("Person Accomodation Code",_xlnm.Database,$A788),"")</f>
        <v/>
      </c>
      <c r="E788" s="28" t="str">
        <f t="shared" si="24"/>
        <v/>
      </c>
      <c r="F788" s="16" t="str">
        <f>IF('Paste Here'!$A782&lt;&gt;"",'Paste Here'!$A782,"")</f>
        <v/>
      </c>
      <c r="G788" s="16" t="str">
        <f>IF('Paste Here'!$B782&lt;&gt;"",'Paste Here'!$B782,"")</f>
        <v/>
      </c>
      <c r="H788" s="16" t="str">
        <f>IF('Paste Here'!$C782&lt;&gt;"",'Paste Here'!$C782,"")</f>
        <v/>
      </c>
      <c r="I788" s="25" t="str">
        <f>IF('Paste Here'!$D782&lt;&gt;"",'Paste Here'!$D782,"")</f>
        <v/>
      </c>
      <c r="J788" s="27" t="str">
        <f>IF('Paste Here'!$E782&lt;&gt;"",'Paste Here'!$E782,"")</f>
        <v/>
      </c>
      <c r="K788" s="16" t="str">
        <f>IF('Paste Here'!$F782&lt;&gt;"",'Paste Here'!$F782,"")</f>
        <v/>
      </c>
      <c r="L788" s="16" t="str">
        <f>IF('Paste Here'!$G782&lt;&gt;"",'Paste Here'!$G782,"")</f>
        <v/>
      </c>
      <c r="M788" s="18" t="str">
        <f t="shared" si="25"/>
        <v/>
      </c>
    </row>
    <row r="789" spans="1:13" s="17" customFormat="1" x14ac:dyDescent="0.25">
      <c r="A789" s="16" t="str">
        <f>IF(URN&lt;&gt;"",_xll.mdValue("Resident",_xlnm.Database,$F789),"")</f>
        <v/>
      </c>
      <c r="B789" s="16" t="str">
        <f>IF(PersonId&lt;&gt;"",_xll.mdValue("Resident First Name",_xlnm.Database,$A$8),"")</f>
        <v/>
      </c>
      <c r="C789" s="16" t="str">
        <f>IF(PersonId&lt;&gt;"",_xll.mdValue("Resident Last Name",_xlnm.Database,$A$8),"")</f>
        <v/>
      </c>
      <c r="D789" s="16" t="str">
        <f>IF(PersonId&lt;&gt;"",_xll.mdValue("Person Accomodation Code",_xlnm.Database,$A789),"")</f>
        <v/>
      </c>
      <c r="E789" s="28" t="str">
        <f t="shared" si="24"/>
        <v/>
      </c>
      <c r="F789" s="16" t="str">
        <f>IF('Paste Here'!$A783&lt;&gt;"",'Paste Here'!$A783,"")</f>
        <v/>
      </c>
      <c r="G789" s="16" t="str">
        <f>IF('Paste Here'!$B783&lt;&gt;"",'Paste Here'!$B783,"")</f>
        <v/>
      </c>
      <c r="H789" s="16" t="str">
        <f>IF('Paste Here'!$C783&lt;&gt;"",'Paste Here'!$C783,"")</f>
        <v/>
      </c>
      <c r="I789" s="25" t="str">
        <f>IF('Paste Here'!$D783&lt;&gt;"",'Paste Here'!$D783,"")</f>
        <v/>
      </c>
      <c r="J789" s="27" t="str">
        <f>IF('Paste Here'!$E783&lt;&gt;"",'Paste Here'!$E783,"")</f>
        <v/>
      </c>
      <c r="K789" s="16" t="str">
        <f>IF('Paste Here'!$F783&lt;&gt;"",'Paste Here'!$F783,"")</f>
        <v/>
      </c>
      <c r="L789" s="16" t="str">
        <f>IF('Paste Here'!$G783&lt;&gt;"",'Paste Here'!$G783,"")</f>
        <v/>
      </c>
      <c r="M789" s="18" t="str">
        <f t="shared" si="25"/>
        <v/>
      </c>
    </row>
    <row r="790" spans="1:13" s="17" customFormat="1" x14ac:dyDescent="0.25">
      <c r="A790" s="16" t="str">
        <f>IF(URN&lt;&gt;"",_xll.mdValue("Resident",_xlnm.Database,$F790),"")</f>
        <v/>
      </c>
      <c r="B790" s="16" t="str">
        <f>IF(PersonId&lt;&gt;"",_xll.mdValue("Resident First Name",_xlnm.Database,$A$8),"")</f>
        <v/>
      </c>
      <c r="C790" s="16" t="str">
        <f>IF(PersonId&lt;&gt;"",_xll.mdValue("Resident Last Name",_xlnm.Database,$A$8),"")</f>
        <v/>
      </c>
      <c r="D790" s="16" t="str">
        <f>IF(PersonId&lt;&gt;"",_xll.mdValue("Person Accomodation Code",_xlnm.Database,$A790),"")</f>
        <v/>
      </c>
      <c r="E790" s="28" t="str">
        <f t="shared" si="24"/>
        <v/>
      </c>
      <c r="F790" s="16" t="str">
        <f>IF('Paste Here'!$A784&lt;&gt;"",'Paste Here'!$A784,"")</f>
        <v/>
      </c>
      <c r="G790" s="16" t="str">
        <f>IF('Paste Here'!$B784&lt;&gt;"",'Paste Here'!$B784,"")</f>
        <v/>
      </c>
      <c r="H790" s="16" t="str">
        <f>IF('Paste Here'!$C784&lt;&gt;"",'Paste Here'!$C784,"")</f>
        <v/>
      </c>
      <c r="I790" s="25" t="str">
        <f>IF('Paste Here'!$D784&lt;&gt;"",'Paste Here'!$D784,"")</f>
        <v/>
      </c>
      <c r="J790" s="27" t="str">
        <f>IF('Paste Here'!$E784&lt;&gt;"",'Paste Here'!$E784,"")</f>
        <v/>
      </c>
      <c r="K790" s="16" t="str">
        <f>IF('Paste Here'!$F784&lt;&gt;"",'Paste Here'!$F784,"")</f>
        <v/>
      </c>
      <c r="L790" s="16" t="str">
        <f>IF('Paste Here'!$G784&lt;&gt;"",'Paste Here'!$G784,"")</f>
        <v/>
      </c>
      <c r="M790" s="18" t="str">
        <f t="shared" si="25"/>
        <v/>
      </c>
    </row>
    <row r="791" spans="1:13" s="17" customFormat="1" x14ac:dyDescent="0.25">
      <c r="A791" s="16" t="str">
        <f>IF(URN&lt;&gt;"",_xll.mdValue("Resident",_xlnm.Database,$F791),"")</f>
        <v/>
      </c>
      <c r="B791" s="16" t="str">
        <f>IF(PersonId&lt;&gt;"",_xll.mdValue("Resident First Name",_xlnm.Database,$A$8),"")</f>
        <v/>
      </c>
      <c r="C791" s="16" t="str">
        <f>IF(PersonId&lt;&gt;"",_xll.mdValue("Resident Last Name",_xlnm.Database,$A$8),"")</f>
        <v/>
      </c>
      <c r="D791" s="16" t="str">
        <f>IF(PersonId&lt;&gt;"",_xll.mdValue("Person Accomodation Code",_xlnm.Database,$A791),"")</f>
        <v/>
      </c>
      <c r="E791" s="28" t="str">
        <f t="shared" si="24"/>
        <v/>
      </c>
      <c r="F791" s="16" t="str">
        <f>IF('Paste Here'!$A785&lt;&gt;"",'Paste Here'!$A785,"")</f>
        <v/>
      </c>
      <c r="G791" s="16" t="str">
        <f>IF('Paste Here'!$B785&lt;&gt;"",'Paste Here'!$B785,"")</f>
        <v/>
      </c>
      <c r="H791" s="16" t="str">
        <f>IF('Paste Here'!$C785&lt;&gt;"",'Paste Here'!$C785,"")</f>
        <v/>
      </c>
      <c r="I791" s="25" t="str">
        <f>IF('Paste Here'!$D785&lt;&gt;"",'Paste Here'!$D785,"")</f>
        <v/>
      </c>
      <c r="J791" s="27" t="str">
        <f>IF('Paste Here'!$E785&lt;&gt;"",'Paste Here'!$E785,"")</f>
        <v/>
      </c>
      <c r="K791" s="16" t="str">
        <f>IF('Paste Here'!$F785&lt;&gt;"",'Paste Here'!$F785,"")</f>
        <v/>
      </c>
      <c r="L791" s="16" t="str">
        <f>IF('Paste Here'!$G785&lt;&gt;"",'Paste Here'!$G785,"")</f>
        <v/>
      </c>
      <c r="M791" s="18" t="str">
        <f t="shared" si="25"/>
        <v/>
      </c>
    </row>
    <row r="792" spans="1:13" s="17" customFormat="1" x14ac:dyDescent="0.25">
      <c r="A792" s="16" t="str">
        <f>IF(URN&lt;&gt;"",_xll.mdValue("Resident",_xlnm.Database,$F792),"")</f>
        <v/>
      </c>
      <c r="B792" s="16" t="str">
        <f>IF(PersonId&lt;&gt;"",_xll.mdValue("Resident First Name",_xlnm.Database,$A$8),"")</f>
        <v/>
      </c>
      <c r="C792" s="16" t="str">
        <f>IF(PersonId&lt;&gt;"",_xll.mdValue("Resident Last Name",_xlnm.Database,$A$8),"")</f>
        <v/>
      </c>
      <c r="D792" s="16" t="str">
        <f>IF(PersonId&lt;&gt;"",_xll.mdValue("Person Accomodation Code",_xlnm.Database,$A792),"")</f>
        <v/>
      </c>
      <c r="E792" s="28" t="str">
        <f t="shared" si="24"/>
        <v/>
      </c>
      <c r="F792" s="16" t="str">
        <f>IF('Paste Here'!$A786&lt;&gt;"",'Paste Here'!$A786,"")</f>
        <v/>
      </c>
      <c r="G792" s="16" t="str">
        <f>IF('Paste Here'!$B786&lt;&gt;"",'Paste Here'!$B786,"")</f>
        <v/>
      </c>
      <c r="H792" s="16" t="str">
        <f>IF('Paste Here'!$C786&lt;&gt;"",'Paste Here'!$C786,"")</f>
        <v/>
      </c>
      <c r="I792" s="25" t="str">
        <f>IF('Paste Here'!$D786&lt;&gt;"",'Paste Here'!$D786,"")</f>
        <v/>
      </c>
      <c r="J792" s="27" t="str">
        <f>IF('Paste Here'!$E786&lt;&gt;"",'Paste Here'!$E786,"")</f>
        <v/>
      </c>
      <c r="K792" s="16" t="str">
        <f>IF('Paste Here'!$F786&lt;&gt;"",'Paste Here'!$F786,"")</f>
        <v/>
      </c>
      <c r="L792" s="16" t="str">
        <f>IF('Paste Here'!$G786&lt;&gt;"",'Paste Here'!$G786,"")</f>
        <v/>
      </c>
      <c r="M792" s="18" t="str">
        <f t="shared" si="25"/>
        <v/>
      </c>
    </row>
    <row r="793" spans="1:13" s="17" customFormat="1" x14ac:dyDescent="0.25">
      <c r="A793" s="16" t="str">
        <f>IF(URN&lt;&gt;"",_xll.mdValue("Resident",_xlnm.Database,$F793),"")</f>
        <v/>
      </c>
      <c r="B793" s="16" t="str">
        <f>IF(PersonId&lt;&gt;"",_xll.mdValue("Resident First Name",_xlnm.Database,$A$8),"")</f>
        <v/>
      </c>
      <c r="C793" s="16" t="str">
        <f>IF(PersonId&lt;&gt;"",_xll.mdValue("Resident Last Name",_xlnm.Database,$A$8),"")</f>
        <v/>
      </c>
      <c r="D793" s="16" t="str">
        <f>IF(PersonId&lt;&gt;"",_xll.mdValue("Person Accomodation Code",_xlnm.Database,$A793),"")</f>
        <v/>
      </c>
      <c r="E793" s="28" t="str">
        <f t="shared" si="24"/>
        <v/>
      </c>
      <c r="F793" s="16" t="str">
        <f>IF('Paste Here'!$A787&lt;&gt;"",'Paste Here'!$A787,"")</f>
        <v/>
      </c>
      <c r="G793" s="16" t="str">
        <f>IF('Paste Here'!$B787&lt;&gt;"",'Paste Here'!$B787,"")</f>
        <v/>
      </c>
      <c r="H793" s="16" t="str">
        <f>IF('Paste Here'!$C787&lt;&gt;"",'Paste Here'!$C787,"")</f>
        <v/>
      </c>
      <c r="I793" s="25" t="str">
        <f>IF('Paste Here'!$D787&lt;&gt;"",'Paste Here'!$D787,"")</f>
        <v/>
      </c>
      <c r="J793" s="27" t="str">
        <f>IF('Paste Here'!$E787&lt;&gt;"",'Paste Here'!$E787,"")</f>
        <v/>
      </c>
      <c r="K793" s="16" t="str">
        <f>IF('Paste Here'!$F787&lt;&gt;"",'Paste Here'!$F787,"")</f>
        <v/>
      </c>
      <c r="L793" s="16" t="str">
        <f>IF('Paste Here'!$G787&lt;&gt;"",'Paste Here'!$G787,"")</f>
        <v/>
      </c>
      <c r="M793" s="18" t="str">
        <f t="shared" si="25"/>
        <v/>
      </c>
    </row>
    <row r="794" spans="1:13" s="17" customFormat="1" x14ac:dyDescent="0.25">
      <c r="A794" s="16" t="str">
        <f>IF(URN&lt;&gt;"",_xll.mdValue("Resident",_xlnm.Database,$F794),"")</f>
        <v/>
      </c>
      <c r="B794" s="16" t="str">
        <f>IF(PersonId&lt;&gt;"",_xll.mdValue("Resident First Name",_xlnm.Database,$A$8),"")</f>
        <v/>
      </c>
      <c r="C794" s="16" t="str">
        <f>IF(PersonId&lt;&gt;"",_xll.mdValue("Resident Last Name",_xlnm.Database,$A$8),"")</f>
        <v/>
      </c>
      <c r="D794" s="16" t="str">
        <f>IF(PersonId&lt;&gt;"",_xll.mdValue("Person Accomodation Code",_xlnm.Database,$A794),"")</f>
        <v/>
      </c>
      <c r="E794" s="28" t="str">
        <f t="shared" si="24"/>
        <v/>
      </c>
      <c r="F794" s="16" t="str">
        <f>IF('Paste Here'!$A788&lt;&gt;"",'Paste Here'!$A788,"")</f>
        <v/>
      </c>
      <c r="G794" s="16" t="str">
        <f>IF('Paste Here'!$B788&lt;&gt;"",'Paste Here'!$B788,"")</f>
        <v/>
      </c>
      <c r="H794" s="16" t="str">
        <f>IF('Paste Here'!$C788&lt;&gt;"",'Paste Here'!$C788,"")</f>
        <v/>
      </c>
      <c r="I794" s="25" t="str">
        <f>IF('Paste Here'!$D788&lt;&gt;"",'Paste Here'!$D788,"")</f>
        <v/>
      </c>
      <c r="J794" s="27" t="str">
        <f>IF('Paste Here'!$E788&lt;&gt;"",'Paste Here'!$E788,"")</f>
        <v/>
      </c>
      <c r="K794" s="16" t="str">
        <f>IF('Paste Here'!$F788&lt;&gt;"",'Paste Here'!$F788,"")</f>
        <v/>
      </c>
      <c r="L794" s="16" t="str">
        <f>IF('Paste Here'!$G788&lt;&gt;"",'Paste Here'!$G788,"")</f>
        <v/>
      </c>
      <c r="M794" s="18" t="str">
        <f t="shared" si="25"/>
        <v/>
      </c>
    </row>
    <row r="795" spans="1:13" s="17" customFormat="1" x14ac:dyDescent="0.25">
      <c r="A795" s="16" t="str">
        <f>IF(URN&lt;&gt;"",_xll.mdValue("Resident",_xlnm.Database,$F795),"")</f>
        <v/>
      </c>
      <c r="B795" s="16" t="str">
        <f>IF(PersonId&lt;&gt;"",_xll.mdValue("Resident First Name",_xlnm.Database,$A$8),"")</f>
        <v/>
      </c>
      <c r="C795" s="16" t="str">
        <f>IF(PersonId&lt;&gt;"",_xll.mdValue("Resident Last Name",_xlnm.Database,$A$8),"")</f>
        <v/>
      </c>
      <c r="D795" s="16" t="str">
        <f>IF(PersonId&lt;&gt;"",_xll.mdValue("Person Accomodation Code",_xlnm.Database,$A795),"")</f>
        <v/>
      </c>
      <c r="E795" s="28" t="str">
        <f t="shared" si="24"/>
        <v/>
      </c>
      <c r="F795" s="16" t="str">
        <f>IF('Paste Here'!$A789&lt;&gt;"",'Paste Here'!$A789,"")</f>
        <v/>
      </c>
      <c r="G795" s="16" t="str">
        <f>IF('Paste Here'!$B789&lt;&gt;"",'Paste Here'!$B789,"")</f>
        <v/>
      </c>
      <c r="H795" s="16" t="str">
        <f>IF('Paste Here'!$C789&lt;&gt;"",'Paste Here'!$C789,"")</f>
        <v/>
      </c>
      <c r="I795" s="25" t="str">
        <f>IF('Paste Here'!$D789&lt;&gt;"",'Paste Here'!$D789,"")</f>
        <v/>
      </c>
      <c r="J795" s="27" t="str">
        <f>IF('Paste Here'!$E789&lt;&gt;"",'Paste Here'!$E789,"")</f>
        <v/>
      </c>
      <c r="K795" s="16" t="str">
        <f>IF('Paste Here'!$F789&lt;&gt;"",'Paste Here'!$F789,"")</f>
        <v/>
      </c>
      <c r="L795" s="16" t="str">
        <f>IF('Paste Here'!$G789&lt;&gt;"",'Paste Here'!$G789,"")</f>
        <v/>
      </c>
      <c r="M795" s="18" t="str">
        <f t="shared" si="25"/>
        <v/>
      </c>
    </row>
    <row r="796" spans="1:13" s="17" customFormat="1" x14ac:dyDescent="0.25">
      <c r="A796" s="16" t="str">
        <f>IF(URN&lt;&gt;"",_xll.mdValue("Resident",_xlnm.Database,$F796),"")</f>
        <v/>
      </c>
      <c r="B796" s="16" t="str">
        <f>IF(PersonId&lt;&gt;"",_xll.mdValue("Resident First Name",_xlnm.Database,$A$8),"")</f>
        <v/>
      </c>
      <c r="C796" s="16" t="str">
        <f>IF(PersonId&lt;&gt;"",_xll.mdValue("Resident Last Name",_xlnm.Database,$A$8),"")</f>
        <v/>
      </c>
      <c r="D796" s="16" t="str">
        <f>IF(PersonId&lt;&gt;"",_xll.mdValue("Person Accomodation Code",_xlnm.Database,$A796),"")</f>
        <v/>
      </c>
      <c r="E796" s="28" t="str">
        <f t="shared" si="24"/>
        <v/>
      </c>
      <c r="F796" s="16" t="str">
        <f>IF('Paste Here'!$A790&lt;&gt;"",'Paste Here'!$A790,"")</f>
        <v/>
      </c>
      <c r="G796" s="16" t="str">
        <f>IF('Paste Here'!$B790&lt;&gt;"",'Paste Here'!$B790,"")</f>
        <v/>
      </c>
      <c r="H796" s="16" t="str">
        <f>IF('Paste Here'!$C790&lt;&gt;"",'Paste Here'!$C790,"")</f>
        <v/>
      </c>
      <c r="I796" s="25" t="str">
        <f>IF('Paste Here'!$D790&lt;&gt;"",'Paste Here'!$D790,"")</f>
        <v/>
      </c>
      <c r="J796" s="27" t="str">
        <f>IF('Paste Here'!$E790&lt;&gt;"",'Paste Here'!$E790,"")</f>
        <v/>
      </c>
      <c r="K796" s="16" t="str">
        <f>IF('Paste Here'!$F790&lt;&gt;"",'Paste Here'!$F790,"")</f>
        <v/>
      </c>
      <c r="L796" s="16" t="str">
        <f>IF('Paste Here'!$G790&lt;&gt;"",'Paste Here'!$G790,"")</f>
        <v/>
      </c>
      <c r="M796" s="18" t="str">
        <f t="shared" si="25"/>
        <v/>
      </c>
    </row>
    <row r="797" spans="1:13" s="17" customFormat="1" x14ac:dyDescent="0.25">
      <c r="A797" s="16" t="str">
        <f>IF(URN&lt;&gt;"",_xll.mdValue("Resident",_xlnm.Database,$F797),"")</f>
        <v/>
      </c>
      <c r="B797" s="16" t="str">
        <f>IF(PersonId&lt;&gt;"",_xll.mdValue("Resident First Name",_xlnm.Database,$A$8),"")</f>
        <v/>
      </c>
      <c r="C797" s="16" t="str">
        <f>IF(PersonId&lt;&gt;"",_xll.mdValue("Resident Last Name",_xlnm.Database,$A$8),"")</f>
        <v/>
      </c>
      <c r="D797" s="16" t="str">
        <f>IF(PersonId&lt;&gt;"",_xll.mdValue("Person Accomodation Code",_xlnm.Database,$A797),"")</f>
        <v/>
      </c>
      <c r="E797" s="28" t="str">
        <f t="shared" si="24"/>
        <v/>
      </c>
      <c r="F797" s="16" t="str">
        <f>IF('Paste Here'!$A791&lt;&gt;"",'Paste Here'!$A791,"")</f>
        <v/>
      </c>
      <c r="G797" s="16" t="str">
        <f>IF('Paste Here'!$B791&lt;&gt;"",'Paste Here'!$B791,"")</f>
        <v/>
      </c>
      <c r="H797" s="16" t="str">
        <f>IF('Paste Here'!$C791&lt;&gt;"",'Paste Here'!$C791,"")</f>
        <v/>
      </c>
      <c r="I797" s="25" t="str">
        <f>IF('Paste Here'!$D791&lt;&gt;"",'Paste Here'!$D791,"")</f>
        <v/>
      </c>
      <c r="J797" s="27" t="str">
        <f>IF('Paste Here'!$E791&lt;&gt;"",'Paste Here'!$E791,"")</f>
        <v/>
      </c>
      <c r="K797" s="16" t="str">
        <f>IF('Paste Here'!$F791&lt;&gt;"",'Paste Here'!$F791,"")</f>
        <v/>
      </c>
      <c r="L797" s="16" t="str">
        <f>IF('Paste Here'!$G791&lt;&gt;"",'Paste Here'!$G791,"")</f>
        <v/>
      </c>
      <c r="M797" s="18" t="str">
        <f t="shared" si="25"/>
        <v/>
      </c>
    </row>
    <row r="798" spans="1:13" s="17" customFormat="1" x14ac:dyDescent="0.25">
      <c r="A798" s="16" t="str">
        <f>IF(URN&lt;&gt;"",_xll.mdValue("Resident",_xlnm.Database,$F798),"")</f>
        <v/>
      </c>
      <c r="B798" s="16" t="str">
        <f>IF(PersonId&lt;&gt;"",_xll.mdValue("Resident First Name",_xlnm.Database,$A$8),"")</f>
        <v/>
      </c>
      <c r="C798" s="16" t="str">
        <f>IF(PersonId&lt;&gt;"",_xll.mdValue("Resident Last Name",_xlnm.Database,$A$8),"")</f>
        <v/>
      </c>
      <c r="D798" s="16" t="str">
        <f>IF(PersonId&lt;&gt;"",_xll.mdValue("Person Accomodation Code",_xlnm.Database,$A798),"")</f>
        <v/>
      </c>
      <c r="E798" s="28" t="str">
        <f t="shared" si="24"/>
        <v/>
      </c>
      <c r="F798" s="16" t="str">
        <f>IF('Paste Here'!$A792&lt;&gt;"",'Paste Here'!$A792,"")</f>
        <v/>
      </c>
      <c r="G798" s="16" t="str">
        <f>IF('Paste Here'!$B792&lt;&gt;"",'Paste Here'!$B792,"")</f>
        <v/>
      </c>
      <c r="H798" s="16" t="str">
        <f>IF('Paste Here'!$C792&lt;&gt;"",'Paste Here'!$C792,"")</f>
        <v/>
      </c>
      <c r="I798" s="25" t="str">
        <f>IF('Paste Here'!$D792&lt;&gt;"",'Paste Here'!$D792,"")</f>
        <v/>
      </c>
      <c r="J798" s="27" t="str">
        <f>IF('Paste Here'!$E792&lt;&gt;"",'Paste Here'!$E792,"")</f>
        <v/>
      </c>
      <c r="K798" s="16" t="str">
        <f>IF('Paste Here'!$F792&lt;&gt;"",'Paste Here'!$F792,"")</f>
        <v/>
      </c>
      <c r="L798" s="16" t="str">
        <f>IF('Paste Here'!$G792&lt;&gt;"",'Paste Here'!$G792,"")</f>
        <v/>
      </c>
      <c r="M798" s="18" t="str">
        <f t="shared" si="25"/>
        <v/>
      </c>
    </row>
    <row r="799" spans="1:13" s="17" customFormat="1" x14ac:dyDescent="0.25">
      <c r="A799" s="16" t="str">
        <f>IF(URN&lt;&gt;"",_xll.mdValue("Resident",_xlnm.Database,$F799),"")</f>
        <v/>
      </c>
      <c r="B799" s="16" t="str">
        <f>IF(PersonId&lt;&gt;"",_xll.mdValue("Resident First Name",_xlnm.Database,$A$8),"")</f>
        <v/>
      </c>
      <c r="C799" s="16" t="str">
        <f>IF(PersonId&lt;&gt;"",_xll.mdValue("Resident Last Name",_xlnm.Database,$A$8),"")</f>
        <v/>
      </c>
      <c r="D799" s="16" t="str">
        <f>IF(PersonId&lt;&gt;"",_xll.mdValue("Person Accomodation Code",_xlnm.Database,$A799),"")</f>
        <v/>
      </c>
      <c r="E799" s="28" t="str">
        <f t="shared" si="24"/>
        <v/>
      </c>
      <c r="F799" s="16" t="str">
        <f>IF('Paste Here'!$A793&lt;&gt;"",'Paste Here'!$A793,"")</f>
        <v/>
      </c>
      <c r="G799" s="16" t="str">
        <f>IF('Paste Here'!$B793&lt;&gt;"",'Paste Here'!$B793,"")</f>
        <v/>
      </c>
      <c r="H799" s="16" t="str">
        <f>IF('Paste Here'!$C793&lt;&gt;"",'Paste Here'!$C793,"")</f>
        <v/>
      </c>
      <c r="I799" s="25" t="str">
        <f>IF('Paste Here'!$D793&lt;&gt;"",'Paste Here'!$D793,"")</f>
        <v/>
      </c>
      <c r="J799" s="27" t="str">
        <f>IF('Paste Here'!$E793&lt;&gt;"",'Paste Here'!$E793,"")</f>
        <v/>
      </c>
      <c r="K799" s="16" t="str">
        <f>IF('Paste Here'!$F793&lt;&gt;"",'Paste Here'!$F793,"")</f>
        <v/>
      </c>
      <c r="L799" s="16" t="str">
        <f>IF('Paste Here'!$G793&lt;&gt;"",'Paste Here'!$G793,"")</f>
        <v/>
      </c>
      <c r="M799" s="18" t="str">
        <f t="shared" si="25"/>
        <v/>
      </c>
    </row>
    <row r="800" spans="1:13" s="17" customFormat="1" x14ac:dyDescent="0.25">
      <c r="A800" s="16" t="str">
        <f>IF(URN&lt;&gt;"",_xll.mdValue("Resident",_xlnm.Database,$F800),"")</f>
        <v/>
      </c>
      <c r="B800" s="16" t="str">
        <f>IF(PersonId&lt;&gt;"",_xll.mdValue("Resident First Name",_xlnm.Database,$A$8),"")</f>
        <v/>
      </c>
      <c r="C800" s="16" t="str">
        <f>IF(PersonId&lt;&gt;"",_xll.mdValue("Resident Last Name",_xlnm.Database,$A$8),"")</f>
        <v/>
      </c>
      <c r="D800" s="16" t="str">
        <f>IF(PersonId&lt;&gt;"",_xll.mdValue("Person Accomodation Code",_xlnm.Database,$A800),"")</f>
        <v/>
      </c>
      <c r="E800" s="28" t="str">
        <f t="shared" si="24"/>
        <v/>
      </c>
      <c r="F800" s="16" t="str">
        <f>IF('Paste Here'!$A794&lt;&gt;"",'Paste Here'!$A794,"")</f>
        <v/>
      </c>
      <c r="G800" s="16" t="str">
        <f>IF('Paste Here'!$B794&lt;&gt;"",'Paste Here'!$B794,"")</f>
        <v/>
      </c>
      <c r="H800" s="16" t="str">
        <f>IF('Paste Here'!$C794&lt;&gt;"",'Paste Here'!$C794,"")</f>
        <v/>
      </c>
      <c r="I800" s="25" t="str">
        <f>IF('Paste Here'!$D794&lt;&gt;"",'Paste Here'!$D794,"")</f>
        <v/>
      </c>
      <c r="J800" s="27" t="str">
        <f>IF('Paste Here'!$E794&lt;&gt;"",'Paste Here'!$E794,"")</f>
        <v/>
      </c>
      <c r="K800" s="16" t="str">
        <f>IF('Paste Here'!$F794&lt;&gt;"",'Paste Here'!$F794,"")</f>
        <v/>
      </c>
      <c r="L800" s="16" t="str">
        <f>IF('Paste Here'!$G794&lt;&gt;"",'Paste Here'!$G794,"")</f>
        <v/>
      </c>
      <c r="M800" s="18" t="str">
        <f t="shared" si="25"/>
        <v/>
      </c>
    </row>
    <row r="801" spans="1:13" s="17" customFormat="1" x14ac:dyDescent="0.25">
      <c r="A801" s="16" t="str">
        <f>IF(URN&lt;&gt;"",_xll.mdValue("Resident",_xlnm.Database,$F801),"")</f>
        <v/>
      </c>
      <c r="B801" s="16" t="str">
        <f>IF(PersonId&lt;&gt;"",_xll.mdValue("Resident First Name",_xlnm.Database,$A$8),"")</f>
        <v/>
      </c>
      <c r="C801" s="16" t="str">
        <f>IF(PersonId&lt;&gt;"",_xll.mdValue("Resident Last Name",_xlnm.Database,$A$8),"")</f>
        <v/>
      </c>
      <c r="D801" s="16" t="str">
        <f>IF(PersonId&lt;&gt;"",_xll.mdValue("Person Accomodation Code",_xlnm.Database,$A801),"")</f>
        <v/>
      </c>
      <c r="E801" s="28" t="str">
        <f t="shared" si="24"/>
        <v/>
      </c>
      <c r="F801" s="16" t="str">
        <f>IF('Paste Here'!$A795&lt;&gt;"",'Paste Here'!$A795,"")</f>
        <v/>
      </c>
      <c r="G801" s="16" t="str">
        <f>IF('Paste Here'!$B795&lt;&gt;"",'Paste Here'!$B795,"")</f>
        <v/>
      </c>
      <c r="H801" s="16" t="str">
        <f>IF('Paste Here'!$C795&lt;&gt;"",'Paste Here'!$C795,"")</f>
        <v/>
      </c>
      <c r="I801" s="25" t="str">
        <f>IF('Paste Here'!$D795&lt;&gt;"",'Paste Here'!$D795,"")</f>
        <v/>
      </c>
      <c r="J801" s="27" t="str">
        <f>IF('Paste Here'!$E795&lt;&gt;"",'Paste Here'!$E795,"")</f>
        <v/>
      </c>
      <c r="K801" s="16" t="str">
        <f>IF('Paste Here'!$F795&lt;&gt;"",'Paste Here'!$F795,"")</f>
        <v/>
      </c>
      <c r="L801" s="16" t="str">
        <f>IF('Paste Here'!$G795&lt;&gt;"",'Paste Here'!$G795,"")</f>
        <v/>
      </c>
      <c r="M801" s="18" t="str">
        <f t="shared" si="25"/>
        <v/>
      </c>
    </row>
    <row r="802" spans="1:13" s="17" customFormat="1" x14ac:dyDescent="0.25">
      <c r="A802" s="16" t="str">
        <f>IF(URN&lt;&gt;"",_xll.mdValue("Resident",_xlnm.Database,$F802),"")</f>
        <v/>
      </c>
      <c r="B802" s="16" t="str">
        <f>IF(PersonId&lt;&gt;"",_xll.mdValue("Resident First Name",_xlnm.Database,$A$8),"")</f>
        <v/>
      </c>
      <c r="C802" s="16" t="str">
        <f>IF(PersonId&lt;&gt;"",_xll.mdValue("Resident Last Name",_xlnm.Database,$A$8),"")</f>
        <v/>
      </c>
      <c r="D802" s="16" t="str">
        <f>IF(PersonId&lt;&gt;"",_xll.mdValue("Person Accomodation Code",_xlnm.Database,$A802),"")</f>
        <v/>
      </c>
      <c r="E802" s="28" t="str">
        <f t="shared" si="24"/>
        <v/>
      </c>
      <c r="F802" s="16" t="str">
        <f>IF('Paste Here'!$A796&lt;&gt;"",'Paste Here'!$A796,"")</f>
        <v/>
      </c>
      <c r="G802" s="16" t="str">
        <f>IF('Paste Here'!$B796&lt;&gt;"",'Paste Here'!$B796,"")</f>
        <v/>
      </c>
      <c r="H802" s="16" t="str">
        <f>IF('Paste Here'!$C796&lt;&gt;"",'Paste Here'!$C796,"")</f>
        <v/>
      </c>
      <c r="I802" s="25" t="str">
        <f>IF('Paste Here'!$D796&lt;&gt;"",'Paste Here'!$D796,"")</f>
        <v/>
      </c>
      <c r="J802" s="27" t="str">
        <f>IF('Paste Here'!$E796&lt;&gt;"",'Paste Here'!$E796,"")</f>
        <v/>
      </c>
      <c r="K802" s="16" t="str">
        <f>IF('Paste Here'!$F796&lt;&gt;"",'Paste Here'!$F796,"")</f>
        <v/>
      </c>
      <c r="L802" s="16" t="str">
        <f>IF('Paste Here'!$G796&lt;&gt;"",'Paste Here'!$G796,"")</f>
        <v/>
      </c>
      <c r="M802" s="18" t="str">
        <f t="shared" si="25"/>
        <v/>
      </c>
    </row>
    <row r="803" spans="1:13" s="17" customFormat="1" x14ac:dyDescent="0.25">
      <c r="A803" s="16" t="str">
        <f>IF(URN&lt;&gt;"",_xll.mdValue("Resident",_xlnm.Database,$F803),"")</f>
        <v/>
      </c>
      <c r="B803" s="16" t="str">
        <f>IF(PersonId&lt;&gt;"",_xll.mdValue("Resident First Name",_xlnm.Database,$A$8),"")</f>
        <v/>
      </c>
      <c r="C803" s="16" t="str">
        <f>IF(PersonId&lt;&gt;"",_xll.mdValue("Resident Last Name",_xlnm.Database,$A$8),"")</f>
        <v/>
      </c>
      <c r="D803" s="16" t="str">
        <f>IF(PersonId&lt;&gt;"",_xll.mdValue("Person Accomodation Code",_xlnm.Database,$A803),"")</f>
        <v/>
      </c>
      <c r="E803" s="28" t="str">
        <f t="shared" si="24"/>
        <v/>
      </c>
      <c r="F803" s="16" t="str">
        <f>IF('Paste Here'!$A797&lt;&gt;"",'Paste Here'!$A797,"")</f>
        <v/>
      </c>
      <c r="G803" s="16" t="str">
        <f>IF('Paste Here'!$B797&lt;&gt;"",'Paste Here'!$B797,"")</f>
        <v/>
      </c>
      <c r="H803" s="16" t="str">
        <f>IF('Paste Here'!$C797&lt;&gt;"",'Paste Here'!$C797,"")</f>
        <v/>
      </c>
      <c r="I803" s="25" t="str">
        <f>IF('Paste Here'!$D797&lt;&gt;"",'Paste Here'!$D797,"")</f>
        <v/>
      </c>
      <c r="J803" s="27" t="str">
        <f>IF('Paste Here'!$E797&lt;&gt;"",'Paste Here'!$E797,"")</f>
        <v/>
      </c>
      <c r="K803" s="16" t="str">
        <f>IF('Paste Here'!$F797&lt;&gt;"",'Paste Here'!$F797,"")</f>
        <v/>
      </c>
      <c r="L803" s="16" t="str">
        <f>IF('Paste Here'!$G797&lt;&gt;"",'Paste Here'!$G797,"")</f>
        <v/>
      </c>
      <c r="M803" s="18" t="str">
        <f t="shared" si="25"/>
        <v/>
      </c>
    </row>
    <row r="804" spans="1:13" s="17" customFormat="1" x14ac:dyDescent="0.25">
      <c r="A804" s="16" t="str">
        <f>IF(URN&lt;&gt;"",_xll.mdValue("Resident",_xlnm.Database,$F804),"")</f>
        <v/>
      </c>
      <c r="B804" s="16" t="str">
        <f>IF(PersonId&lt;&gt;"",_xll.mdValue("Resident First Name",_xlnm.Database,$A$8),"")</f>
        <v/>
      </c>
      <c r="C804" s="16" t="str">
        <f>IF(PersonId&lt;&gt;"",_xll.mdValue("Resident Last Name",_xlnm.Database,$A$8),"")</f>
        <v/>
      </c>
      <c r="D804" s="16" t="str">
        <f>IF(PersonId&lt;&gt;"",_xll.mdValue("Person Accomodation Code",_xlnm.Database,$A804),"")</f>
        <v/>
      </c>
      <c r="E804" s="28" t="str">
        <f t="shared" si="24"/>
        <v/>
      </c>
      <c r="F804" s="16" t="str">
        <f>IF('Paste Here'!$A798&lt;&gt;"",'Paste Here'!$A798,"")</f>
        <v/>
      </c>
      <c r="G804" s="16" t="str">
        <f>IF('Paste Here'!$B798&lt;&gt;"",'Paste Here'!$B798,"")</f>
        <v/>
      </c>
      <c r="H804" s="16" t="str">
        <f>IF('Paste Here'!$C798&lt;&gt;"",'Paste Here'!$C798,"")</f>
        <v/>
      </c>
      <c r="I804" s="25" t="str">
        <f>IF('Paste Here'!$D798&lt;&gt;"",'Paste Here'!$D798,"")</f>
        <v/>
      </c>
      <c r="J804" s="27" t="str">
        <f>IF('Paste Here'!$E798&lt;&gt;"",'Paste Here'!$E798,"")</f>
        <v/>
      </c>
      <c r="K804" s="16" t="str">
        <f>IF('Paste Here'!$F798&lt;&gt;"",'Paste Here'!$F798,"")</f>
        <v/>
      </c>
      <c r="L804" s="16" t="str">
        <f>IF('Paste Here'!$G798&lt;&gt;"",'Paste Here'!$G798,"")</f>
        <v/>
      </c>
      <c r="M804" s="18" t="str">
        <f t="shared" si="25"/>
        <v/>
      </c>
    </row>
    <row r="805" spans="1:13" s="17" customFormat="1" x14ac:dyDescent="0.25">
      <c r="A805" s="16" t="str">
        <f>IF(URN&lt;&gt;"",_xll.mdValue("Resident",_xlnm.Database,$F805),"")</f>
        <v/>
      </c>
      <c r="B805" s="16" t="str">
        <f>IF(PersonId&lt;&gt;"",_xll.mdValue("Resident First Name",_xlnm.Database,$A$8),"")</f>
        <v/>
      </c>
      <c r="C805" s="16" t="str">
        <f>IF(PersonId&lt;&gt;"",_xll.mdValue("Resident Last Name",_xlnm.Database,$A$8),"")</f>
        <v/>
      </c>
      <c r="D805" s="16" t="str">
        <f>IF(PersonId&lt;&gt;"",_xll.mdValue("Person Accomodation Code",_xlnm.Database,$A805),"")</f>
        <v/>
      </c>
      <c r="E805" s="28" t="str">
        <f t="shared" si="24"/>
        <v/>
      </c>
      <c r="F805" s="16" t="str">
        <f>IF('Paste Here'!$A799&lt;&gt;"",'Paste Here'!$A799,"")</f>
        <v/>
      </c>
      <c r="G805" s="16" t="str">
        <f>IF('Paste Here'!$B799&lt;&gt;"",'Paste Here'!$B799,"")</f>
        <v/>
      </c>
      <c r="H805" s="16" t="str">
        <f>IF('Paste Here'!$C799&lt;&gt;"",'Paste Here'!$C799,"")</f>
        <v/>
      </c>
      <c r="I805" s="25" t="str">
        <f>IF('Paste Here'!$D799&lt;&gt;"",'Paste Here'!$D799,"")</f>
        <v/>
      </c>
      <c r="J805" s="27" t="str">
        <f>IF('Paste Here'!$E799&lt;&gt;"",'Paste Here'!$E799,"")</f>
        <v/>
      </c>
      <c r="K805" s="16" t="str">
        <f>IF('Paste Here'!$F799&lt;&gt;"",'Paste Here'!$F799,"")</f>
        <v/>
      </c>
      <c r="L805" s="16" t="str">
        <f>IF('Paste Here'!$G799&lt;&gt;"",'Paste Here'!$G799,"")</f>
        <v/>
      </c>
      <c r="M805" s="18" t="str">
        <f t="shared" si="25"/>
        <v/>
      </c>
    </row>
    <row r="806" spans="1:13" s="17" customFormat="1" x14ac:dyDescent="0.25">
      <c r="A806" s="16" t="str">
        <f>IF(URN&lt;&gt;"",_xll.mdValue("Resident",_xlnm.Database,$F806),"")</f>
        <v/>
      </c>
      <c r="B806" s="16" t="str">
        <f>IF(PersonId&lt;&gt;"",_xll.mdValue("Resident First Name",_xlnm.Database,$A$8),"")</f>
        <v/>
      </c>
      <c r="C806" s="16" t="str">
        <f>IF(PersonId&lt;&gt;"",_xll.mdValue("Resident Last Name",_xlnm.Database,$A$8),"")</f>
        <v/>
      </c>
      <c r="D806" s="16" t="str">
        <f>IF(PersonId&lt;&gt;"",_xll.mdValue("Person Accomodation Code",_xlnm.Database,$A806),"")</f>
        <v/>
      </c>
      <c r="E806" s="28" t="str">
        <f t="shared" si="24"/>
        <v/>
      </c>
      <c r="F806" s="16" t="str">
        <f>IF('Paste Here'!$A800&lt;&gt;"",'Paste Here'!$A800,"")</f>
        <v/>
      </c>
      <c r="G806" s="16" t="str">
        <f>IF('Paste Here'!$B800&lt;&gt;"",'Paste Here'!$B800,"")</f>
        <v/>
      </c>
      <c r="H806" s="16" t="str">
        <f>IF('Paste Here'!$C800&lt;&gt;"",'Paste Here'!$C800,"")</f>
        <v/>
      </c>
      <c r="I806" s="25" t="str">
        <f>IF('Paste Here'!$D800&lt;&gt;"",'Paste Here'!$D800,"")</f>
        <v/>
      </c>
      <c r="J806" s="27" t="str">
        <f>IF('Paste Here'!$E800&lt;&gt;"",'Paste Here'!$E800,"")</f>
        <v/>
      </c>
      <c r="K806" s="16" t="str">
        <f>IF('Paste Here'!$F800&lt;&gt;"",'Paste Here'!$F800,"")</f>
        <v/>
      </c>
      <c r="L806" s="16" t="str">
        <f>IF('Paste Here'!$G800&lt;&gt;"",'Paste Here'!$G800,"")</f>
        <v/>
      </c>
      <c r="M806" s="18" t="str">
        <f t="shared" si="25"/>
        <v/>
      </c>
    </row>
    <row r="807" spans="1:13" s="17" customFormat="1" x14ac:dyDescent="0.25">
      <c r="A807" s="16" t="str">
        <f>IF(URN&lt;&gt;"",_xll.mdValue("Resident",_xlnm.Database,$F807),"")</f>
        <v/>
      </c>
      <c r="B807" s="16" t="str">
        <f>IF(PersonId&lt;&gt;"",_xll.mdValue("Resident First Name",_xlnm.Database,$A$8),"")</f>
        <v/>
      </c>
      <c r="C807" s="16" t="str">
        <f>IF(PersonId&lt;&gt;"",_xll.mdValue("Resident Last Name",_xlnm.Database,$A$8),"")</f>
        <v/>
      </c>
      <c r="D807" s="16" t="str">
        <f>IF(PersonId&lt;&gt;"",_xll.mdValue("Person Accomodation Code",_xlnm.Database,$A807),"")</f>
        <v/>
      </c>
      <c r="E807" s="28" t="str">
        <f t="shared" si="24"/>
        <v/>
      </c>
      <c r="F807" s="16" t="str">
        <f>IF('Paste Here'!$A801&lt;&gt;"",'Paste Here'!$A801,"")</f>
        <v/>
      </c>
      <c r="G807" s="16" t="str">
        <f>IF('Paste Here'!$B801&lt;&gt;"",'Paste Here'!$B801,"")</f>
        <v/>
      </c>
      <c r="H807" s="16" t="str">
        <f>IF('Paste Here'!$C801&lt;&gt;"",'Paste Here'!$C801,"")</f>
        <v/>
      </c>
      <c r="I807" s="25" t="str">
        <f>IF('Paste Here'!$D801&lt;&gt;"",'Paste Here'!$D801,"")</f>
        <v/>
      </c>
      <c r="J807" s="27" t="str">
        <f>IF('Paste Here'!$E801&lt;&gt;"",'Paste Here'!$E801,"")</f>
        <v/>
      </c>
      <c r="K807" s="16" t="str">
        <f>IF('Paste Here'!$F801&lt;&gt;"",'Paste Here'!$F801,"")</f>
        <v/>
      </c>
      <c r="L807" s="16" t="str">
        <f>IF('Paste Here'!$G801&lt;&gt;"",'Paste Here'!$G801,"")</f>
        <v/>
      </c>
      <c r="M807" s="18" t="str">
        <f t="shared" si="25"/>
        <v/>
      </c>
    </row>
    <row r="808" spans="1:13" s="17" customFormat="1" x14ac:dyDescent="0.25">
      <c r="A808" s="16" t="str">
        <f>IF(URN&lt;&gt;"",_xll.mdValue("Resident",_xlnm.Database,$F808),"")</f>
        <v/>
      </c>
      <c r="B808" s="16" t="str">
        <f>IF(PersonId&lt;&gt;"",_xll.mdValue("Resident First Name",_xlnm.Database,$A$8),"")</f>
        <v/>
      </c>
      <c r="C808" s="16" t="str">
        <f>IF(PersonId&lt;&gt;"",_xll.mdValue("Resident Last Name",_xlnm.Database,$A$8),"")</f>
        <v/>
      </c>
      <c r="D808" s="16" t="str">
        <f>IF(PersonId&lt;&gt;"",_xll.mdValue("Person Accomodation Code",_xlnm.Database,$A808),"")</f>
        <v/>
      </c>
      <c r="E808" s="28" t="str">
        <f t="shared" si="24"/>
        <v/>
      </c>
      <c r="F808" s="16" t="str">
        <f>IF('Paste Here'!$A802&lt;&gt;"",'Paste Here'!$A802,"")</f>
        <v/>
      </c>
      <c r="G808" s="16" t="str">
        <f>IF('Paste Here'!$B802&lt;&gt;"",'Paste Here'!$B802,"")</f>
        <v/>
      </c>
      <c r="H808" s="16" t="str">
        <f>IF('Paste Here'!$C802&lt;&gt;"",'Paste Here'!$C802,"")</f>
        <v/>
      </c>
      <c r="I808" s="25" t="str">
        <f>IF('Paste Here'!$D802&lt;&gt;"",'Paste Here'!$D802,"")</f>
        <v/>
      </c>
      <c r="J808" s="27" t="str">
        <f>IF('Paste Here'!$E802&lt;&gt;"",'Paste Here'!$E802,"")</f>
        <v/>
      </c>
      <c r="K808" s="16" t="str">
        <f>IF('Paste Here'!$F802&lt;&gt;"",'Paste Here'!$F802,"")</f>
        <v/>
      </c>
      <c r="L808" s="16" t="str">
        <f>IF('Paste Here'!$G802&lt;&gt;"",'Paste Here'!$G802,"")</f>
        <v/>
      </c>
      <c r="M808" s="18" t="str">
        <f t="shared" si="25"/>
        <v/>
      </c>
    </row>
    <row r="809" spans="1:13" s="17" customFormat="1" x14ac:dyDescent="0.25">
      <c r="A809" s="16" t="str">
        <f>IF(URN&lt;&gt;"",_xll.mdValue("Resident",_xlnm.Database,$F809),"")</f>
        <v/>
      </c>
      <c r="B809" s="16" t="str">
        <f>IF(PersonId&lt;&gt;"",_xll.mdValue("Resident First Name",_xlnm.Database,$A$8),"")</f>
        <v/>
      </c>
      <c r="C809" s="16" t="str">
        <f>IF(PersonId&lt;&gt;"",_xll.mdValue("Resident Last Name",_xlnm.Database,$A$8),"")</f>
        <v/>
      </c>
      <c r="D809" s="16" t="str">
        <f>IF(PersonId&lt;&gt;"",_xll.mdValue("Person Accomodation Code",_xlnm.Database,$A809),"")</f>
        <v/>
      </c>
      <c r="E809" s="28" t="str">
        <f t="shared" si="24"/>
        <v/>
      </c>
      <c r="F809" s="16" t="str">
        <f>IF('Paste Here'!$A803&lt;&gt;"",'Paste Here'!$A803,"")</f>
        <v/>
      </c>
      <c r="G809" s="16" t="str">
        <f>IF('Paste Here'!$B803&lt;&gt;"",'Paste Here'!$B803,"")</f>
        <v/>
      </c>
      <c r="H809" s="16" t="str">
        <f>IF('Paste Here'!$C803&lt;&gt;"",'Paste Here'!$C803,"")</f>
        <v/>
      </c>
      <c r="I809" s="25" t="str">
        <f>IF('Paste Here'!$D803&lt;&gt;"",'Paste Here'!$D803,"")</f>
        <v/>
      </c>
      <c r="J809" s="27" t="str">
        <f>IF('Paste Here'!$E803&lt;&gt;"",'Paste Here'!$E803,"")</f>
        <v/>
      </c>
      <c r="K809" s="16" t="str">
        <f>IF('Paste Here'!$F803&lt;&gt;"",'Paste Here'!$F803,"")</f>
        <v/>
      </c>
      <c r="L809" s="16" t="str">
        <f>IF('Paste Here'!$G803&lt;&gt;"",'Paste Here'!$G803,"")</f>
        <v/>
      </c>
      <c r="M809" s="18" t="str">
        <f t="shared" si="25"/>
        <v/>
      </c>
    </row>
    <row r="810" spans="1:13" s="17" customFormat="1" x14ac:dyDescent="0.25">
      <c r="A810" s="16" t="str">
        <f>IF(URN&lt;&gt;"",_xll.mdValue("Resident",_xlnm.Database,$F810),"")</f>
        <v/>
      </c>
      <c r="B810" s="16" t="str">
        <f>IF(PersonId&lt;&gt;"",_xll.mdValue("Resident First Name",_xlnm.Database,$A$8),"")</f>
        <v/>
      </c>
      <c r="C810" s="16" t="str">
        <f>IF(PersonId&lt;&gt;"",_xll.mdValue("Resident Last Name",_xlnm.Database,$A$8),"")</f>
        <v/>
      </c>
      <c r="D810" s="16" t="str">
        <f>IF(PersonId&lt;&gt;"",_xll.mdValue("Person Accomodation Code",_xlnm.Database,$A810),"")</f>
        <v/>
      </c>
      <c r="E810" s="28" t="str">
        <f t="shared" si="24"/>
        <v/>
      </c>
      <c r="F810" s="16" t="str">
        <f>IF('Paste Here'!$A804&lt;&gt;"",'Paste Here'!$A804,"")</f>
        <v/>
      </c>
      <c r="G810" s="16" t="str">
        <f>IF('Paste Here'!$B804&lt;&gt;"",'Paste Here'!$B804,"")</f>
        <v/>
      </c>
      <c r="H810" s="16" t="str">
        <f>IF('Paste Here'!$C804&lt;&gt;"",'Paste Here'!$C804,"")</f>
        <v/>
      </c>
      <c r="I810" s="25" t="str">
        <f>IF('Paste Here'!$D804&lt;&gt;"",'Paste Here'!$D804,"")</f>
        <v/>
      </c>
      <c r="J810" s="27" t="str">
        <f>IF('Paste Here'!$E804&lt;&gt;"",'Paste Here'!$E804,"")</f>
        <v/>
      </c>
      <c r="K810" s="16" t="str">
        <f>IF('Paste Here'!$F804&lt;&gt;"",'Paste Here'!$F804,"")</f>
        <v/>
      </c>
      <c r="L810" s="16" t="str">
        <f>IF('Paste Here'!$G804&lt;&gt;"",'Paste Here'!$G804,"")</f>
        <v/>
      </c>
      <c r="M810" s="18" t="str">
        <f t="shared" si="25"/>
        <v/>
      </c>
    </row>
    <row r="811" spans="1:13" s="17" customFormat="1" x14ac:dyDescent="0.25">
      <c r="A811" s="16" t="str">
        <f>IF(URN&lt;&gt;"",_xll.mdValue("Resident",_xlnm.Database,$F811),"")</f>
        <v/>
      </c>
      <c r="B811" s="16" t="str">
        <f>IF(PersonId&lt;&gt;"",_xll.mdValue("Resident First Name",_xlnm.Database,$A$8),"")</f>
        <v/>
      </c>
      <c r="C811" s="16" t="str">
        <f>IF(PersonId&lt;&gt;"",_xll.mdValue("Resident Last Name",_xlnm.Database,$A$8),"")</f>
        <v/>
      </c>
      <c r="D811" s="16" t="str">
        <f>IF(PersonId&lt;&gt;"",_xll.mdValue("Person Accomodation Code",_xlnm.Database,$A811),"")</f>
        <v/>
      </c>
      <c r="E811" s="28" t="str">
        <f t="shared" si="24"/>
        <v/>
      </c>
      <c r="F811" s="16" t="str">
        <f>IF('Paste Here'!$A805&lt;&gt;"",'Paste Here'!$A805,"")</f>
        <v/>
      </c>
      <c r="G811" s="16" t="str">
        <f>IF('Paste Here'!$B805&lt;&gt;"",'Paste Here'!$B805,"")</f>
        <v/>
      </c>
      <c r="H811" s="16" t="str">
        <f>IF('Paste Here'!$C805&lt;&gt;"",'Paste Here'!$C805,"")</f>
        <v/>
      </c>
      <c r="I811" s="25" t="str">
        <f>IF('Paste Here'!$D805&lt;&gt;"",'Paste Here'!$D805,"")</f>
        <v/>
      </c>
      <c r="J811" s="27" t="str">
        <f>IF('Paste Here'!$E805&lt;&gt;"",'Paste Here'!$E805,"")</f>
        <v/>
      </c>
      <c r="K811" s="16" t="str">
        <f>IF('Paste Here'!$F805&lt;&gt;"",'Paste Here'!$F805,"")</f>
        <v/>
      </c>
      <c r="L811" s="16" t="str">
        <f>IF('Paste Here'!$G805&lt;&gt;"",'Paste Here'!$G805,"")</f>
        <v/>
      </c>
      <c r="M811" s="18" t="str">
        <f t="shared" si="25"/>
        <v/>
      </c>
    </row>
    <row r="812" spans="1:13" s="17" customFormat="1" x14ac:dyDescent="0.25">
      <c r="A812" s="16" t="str">
        <f>IF(URN&lt;&gt;"",_xll.mdValue("Resident",_xlnm.Database,$F812),"")</f>
        <v/>
      </c>
      <c r="B812" s="16" t="str">
        <f>IF(PersonId&lt;&gt;"",_xll.mdValue("Resident First Name",_xlnm.Database,$A$8),"")</f>
        <v/>
      </c>
      <c r="C812" s="16" t="str">
        <f>IF(PersonId&lt;&gt;"",_xll.mdValue("Resident Last Name",_xlnm.Database,$A$8),"")</f>
        <v/>
      </c>
      <c r="D812" s="16" t="str">
        <f>IF(PersonId&lt;&gt;"",_xll.mdValue("Person Accomodation Code",_xlnm.Database,$A812),"")</f>
        <v/>
      </c>
      <c r="E812" s="28" t="str">
        <f t="shared" si="24"/>
        <v/>
      </c>
      <c r="F812" s="16" t="str">
        <f>IF('Paste Here'!$A806&lt;&gt;"",'Paste Here'!$A806,"")</f>
        <v/>
      </c>
      <c r="G812" s="16" t="str">
        <f>IF('Paste Here'!$B806&lt;&gt;"",'Paste Here'!$B806,"")</f>
        <v/>
      </c>
      <c r="H812" s="16" t="str">
        <f>IF('Paste Here'!$C806&lt;&gt;"",'Paste Here'!$C806,"")</f>
        <v/>
      </c>
      <c r="I812" s="25" t="str">
        <f>IF('Paste Here'!$D806&lt;&gt;"",'Paste Here'!$D806,"")</f>
        <v/>
      </c>
      <c r="J812" s="27" t="str">
        <f>IF('Paste Here'!$E806&lt;&gt;"",'Paste Here'!$E806,"")</f>
        <v/>
      </c>
      <c r="K812" s="16" t="str">
        <f>IF('Paste Here'!$F806&lt;&gt;"",'Paste Here'!$F806,"")</f>
        <v/>
      </c>
      <c r="L812" s="16" t="str">
        <f>IF('Paste Here'!$G806&lt;&gt;"",'Paste Here'!$G806,"")</f>
        <v/>
      </c>
      <c r="M812" s="18" t="str">
        <f t="shared" si="25"/>
        <v/>
      </c>
    </row>
    <row r="813" spans="1:13" s="17" customFormat="1" x14ac:dyDescent="0.25">
      <c r="A813" s="16" t="str">
        <f>IF(URN&lt;&gt;"",_xll.mdValue("Resident",_xlnm.Database,$F813),"")</f>
        <v/>
      </c>
      <c r="B813" s="16" t="str">
        <f>IF(PersonId&lt;&gt;"",_xll.mdValue("Resident First Name",_xlnm.Database,$A$8),"")</f>
        <v/>
      </c>
      <c r="C813" s="16" t="str">
        <f>IF(PersonId&lt;&gt;"",_xll.mdValue("Resident Last Name",_xlnm.Database,$A$8),"")</f>
        <v/>
      </c>
      <c r="D813" s="16" t="str">
        <f>IF(PersonId&lt;&gt;"",_xll.mdValue("Person Accomodation Code",_xlnm.Database,$A813),"")</f>
        <v/>
      </c>
      <c r="E813" s="28" t="str">
        <f t="shared" si="24"/>
        <v/>
      </c>
      <c r="F813" s="16" t="str">
        <f>IF('Paste Here'!$A807&lt;&gt;"",'Paste Here'!$A807,"")</f>
        <v/>
      </c>
      <c r="G813" s="16" t="str">
        <f>IF('Paste Here'!$B807&lt;&gt;"",'Paste Here'!$B807,"")</f>
        <v/>
      </c>
      <c r="H813" s="16" t="str">
        <f>IF('Paste Here'!$C807&lt;&gt;"",'Paste Here'!$C807,"")</f>
        <v/>
      </c>
      <c r="I813" s="25" t="str">
        <f>IF('Paste Here'!$D807&lt;&gt;"",'Paste Here'!$D807,"")</f>
        <v/>
      </c>
      <c r="J813" s="27" t="str">
        <f>IF('Paste Here'!$E807&lt;&gt;"",'Paste Here'!$E807,"")</f>
        <v/>
      </c>
      <c r="K813" s="16" t="str">
        <f>IF('Paste Here'!$F807&lt;&gt;"",'Paste Here'!$F807,"")</f>
        <v/>
      </c>
      <c r="L813" s="16" t="str">
        <f>IF('Paste Here'!$G807&lt;&gt;"",'Paste Here'!$G807,"")</f>
        <v/>
      </c>
      <c r="M813" s="18" t="str">
        <f t="shared" si="25"/>
        <v/>
      </c>
    </row>
    <row r="814" spans="1:13" s="17" customFormat="1" x14ac:dyDescent="0.25">
      <c r="A814" s="16" t="str">
        <f>IF(URN&lt;&gt;"",_xll.mdValue("Resident",_xlnm.Database,$F814),"")</f>
        <v/>
      </c>
      <c r="B814" s="16" t="str">
        <f>IF(PersonId&lt;&gt;"",_xll.mdValue("Resident First Name",_xlnm.Database,$A$8),"")</f>
        <v/>
      </c>
      <c r="C814" s="16" t="str">
        <f>IF(PersonId&lt;&gt;"",_xll.mdValue("Resident Last Name",_xlnm.Database,$A$8),"")</f>
        <v/>
      </c>
      <c r="D814" s="16" t="str">
        <f>IF(PersonId&lt;&gt;"",_xll.mdValue("Person Accomodation Code",_xlnm.Database,$A814),"")</f>
        <v/>
      </c>
      <c r="E814" s="28" t="str">
        <f t="shared" si="24"/>
        <v/>
      </c>
      <c r="F814" s="16" t="str">
        <f>IF('Paste Here'!$A808&lt;&gt;"",'Paste Here'!$A808,"")</f>
        <v/>
      </c>
      <c r="G814" s="16" t="str">
        <f>IF('Paste Here'!$B808&lt;&gt;"",'Paste Here'!$B808,"")</f>
        <v/>
      </c>
      <c r="H814" s="16" t="str">
        <f>IF('Paste Here'!$C808&lt;&gt;"",'Paste Here'!$C808,"")</f>
        <v/>
      </c>
      <c r="I814" s="25" t="str">
        <f>IF('Paste Here'!$D808&lt;&gt;"",'Paste Here'!$D808,"")</f>
        <v/>
      </c>
      <c r="J814" s="27" t="str">
        <f>IF('Paste Here'!$E808&lt;&gt;"",'Paste Here'!$E808,"")</f>
        <v/>
      </c>
      <c r="K814" s="16" t="str">
        <f>IF('Paste Here'!$F808&lt;&gt;"",'Paste Here'!$F808,"")</f>
        <v/>
      </c>
      <c r="L814" s="16" t="str">
        <f>IF('Paste Here'!$G808&lt;&gt;"",'Paste Here'!$G808,"")</f>
        <v/>
      </c>
      <c r="M814" s="18" t="str">
        <f t="shared" si="25"/>
        <v/>
      </c>
    </row>
    <row r="815" spans="1:13" s="17" customFormat="1" x14ac:dyDescent="0.25">
      <c r="A815" s="16" t="str">
        <f>IF(URN&lt;&gt;"",_xll.mdValue("Resident",_xlnm.Database,$F815),"")</f>
        <v/>
      </c>
      <c r="B815" s="16" t="str">
        <f>IF(PersonId&lt;&gt;"",_xll.mdValue("Resident First Name",_xlnm.Database,$A$8),"")</f>
        <v/>
      </c>
      <c r="C815" s="16" t="str">
        <f>IF(PersonId&lt;&gt;"",_xll.mdValue("Resident Last Name",_xlnm.Database,$A$8),"")</f>
        <v/>
      </c>
      <c r="D815" s="16" t="str">
        <f>IF(PersonId&lt;&gt;"",_xll.mdValue("Person Accomodation Code",_xlnm.Database,$A815),"")</f>
        <v/>
      </c>
      <c r="E815" s="28" t="str">
        <f t="shared" si="24"/>
        <v/>
      </c>
      <c r="F815" s="16" t="str">
        <f>IF('Paste Here'!$A809&lt;&gt;"",'Paste Here'!$A809,"")</f>
        <v/>
      </c>
      <c r="G815" s="16" t="str">
        <f>IF('Paste Here'!$B809&lt;&gt;"",'Paste Here'!$B809,"")</f>
        <v/>
      </c>
      <c r="H815" s="16" t="str">
        <f>IF('Paste Here'!$C809&lt;&gt;"",'Paste Here'!$C809,"")</f>
        <v/>
      </c>
      <c r="I815" s="25" t="str">
        <f>IF('Paste Here'!$D809&lt;&gt;"",'Paste Here'!$D809,"")</f>
        <v/>
      </c>
      <c r="J815" s="27" t="str">
        <f>IF('Paste Here'!$E809&lt;&gt;"",'Paste Here'!$E809,"")</f>
        <v/>
      </c>
      <c r="K815" s="16" t="str">
        <f>IF('Paste Here'!$F809&lt;&gt;"",'Paste Here'!$F809,"")</f>
        <v/>
      </c>
      <c r="L815" s="16" t="str">
        <f>IF('Paste Here'!$G809&lt;&gt;"",'Paste Here'!$G809,"")</f>
        <v/>
      </c>
      <c r="M815" s="18" t="str">
        <f t="shared" si="25"/>
        <v/>
      </c>
    </row>
    <row r="816" spans="1:13" s="17" customFormat="1" x14ac:dyDescent="0.25">
      <c r="A816" s="16" t="str">
        <f>IF(URN&lt;&gt;"",_xll.mdValue("Resident",_xlnm.Database,$F816),"")</f>
        <v/>
      </c>
      <c r="B816" s="16" t="str">
        <f>IF(PersonId&lt;&gt;"",_xll.mdValue("Resident First Name",_xlnm.Database,$A$8),"")</f>
        <v/>
      </c>
      <c r="C816" s="16" t="str">
        <f>IF(PersonId&lt;&gt;"",_xll.mdValue("Resident Last Name",_xlnm.Database,$A$8),"")</f>
        <v/>
      </c>
      <c r="D816" s="16" t="str">
        <f>IF(PersonId&lt;&gt;"",_xll.mdValue("Person Accomodation Code",_xlnm.Database,$A816),"")</f>
        <v/>
      </c>
      <c r="E816" s="28" t="str">
        <f t="shared" si="24"/>
        <v/>
      </c>
      <c r="F816" s="16" t="str">
        <f>IF('Paste Here'!$A810&lt;&gt;"",'Paste Here'!$A810,"")</f>
        <v/>
      </c>
      <c r="G816" s="16" t="str">
        <f>IF('Paste Here'!$B810&lt;&gt;"",'Paste Here'!$B810,"")</f>
        <v/>
      </c>
      <c r="H816" s="16" t="str">
        <f>IF('Paste Here'!$C810&lt;&gt;"",'Paste Here'!$C810,"")</f>
        <v/>
      </c>
      <c r="I816" s="25" t="str">
        <f>IF('Paste Here'!$D810&lt;&gt;"",'Paste Here'!$D810,"")</f>
        <v/>
      </c>
      <c r="J816" s="27" t="str">
        <f>IF('Paste Here'!$E810&lt;&gt;"",'Paste Here'!$E810,"")</f>
        <v/>
      </c>
      <c r="K816" s="16" t="str">
        <f>IF('Paste Here'!$F810&lt;&gt;"",'Paste Here'!$F810,"")</f>
        <v/>
      </c>
      <c r="L816" s="16" t="str">
        <f>IF('Paste Here'!$G810&lt;&gt;"",'Paste Here'!$G810,"")</f>
        <v/>
      </c>
      <c r="M816" s="18" t="str">
        <f t="shared" si="25"/>
        <v/>
      </c>
    </row>
    <row r="817" spans="1:13" s="17" customFormat="1" x14ac:dyDescent="0.25">
      <c r="A817" s="16" t="str">
        <f>IF(URN&lt;&gt;"",_xll.mdValue("Resident",_xlnm.Database,$F817),"")</f>
        <v/>
      </c>
      <c r="B817" s="16" t="str">
        <f>IF(PersonId&lt;&gt;"",_xll.mdValue("Resident First Name",_xlnm.Database,$A$8),"")</f>
        <v/>
      </c>
      <c r="C817" s="16" t="str">
        <f>IF(PersonId&lt;&gt;"",_xll.mdValue("Resident Last Name",_xlnm.Database,$A$8),"")</f>
        <v/>
      </c>
      <c r="D817" s="16" t="str">
        <f>IF(PersonId&lt;&gt;"",_xll.mdValue("Person Accomodation Code",_xlnm.Database,$A817),"")</f>
        <v/>
      </c>
      <c r="E817" s="28" t="str">
        <f t="shared" si="24"/>
        <v/>
      </c>
      <c r="F817" s="16" t="str">
        <f>IF('Paste Here'!$A811&lt;&gt;"",'Paste Here'!$A811,"")</f>
        <v/>
      </c>
      <c r="G817" s="16" t="str">
        <f>IF('Paste Here'!$B811&lt;&gt;"",'Paste Here'!$B811,"")</f>
        <v/>
      </c>
      <c r="H817" s="16" t="str">
        <f>IF('Paste Here'!$C811&lt;&gt;"",'Paste Here'!$C811,"")</f>
        <v/>
      </c>
      <c r="I817" s="25" t="str">
        <f>IF('Paste Here'!$D811&lt;&gt;"",'Paste Here'!$D811,"")</f>
        <v/>
      </c>
      <c r="J817" s="27" t="str">
        <f>IF('Paste Here'!$E811&lt;&gt;"",'Paste Here'!$E811,"")</f>
        <v/>
      </c>
      <c r="K817" s="16" t="str">
        <f>IF('Paste Here'!$F811&lt;&gt;"",'Paste Here'!$F811,"")</f>
        <v/>
      </c>
      <c r="L817" s="16" t="str">
        <f>IF('Paste Here'!$G811&lt;&gt;"",'Paste Here'!$G811,"")</f>
        <v/>
      </c>
      <c r="M817" s="18" t="str">
        <f t="shared" si="25"/>
        <v/>
      </c>
    </row>
    <row r="818" spans="1:13" s="17" customFormat="1" x14ac:dyDescent="0.25">
      <c r="A818" s="16" t="str">
        <f>IF(URN&lt;&gt;"",_xll.mdValue("Resident",_xlnm.Database,$F818),"")</f>
        <v/>
      </c>
      <c r="B818" s="16" t="str">
        <f>IF(PersonId&lt;&gt;"",_xll.mdValue("Resident First Name",_xlnm.Database,$A$8),"")</f>
        <v/>
      </c>
      <c r="C818" s="16" t="str">
        <f>IF(PersonId&lt;&gt;"",_xll.mdValue("Resident Last Name",_xlnm.Database,$A$8),"")</f>
        <v/>
      </c>
      <c r="D818" s="16" t="str">
        <f>IF(PersonId&lt;&gt;"",_xll.mdValue("Person Accomodation Code",_xlnm.Database,$A818),"")</f>
        <v/>
      </c>
      <c r="E818" s="28" t="str">
        <f t="shared" si="24"/>
        <v/>
      </c>
      <c r="F818" s="16" t="str">
        <f>IF('Paste Here'!$A812&lt;&gt;"",'Paste Here'!$A812,"")</f>
        <v/>
      </c>
      <c r="G818" s="16" t="str">
        <f>IF('Paste Here'!$B812&lt;&gt;"",'Paste Here'!$B812,"")</f>
        <v/>
      </c>
      <c r="H818" s="16" t="str">
        <f>IF('Paste Here'!$C812&lt;&gt;"",'Paste Here'!$C812,"")</f>
        <v/>
      </c>
      <c r="I818" s="25" t="str">
        <f>IF('Paste Here'!$D812&lt;&gt;"",'Paste Here'!$D812,"")</f>
        <v/>
      </c>
      <c r="J818" s="27" t="str">
        <f>IF('Paste Here'!$E812&lt;&gt;"",'Paste Here'!$E812,"")</f>
        <v/>
      </c>
      <c r="K818" s="16" t="str">
        <f>IF('Paste Here'!$F812&lt;&gt;"",'Paste Here'!$F812,"")</f>
        <v/>
      </c>
      <c r="L818" s="16" t="str">
        <f>IF('Paste Here'!$G812&lt;&gt;"",'Paste Here'!$G812,"")</f>
        <v/>
      </c>
      <c r="M818" s="18" t="str">
        <f t="shared" si="25"/>
        <v/>
      </c>
    </row>
    <row r="819" spans="1:13" s="17" customFormat="1" x14ac:dyDescent="0.25">
      <c r="A819" s="16" t="str">
        <f>IF(URN&lt;&gt;"",_xll.mdValue("Resident",_xlnm.Database,$F819),"")</f>
        <v/>
      </c>
      <c r="B819" s="16" t="str">
        <f>IF(PersonId&lt;&gt;"",_xll.mdValue("Resident First Name",_xlnm.Database,$A$8),"")</f>
        <v/>
      </c>
      <c r="C819" s="16" t="str">
        <f>IF(PersonId&lt;&gt;"",_xll.mdValue("Resident Last Name",_xlnm.Database,$A$8),"")</f>
        <v/>
      </c>
      <c r="D819" s="16" t="str">
        <f>IF(PersonId&lt;&gt;"",_xll.mdValue("Person Accomodation Code",_xlnm.Database,$A819),"")</f>
        <v/>
      </c>
      <c r="E819" s="28" t="str">
        <f t="shared" si="24"/>
        <v/>
      </c>
      <c r="F819" s="16" t="str">
        <f>IF('Paste Here'!$A813&lt;&gt;"",'Paste Here'!$A813,"")</f>
        <v/>
      </c>
      <c r="G819" s="16" t="str">
        <f>IF('Paste Here'!$B813&lt;&gt;"",'Paste Here'!$B813,"")</f>
        <v/>
      </c>
      <c r="H819" s="16" t="str">
        <f>IF('Paste Here'!$C813&lt;&gt;"",'Paste Here'!$C813,"")</f>
        <v/>
      </c>
      <c r="I819" s="25" t="str">
        <f>IF('Paste Here'!$D813&lt;&gt;"",'Paste Here'!$D813,"")</f>
        <v/>
      </c>
      <c r="J819" s="27" t="str">
        <f>IF('Paste Here'!$E813&lt;&gt;"",'Paste Here'!$E813,"")</f>
        <v/>
      </c>
      <c r="K819" s="16" t="str">
        <f>IF('Paste Here'!$F813&lt;&gt;"",'Paste Here'!$F813,"")</f>
        <v/>
      </c>
      <c r="L819" s="16" t="str">
        <f>IF('Paste Here'!$G813&lt;&gt;"",'Paste Here'!$G813,"")</f>
        <v/>
      </c>
      <c r="M819" s="18" t="str">
        <f t="shared" si="25"/>
        <v/>
      </c>
    </row>
    <row r="820" spans="1:13" s="17" customFormat="1" x14ac:dyDescent="0.25">
      <c r="A820" s="16" t="str">
        <f>IF(URN&lt;&gt;"",_xll.mdValue("Resident",_xlnm.Database,$F820),"")</f>
        <v/>
      </c>
      <c r="B820" s="16" t="str">
        <f>IF(PersonId&lt;&gt;"",_xll.mdValue("Resident First Name",_xlnm.Database,$A$8),"")</f>
        <v/>
      </c>
      <c r="C820" s="16" t="str">
        <f>IF(PersonId&lt;&gt;"",_xll.mdValue("Resident Last Name",_xlnm.Database,$A$8),"")</f>
        <v/>
      </c>
      <c r="D820" s="16" t="str">
        <f>IF(PersonId&lt;&gt;"",_xll.mdValue("Person Accomodation Code",_xlnm.Database,$A820),"")</f>
        <v/>
      </c>
      <c r="E820" s="28" t="str">
        <f t="shared" si="24"/>
        <v/>
      </c>
      <c r="F820" s="16" t="str">
        <f>IF('Paste Here'!$A814&lt;&gt;"",'Paste Here'!$A814,"")</f>
        <v/>
      </c>
      <c r="G820" s="16" t="str">
        <f>IF('Paste Here'!$B814&lt;&gt;"",'Paste Here'!$B814,"")</f>
        <v/>
      </c>
      <c r="H820" s="16" t="str">
        <f>IF('Paste Here'!$C814&lt;&gt;"",'Paste Here'!$C814,"")</f>
        <v/>
      </c>
      <c r="I820" s="25" t="str">
        <f>IF('Paste Here'!$D814&lt;&gt;"",'Paste Here'!$D814,"")</f>
        <v/>
      </c>
      <c r="J820" s="27" t="str">
        <f>IF('Paste Here'!$E814&lt;&gt;"",'Paste Here'!$E814,"")</f>
        <v/>
      </c>
      <c r="K820" s="16" t="str">
        <f>IF('Paste Here'!$F814&lt;&gt;"",'Paste Here'!$F814,"")</f>
        <v/>
      </c>
      <c r="L820" s="16" t="str">
        <f>IF('Paste Here'!$G814&lt;&gt;"",'Paste Here'!$G814,"")</f>
        <v/>
      </c>
      <c r="M820" s="18" t="str">
        <f t="shared" si="25"/>
        <v/>
      </c>
    </row>
    <row r="821" spans="1:13" s="17" customFormat="1" x14ac:dyDescent="0.25">
      <c r="A821" s="16" t="str">
        <f>IF(URN&lt;&gt;"",_xll.mdValue("Resident",_xlnm.Database,$F821),"")</f>
        <v/>
      </c>
      <c r="B821" s="16" t="str">
        <f>IF(PersonId&lt;&gt;"",_xll.mdValue("Resident First Name",_xlnm.Database,$A$8),"")</f>
        <v/>
      </c>
      <c r="C821" s="16" t="str">
        <f>IF(PersonId&lt;&gt;"",_xll.mdValue("Resident Last Name",_xlnm.Database,$A$8),"")</f>
        <v/>
      </c>
      <c r="D821" s="16" t="str">
        <f>IF(PersonId&lt;&gt;"",_xll.mdValue("Person Accomodation Code",_xlnm.Database,$A821),"")</f>
        <v/>
      </c>
      <c r="E821" s="28" t="str">
        <f t="shared" si="24"/>
        <v/>
      </c>
      <c r="F821" s="16" t="str">
        <f>IF('Paste Here'!$A815&lt;&gt;"",'Paste Here'!$A815,"")</f>
        <v/>
      </c>
      <c r="G821" s="16" t="str">
        <f>IF('Paste Here'!$B815&lt;&gt;"",'Paste Here'!$B815,"")</f>
        <v/>
      </c>
      <c r="H821" s="16" t="str">
        <f>IF('Paste Here'!$C815&lt;&gt;"",'Paste Here'!$C815,"")</f>
        <v/>
      </c>
      <c r="I821" s="25" t="str">
        <f>IF('Paste Here'!$D815&lt;&gt;"",'Paste Here'!$D815,"")</f>
        <v/>
      </c>
      <c r="J821" s="27" t="str">
        <f>IF('Paste Here'!$E815&lt;&gt;"",'Paste Here'!$E815,"")</f>
        <v/>
      </c>
      <c r="K821" s="16" t="str">
        <f>IF('Paste Here'!$F815&lt;&gt;"",'Paste Here'!$F815,"")</f>
        <v/>
      </c>
      <c r="L821" s="16" t="str">
        <f>IF('Paste Here'!$G815&lt;&gt;"",'Paste Here'!$G815,"")</f>
        <v/>
      </c>
      <c r="M821" s="18" t="str">
        <f t="shared" si="25"/>
        <v/>
      </c>
    </row>
    <row r="822" spans="1:13" s="17" customFormat="1" x14ac:dyDescent="0.25">
      <c r="A822" s="16" t="str">
        <f>IF(URN&lt;&gt;"",_xll.mdValue("Resident",_xlnm.Database,$F822),"")</f>
        <v/>
      </c>
      <c r="B822" s="16" t="str">
        <f>IF(PersonId&lt;&gt;"",_xll.mdValue("Resident First Name",_xlnm.Database,$A$8),"")</f>
        <v/>
      </c>
      <c r="C822" s="16" t="str">
        <f>IF(PersonId&lt;&gt;"",_xll.mdValue("Resident Last Name",_xlnm.Database,$A$8),"")</f>
        <v/>
      </c>
      <c r="D822" s="16" t="str">
        <f>IF(PersonId&lt;&gt;"",_xll.mdValue("Person Accomodation Code",_xlnm.Database,$A822),"")</f>
        <v/>
      </c>
      <c r="E822" s="28" t="str">
        <f t="shared" si="24"/>
        <v/>
      </c>
      <c r="F822" s="16" t="str">
        <f>IF('Paste Here'!$A816&lt;&gt;"",'Paste Here'!$A816,"")</f>
        <v/>
      </c>
      <c r="G822" s="16" t="str">
        <f>IF('Paste Here'!$B816&lt;&gt;"",'Paste Here'!$B816,"")</f>
        <v/>
      </c>
      <c r="H822" s="16" t="str">
        <f>IF('Paste Here'!$C816&lt;&gt;"",'Paste Here'!$C816,"")</f>
        <v/>
      </c>
      <c r="I822" s="25" t="str">
        <f>IF('Paste Here'!$D816&lt;&gt;"",'Paste Here'!$D816,"")</f>
        <v/>
      </c>
      <c r="J822" s="27" t="str">
        <f>IF('Paste Here'!$E816&lt;&gt;"",'Paste Here'!$E816,"")</f>
        <v/>
      </c>
      <c r="K822" s="16" t="str">
        <f>IF('Paste Here'!$F816&lt;&gt;"",'Paste Here'!$F816,"")</f>
        <v/>
      </c>
      <c r="L822" s="16" t="str">
        <f>IF('Paste Here'!$G816&lt;&gt;"",'Paste Here'!$G816,"")</f>
        <v/>
      </c>
      <c r="M822" s="18" t="str">
        <f t="shared" si="25"/>
        <v/>
      </c>
    </row>
    <row r="823" spans="1:13" s="17" customFormat="1" x14ac:dyDescent="0.25">
      <c r="A823" s="16" t="str">
        <f>IF(URN&lt;&gt;"",_xll.mdValue("Resident",_xlnm.Database,$F823),"")</f>
        <v/>
      </c>
      <c r="B823" s="16" t="str">
        <f>IF(PersonId&lt;&gt;"",_xll.mdValue("Resident First Name",_xlnm.Database,$A$8),"")</f>
        <v/>
      </c>
      <c r="C823" s="16" t="str">
        <f>IF(PersonId&lt;&gt;"",_xll.mdValue("Resident Last Name",_xlnm.Database,$A$8),"")</f>
        <v/>
      </c>
      <c r="D823" s="16" t="str">
        <f>IF(PersonId&lt;&gt;"",_xll.mdValue("Person Accomodation Code",_xlnm.Database,$A823),"")</f>
        <v/>
      </c>
      <c r="E823" s="28" t="str">
        <f t="shared" si="24"/>
        <v/>
      </c>
      <c r="F823" s="16" t="str">
        <f>IF('Paste Here'!$A817&lt;&gt;"",'Paste Here'!$A817,"")</f>
        <v/>
      </c>
      <c r="G823" s="16" t="str">
        <f>IF('Paste Here'!$B817&lt;&gt;"",'Paste Here'!$B817,"")</f>
        <v/>
      </c>
      <c r="H823" s="16" t="str">
        <f>IF('Paste Here'!$C817&lt;&gt;"",'Paste Here'!$C817,"")</f>
        <v/>
      </c>
      <c r="I823" s="25" t="str">
        <f>IF('Paste Here'!$D817&lt;&gt;"",'Paste Here'!$D817,"")</f>
        <v/>
      </c>
      <c r="J823" s="27" t="str">
        <f>IF('Paste Here'!$E817&lt;&gt;"",'Paste Here'!$E817,"")</f>
        <v/>
      </c>
      <c r="K823" s="16" t="str">
        <f>IF('Paste Here'!$F817&lt;&gt;"",'Paste Here'!$F817,"")</f>
        <v/>
      </c>
      <c r="L823" s="16" t="str">
        <f>IF('Paste Here'!$G817&lt;&gt;"",'Paste Here'!$G817,"")</f>
        <v/>
      </c>
      <c r="M823" s="18" t="str">
        <f t="shared" si="25"/>
        <v/>
      </c>
    </row>
    <row r="824" spans="1:13" s="17" customFormat="1" x14ac:dyDescent="0.25">
      <c r="A824" s="16" t="str">
        <f>IF(URN&lt;&gt;"",_xll.mdValue("Resident",_xlnm.Database,$F824),"")</f>
        <v/>
      </c>
      <c r="B824" s="16" t="str">
        <f>IF(PersonId&lt;&gt;"",_xll.mdValue("Resident First Name",_xlnm.Database,$A$8),"")</f>
        <v/>
      </c>
      <c r="C824" s="16" t="str">
        <f>IF(PersonId&lt;&gt;"",_xll.mdValue("Resident Last Name",_xlnm.Database,$A$8),"")</f>
        <v/>
      </c>
      <c r="D824" s="16" t="str">
        <f>IF(PersonId&lt;&gt;"",_xll.mdValue("Person Accomodation Code",_xlnm.Database,$A824),"")</f>
        <v/>
      </c>
      <c r="E824" s="28" t="str">
        <f t="shared" si="24"/>
        <v/>
      </c>
      <c r="F824" s="16" t="str">
        <f>IF('Paste Here'!$A818&lt;&gt;"",'Paste Here'!$A818,"")</f>
        <v/>
      </c>
      <c r="G824" s="16" t="str">
        <f>IF('Paste Here'!$B818&lt;&gt;"",'Paste Here'!$B818,"")</f>
        <v/>
      </c>
      <c r="H824" s="16" t="str">
        <f>IF('Paste Here'!$C818&lt;&gt;"",'Paste Here'!$C818,"")</f>
        <v/>
      </c>
      <c r="I824" s="25" t="str">
        <f>IF('Paste Here'!$D818&lt;&gt;"",'Paste Here'!$D818,"")</f>
        <v/>
      </c>
      <c r="J824" s="27" t="str">
        <f>IF('Paste Here'!$E818&lt;&gt;"",'Paste Here'!$E818,"")</f>
        <v/>
      </c>
      <c r="K824" s="16" t="str">
        <f>IF('Paste Here'!$F818&lt;&gt;"",'Paste Here'!$F818,"")</f>
        <v/>
      </c>
      <c r="L824" s="16" t="str">
        <f>IF('Paste Here'!$G818&lt;&gt;"",'Paste Here'!$G818,"")</f>
        <v/>
      </c>
      <c r="M824" s="18" t="str">
        <f t="shared" si="25"/>
        <v/>
      </c>
    </row>
    <row r="825" spans="1:13" s="17" customFormat="1" x14ac:dyDescent="0.25">
      <c r="A825" s="16" t="str">
        <f>IF(URN&lt;&gt;"",_xll.mdValue("Resident",_xlnm.Database,$F825),"")</f>
        <v/>
      </c>
      <c r="B825" s="16" t="str">
        <f>IF(PersonId&lt;&gt;"",_xll.mdValue("Resident First Name",_xlnm.Database,$A$8),"")</f>
        <v/>
      </c>
      <c r="C825" s="16" t="str">
        <f>IF(PersonId&lt;&gt;"",_xll.mdValue("Resident Last Name",_xlnm.Database,$A$8),"")</f>
        <v/>
      </c>
      <c r="D825" s="16" t="str">
        <f>IF(PersonId&lt;&gt;"",_xll.mdValue("Person Accomodation Code",_xlnm.Database,$A825),"")</f>
        <v/>
      </c>
      <c r="E825" s="28" t="str">
        <f t="shared" si="24"/>
        <v/>
      </c>
      <c r="F825" s="16" t="str">
        <f>IF('Paste Here'!$A819&lt;&gt;"",'Paste Here'!$A819,"")</f>
        <v/>
      </c>
      <c r="G825" s="16" t="str">
        <f>IF('Paste Here'!$B819&lt;&gt;"",'Paste Here'!$B819,"")</f>
        <v/>
      </c>
      <c r="H825" s="16" t="str">
        <f>IF('Paste Here'!$C819&lt;&gt;"",'Paste Here'!$C819,"")</f>
        <v/>
      </c>
      <c r="I825" s="25" t="str">
        <f>IF('Paste Here'!$D819&lt;&gt;"",'Paste Here'!$D819,"")</f>
        <v/>
      </c>
      <c r="J825" s="27" t="str">
        <f>IF('Paste Here'!$E819&lt;&gt;"",'Paste Here'!$E819,"")</f>
        <v/>
      </c>
      <c r="K825" s="16" t="str">
        <f>IF('Paste Here'!$F819&lt;&gt;"",'Paste Here'!$F819,"")</f>
        <v/>
      </c>
      <c r="L825" s="16" t="str">
        <f>IF('Paste Here'!$G819&lt;&gt;"",'Paste Here'!$G819,"")</f>
        <v/>
      </c>
      <c r="M825" s="18" t="str">
        <f t="shared" si="25"/>
        <v/>
      </c>
    </row>
    <row r="826" spans="1:13" s="17" customFormat="1" x14ac:dyDescent="0.25">
      <c r="A826" s="16" t="str">
        <f>IF(URN&lt;&gt;"",_xll.mdValue("Resident",_xlnm.Database,$F826),"")</f>
        <v/>
      </c>
      <c r="B826" s="16" t="str">
        <f>IF(PersonId&lt;&gt;"",_xll.mdValue("Resident First Name",_xlnm.Database,$A$8),"")</f>
        <v/>
      </c>
      <c r="C826" s="16" t="str">
        <f>IF(PersonId&lt;&gt;"",_xll.mdValue("Resident Last Name",_xlnm.Database,$A$8),"")</f>
        <v/>
      </c>
      <c r="D826" s="16" t="str">
        <f>IF(PersonId&lt;&gt;"",_xll.mdValue("Person Accomodation Code",_xlnm.Database,$A826),"")</f>
        <v/>
      </c>
      <c r="E826" s="28" t="str">
        <f t="shared" si="24"/>
        <v/>
      </c>
      <c r="F826" s="16" t="str">
        <f>IF('Paste Here'!$A820&lt;&gt;"",'Paste Here'!$A820,"")</f>
        <v/>
      </c>
      <c r="G826" s="16" t="str">
        <f>IF('Paste Here'!$B820&lt;&gt;"",'Paste Here'!$B820,"")</f>
        <v/>
      </c>
      <c r="H826" s="16" t="str">
        <f>IF('Paste Here'!$C820&lt;&gt;"",'Paste Here'!$C820,"")</f>
        <v/>
      </c>
      <c r="I826" s="25" t="str">
        <f>IF('Paste Here'!$D820&lt;&gt;"",'Paste Here'!$D820,"")</f>
        <v/>
      </c>
      <c r="J826" s="27" t="str">
        <f>IF('Paste Here'!$E820&lt;&gt;"",'Paste Here'!$E820,"")</f>
        <v/>
      </c>
      <c r="K826" s="16" t="str">
        <f>IF('Paste Here'!$F820&lt;&gt;"",'Paste Here'!$F820,"")</f>
        <v/>
      </c>
      <c r="L826" s="16" t="str">
        <f>IF('Paste Here'!$G820&lt;&gt;"",'Paste Here'!$G820,"")</f>
        <v/>
      </c>
      <c r="M826" s="18" t="str">
        <f t="shared" si="25"/>
        <v/>
      </c>
    </row>
    <row r="827" spans="1:13" s="17" customFormat="1" x14ac:dyDescent="0.25">
      <c r="A827" s="16" t="str">
        <f>IF(URN&lt;&gt;"",_xll.mdValue("Resident",_xlnm.Database,$F827),"")</f>
        <v/>
      </c>
      <c r="B827" s="16" t="str">
        <f>IF(PersonId&lt;&gt;"",_xll.mdValue("Resident First Name",_xlnm.Database,$A$8),"")</f>
        <v/>
      </c>
      <c r="C827" s="16" t="str">
        <f>IF(PersonId&lt;&gt;"",_xll.mdValue("Resident Last Name",_xlnm.Database,$A$8),"")</f>
        <v/>
      </c>
      <c r="D827" s="16" t="str">
        <f>IF(PersonId&lt;&gt;"",_xll.mdValue("Person Accomodation Code",_xlnm.Database,$A827),"")</f>
        <v/>
      </c>
      <c r="E827" s="28" t="str">
        <f t="shared" si="24"/>
        <v/>
      </c>
      <c r="F827" s="16" t="str">
        <f>IF('Paste Here'!$A821&lt;&gt;"",'Paste Here'!$A821,"")</f>
        <v/>
      </c>
      <c r="G827" s="16" t="str">
        <f>IF('Paste Here'!$B821&lt;&gt;"",'Paste Here'!$B821,"")</f>
        <v/>
      </c>
      <c r="H827" s="16" t="str">
        <f>IF('Paste Here'!$C821&lt;&gt;"",'Paste Here'!$C821,"")</f>
        <v/>
      </c>
      <c r="I827" s="25" t="str">
        <f>IF('Paste Here'!$D821&lt;&gt;"",'Paste Here'!$D821,"")</f>
        <v/>
      </c>
      <c r="J827" s="27" t="str">
        <f>IF('Paste Here'!$E821&lt;&gt;"",'Paste Here'!$E821,"")</f>
        <v/>
      </c>
      <c r="K827" s="16" t="str">
        <f>IF('Paste Here'!$F821&lt;&gt;"",'Paste Here'!$F821,"")</f>
        <v/>
      </c>
      <c r="L827" s="16" t="str">
        <f>IF('Paste Here'!$G821&lt;&gt;"",'Paste Here'!$G821,"")</f>
        <v/>
      </c>
      <c r="M827" s="18" t="str">
        <f t="shared" si="25"/>
        <v/>
      </c>
    </row>
    <row r="828" spans="1:13" s="17" customFormat="1" x14ac:dyDescent="0.25">
      <c r="A828" s="16" t="str">
        <f>IF(URN&lt;&gt;"",_xll.mdValue("Resident",_xlnm.Database,$F828),"")</f>
        <v/>
      </c>
      <c r="B828" s="16" t="str">
        <f>IF(PersonId&lt;&gt;"",_xll.mdValue("Resident First Name",_xlnm.Database,$A$8),"")</f>
        <v/>
      </c>
      <c r="C828" s="16" t="str">
        <f>IF(PersonId&lt;&gt;"",_xll.mdValue("Resident Last Name",_xlnm.Database,$A$8),"")</f>
        <v/>
      </c>
      <c r="D828" s="16" t="str">
        <f>IF(PersonId&lt;&gt;"",_xll.mdValue("Person Accomodation Code",_xlnm.Database,$A828),"")</f>
        <v/>
      </c>
      <c r="E828" s="28" t="str">
        <f t="shared" si="24"/>
        <v/>
      </c>
      <c r="F828" s="16" t="str">
        <f>IF('Paste Here'!$A822&lt;&gt;"",'Paste Here'!$A822,"")</f>
        <v/>
      </c>
      <c r="G828" s="16" t="str">
        <f>IF('Paste Here'!$B822&lt;&gt;"",'Paste Here'!$B822,"")</f>
        <v/>
      </c>
      <c r="H828" s="16" t="str">
        <f>IF('Paste Here'!$C822&lt;&gt;"",'Paste Here'!$C822,"")</f>
        <v/>
      </c>
      <c r="I828" s="25" t="str">
        <f>IF('Paste Here'!$D822&lt;&gt;"",'Paste Here'!$D822,"")</f>
        <v/>
      </c>
      <c r="J828" s="27" t="str">
        <f>IF('Paste Here'!$E822&lt;&gt;"",'Paste Here'!$E822,"")</f>
        <v/>
      </c>
      <c r="K828" s="16" t="str">
        <f>IF('Paste Here'!$F822&lt;&gt;"",'Paste Here'!$F822,"")</f>
        <v/>
      </c>
      <c r="L828" s="16" t="str">
        <f>IF('Paste Here'!$G822&lt;&gt;"",'Paste Here'!$G822,"")</f>
        <v/>
      </c>
      <c r="M828" s="18" t="str">
        <f t="shared" si="25"/>
        <v/>
      </c>
    </row>
    <row r="829" spans="1:13" s="17" customFormat="1" x14ac:dyDescent="0.25">
      <c r="A829" s="16" t="str">
        <f>IF(URN&lt;&gt;"",_xll.mdValue("Resident",_xlnm.Database,$F829),"")</f>
        <v/>
      </c>
      <c r="B829" s="16" t="str">
        <f>IF(PersonId&lt;&gt;"",_xll.mdValue("Resident First Name",_xlnm.Database,$A$8),"")</f>
        <v/>
      </c>
      <c r="C829" s="16" t="str">
        <f>IF(PersonId&lt;&gt;"",_xll.mdValue("Resident Last Name",_xlnm.Database,$A$8),"")</f>
        <v/>
      </c>
      <c r="D829" s="16" t="str">
        <f>IF(PersonId&lt;&gt;"",_xll.mdValue("Person Accomodation Code",_xlnm.Database,$A829),"")</f>
        <v/>
      </c>
      <c r="E829" s="28" t="str">
        <f t="shared" si="24"/>
        <v/>
      </c>
      <c r="F829" s="16" t="str">
        <f>IF('Paste Here'!$A823&lt;&gt;"",'Paste Here'!$A823,"")</f>
        <v/>
      </c>
      <c r="G829" s="16" t="str">
        <f>IF('Paste Here'!$B823&lt;&gt;"",'Paste Here'!$B823,"")</f>
        <v/>
      </c>
      <c r="H829" s="16" t="str">
        <f>IF('Paste Here'!$C823&lt;&gt;"",'Paste Here'!$C823,"")</f>
        <v/>
      </c>
      <c r="I829" s="25" t="str">
        <f>IF('Paste Here'!$D823&lt;&gt;"",'Paste Here'!$D823,"")</f>
        <v/>
      </c>
      <c r="J829" s="27" t="str">
        <f>IF('Paste Here'!$E823&lt;&gt;"",'Paste Here'!$E823,"")</f>
        <v/>
      </c>
      <c r="K829" s="16" t="str">
        <f>IF('Paste Here'!$F823&lt;&gt;"",'Paste Here'!$F823,"")</f>
        <v/>
      </c>
      <c r="L829" s="16" t="str">
        <f>IF('Paste Here'!$G823&lt;&gt;"",'Paste Here'!$G823,"")</f>
        <v/>
      </c>
      <c r="M829" s="18" t="str">
        <f t="shared" si="25"/>
        <v/>
      </c>
    </row>
    <row r="830" spans="1:13" s="17" customFormat="1" x14ac:dyDescent="0.25">
      <c r="A830" s="16" t="str">
        <f>IF(URN&lt;&gt;"",_xll.mdValue("Resident",_xlnm.Database,$F830),"")</f>
        <v/>
      </c>
      <c r="B830" s="16" t="str">
        <f>IF(PersonId&lt;&gt;"",_xll.mdValue("Resident First Name",_xlnm.Database,$A$8),"")</f>
        <v/>
      </c>
      <c r="C830" s="16" t="str">
        <f>IF(PersonId&lt;&gt;"",_xll.mdValue("Resident Last Name",_xlnm.Database,$A$8),"")</f>
        <v/>
      </c>
      <c r="D830" s="16" t="str">
        <f>IF(PersonId&lt;&gt;"",_xll.mdValue("Person Accomodation Code",_xlnm.Database,$A830),"")</f>
        <v/>
      </c>
      <c r="E830" s="28" t="str">
        <f t="shared" si="24"/>
        <v/>
      </c>
      <c r="F830" s="16" t="str">
        <f>IF('Paste Here'!$A824&lt;&gt;"",'Paste Here'!$A824,"")</f>
        <v/>
      </c>
      <c r="G830" s="16" t="str">
        <f>IF('Paste Here'!$B824&lt;&gt;"",'Paste Here'!$B824,"")</f>
        <v/>
      </c>
      <c r="H830" s="16" t="str">
        <f>IF('Paste Here'!$C824&lt;&gt;"",'Paste Here'!$C824,"")</f>
        <v/>
      </c>
      <c r="I830" s="25" t="str">
        <f>IF('Paste Here'!$D824&lt;&gt;"",'Paste Here'!$D824,"")</f>
        <v/>
      </c>
      <c r="J830" s="27" t="str">
        <f>IF('Paste Here'!$E824&lt;&gt;"",'Paste Here'!$E824,"")</f>
        <v/>
      </c>
      <c r="K830" s="16" t="str">
        <f>IF('Paste Here'!$F824&lt;&gt;"",'Paste Here'!$F824,"")</f>
        <v/>
      </c>
      <c r="L830" s="16" t="str">
        <f>IF('Paste Here'!$G824&lt;&gt;"",'Paste Here'!$G824,"")</f>
        <v/>
      </c>
      <c r="M830" s="18" t="str">
        <f t="shared" si="25"/>
        <v/>
      </c>
    </row>
    <row r="831" spans="1:13" s="17" customFormat="1" x14ac:dyDescent="0.25">
      <c r="A831" s="16" t="str">
        <f>IF(URN&lt;&gt;"",_xll.mdValue("Resident",_xlnm.Database,$F831),"")</f>
        <v/>
      </c>
      <c r="B831" s="16" t="str">
        <f>IF(PersonId&lt;&gt;"",_xll.mdValue("Resident First Name",_xlnm.Database,$A$8),"")</f>
        <v/>
      </c>
      <c r="C831" s="16" t="str">
        <f>IF(PersonId&lt;&gt;"",_xll.mdValue("Resident Last Name",_xlnm.Database,$A$8),"")</f>
        <v/>
      </c>
      <c r="D831" s="16" t="str">
        <f>IF(PersonId&lt;&gt;"",_xll.mdValue("Person Accomodation Code",_xlnm.Database,$A831),"")</f>
        <v/>
      </c>
      <c r="E831" s="28" t="str">
        <f t="shared" si="24"/>
        <v/>
      </c>
      <c r="F831" s="16" t="str">
        <f>IF('Paste Here'!$A825&lt;&gt;"",'Paste Here'!$A825,"")</f>
        <v/>
      </c>
      <c r="G831" s="16" t="str">
        <f>IF('Paste Here'!$B825&lt;&gt;"",'Paste Here'!$B825,"")</f>
        <v/>
      </c>
      <c r="H831" s="16" t="str">
        <f>IF('Paste Here'!$C825&lt;&gt;"",'Paste Here'!$C825,"")</f>
        <v/>
      </c>
      <c r="I831" s="25" t="str">
        <f>IF('Paste Here'!$D825&lt;&gt;"",'Paste Here'!$D825,"")</f>
        <v/>
      </c>
      <c r="J831" s="27" t="str">
        <f>IF('Paste Here'!$E825&lt;&gt;"",'Paste Here'!$E825,"")</f>
        <v/>
      </c>
      <c r="K831" s="16" t="str">
        <f>IF('Paste Here'!$F825&lt;&gt;"",'Paste Here'!$F825,"")</f>
        <v/>
      </c>
      <c r="L831" s="16" t="str">
        <f>IF('Paste Here'!$G825&lt;&gt;"",'Paste Here'!$G825,"")</f>
        <v/>
      </c>
      <c r="M831" s="18" t="str">
        <f t="shared" si="25"/>
        <v/>
      </c>
    </row>
    <row r="832" spans="1:13" s="17" customFormat="1" x14ac:dyDescent="0.25">
      <c r="A832" s="16" t="str">
        <f>IF(URN&lt;&gt;"",_xll.mdValue("Resident",_xlnm.Database,$F832),"")</f>
        <v/>
      </c>
      <c r="B832" s="16" t="str">
        <f>IF(PersonId&lt;&gt;"",_xll.mdValue("Resident First Name",_xlnm.Database,$A$8),"")</f>
        <v/>
      </c>
      <c r="C832" s="16" t="str">
        <f>IF(PersonId&lt;&gt;"",_xll.mdValue("Resident Last Name",_xlnm.Database,$A$8),"")</f>
        <v/>
      </c>
      <c r="D832" s="16" t="str">
        <f>IF(PersonId&lt;&gt;"",_xll.mdValue("Person Accomodation Code",_xlnm.Database,$A832),"")</f>
        <v/>
      </c>
      <c r="E832" s="28" t="str">
        <f t="shared" si="24"/>
        <v/>
      </c>
      <c r="F832" s="16" t="str">
        <f>IF('Paste Here'!$A826&lt;&gt;"",'Paste Here'!$A826,"")</f>
        <v/>
      </c>
      <c r="G832" s="16" t="str">
        <f>IF('Paste Here'!$B826&lt;&gt;"",'Paste Here'!$B826,"")</f>
        <v/>
      </c>
      <c r="H832" s="16" t="str">
        <f>IF('Paste Here'!$C826&lt;&gt;"",'Paste Here'!$C826,"")</f>
        <v/>
      </c>
      <c r="I832" s="25" t="str">
        <f>IF('Paste Here'!$D826&lt;&gt;"",'Paste Here'!$D826,"")</f>
        <v/>
      </c>
      <c r="J832" s="27" t="str">
        <f>IF('Paste Here'!$E826&lt;&gt;"",'Paste Here'!$E826,"")</f>
        <v/>
      </c>
      <c r="K832" s="16" t="str">
        <f>IF('Paste Here'!$F826&lt;&gt;"",'Paste Here'!$F826,"")</f>
        <v/>
      </c>
      <c r="L832" s="16" t="str">
        <f>IF('Paste Here'!$G826&lt;&gt;"",'Paste Here'!$G826,"")</f>
        <v/>
      </c>
      <c r="M832" s="18" t="str">
        <f t="shared" si="25"/>
        <v/>
      </c>
    </row>
    <row r="833" spans="1:13" s="17" customFormat="1" x14ac:dyDescent="0.25">
      <c r="A833" s="16" t="str">
        <f>IF(URN&lt;&gt;"",_xll.mdValue("Resident",_xlnm.Database,$F833),"")</f>
        <v/>
      </c>
      <c r="B833" s="16" t="str">
        <f>IF(PersonId&lt;&gt;"",_xll.mdValue("Resident First Name",_xlnm.Database,$A$8),"")</f>
        <v/>
      </c>
      <c r="C833" s="16" t="str">
        <f>IF(PersonId&lt;&gt;"",_xll.mdValue("Resident Last Name",_xlnm.Database,$A$8),"")</f>
        <v/>
      </c>
      <c r="D833" s="16" t="str">
        <f>IF(PersonId&lt;&gt;"",_xll.mdValue("Person Accomodation Code",_xlnm.Database,$A833),"")</f>
        <v/>
      </c>
      <c r="E833" s="28" t="str">
        <f t="shared" si="24"/>
        <v/>
      </c>
      <c r="F833" s="16" t="str">
        <f>IF('Paste Here'!$A827&lt;&gt;"",'Paste Here'!$A827,"")</f>
        <v/>
      </c>
      <c r="G833" s="16" t="str">
        <f>IF('Paste Here'!$B827&lt;&gt;"",'Paste Here'!$B827,"")</f>
        <v/>
      </c>
      <c r="H833" s="16" t="str">
        <f>IF('Paste Here'!$C827&lt;&gt;"",'Paste Here'!$C827,"")</f>
        <v/>
      </c>
      <c r="I833" s="25" t="str">
        <f>IF('Paste Here'!$D827&lt;&gt;"",'Paste Here'!$D827,"")</f>
        <v/>
      </c>
      <c r="J833" s="27" t="str">
        <f>IF('Paste Here'!$E827&lt;&gt;"",'Paste Here'!$E827,"")</f>
        <v/>
      </c>
      <c r="K833" s="16" t="str">
        <f>IF('Paste Here'!$F827&lt;&gt;"",'Paste Here'!$F827,"")</f>
        <v/>
      </c>
      <c r="L833" s="16" t="str">
        <f>IF('Paste Here'!$G827&lt;&gt;"",'Paste Here'!$G827,"")</f>
        <v/>
      </c>
      <c r="M833" s="18" t="str">
        <f t="shared" si="25"/>
        <v/>
      </c>
    </row>
    <row r="834" spans="1:13" s="17" customFormat="1" x14ac:dyDescent="0.25">
      <c r="A834" s="16" t="str">
        <f>IF(URN&lt;&gt;"",_xll.mdValue("Resident",_xlnm.Database,$F834),"")</f>
        <v/>
      </c>
      <c r="B834" s="16" t="str">
        <f>IF(PersonId&lt;&gt;"",_xll.mdValue("Resident First Name",_xlnm.Database,$A$8),"")</f>
        <v/>
      </c>
      <c r="C834" s="16" t="str">
        <f>IF(PersonId&lt;&gt;"",_xll.mdValue("Resident Last Name",_xlnm.Database,$A$8),"")</f>
        <v/>
      </c>
      <c r="D834" s="16" t="str">
        <f>IF(PersonId&lt;&gt;"",_xll.mdValue("Person Accomodation Code",_xlnm.Database,$A834),"")</f>
        <v/>
      </c>
      <c r="E834" s="28" t="str">
        <f t="shared" si="24"/>
        <v/>
      </c>
      <c r="F834" s="16" t="str">
        <f>IF('Paste Here'!$A828&lt;&gt;"",'Paste Here'!$A828,"")</f>
        <v/>
      </c>
      <c r="G834" s="16" t="str">
        <f>IF('Paste Here'!$B828&lt;&gt;"",'Paste Here'!$B828,"")</f>
        <v/>
      </c>
      <c r="H834" s="16" t="str">
        <f>IF('Paste Here'!$C828&lt;&gt;"",'Paste Here'!$C828,"")</f>
        <v/>
      </c>
      <c r="I834" s="25" t="str">
        <f>IF('Paste Here'!$D828&lt;&gt;"",'Paste Here'!$D828,"")</f>
        <v/>
      </c>
      <c r="J834" s="27" t="str">
        <f>IF('Paste Here'!$E828&lt;&gt;"",'Paste Here'!$E828,"")</f>
        <v/>
      </c>
      <c r="K834" s="16" t="str">
        <f>IF('Paste Here'!$F828&lt;&gt;"",'Paste Here'!$F828,"")</f>
        <v/>
      </c>
      <c r="L834" s="16" t="str">
        <f>IF('Paste Here'!$G828&lt;&gt;"",'Paste Here'!$G828,"")</f>
        <v/>
      </c>
      <c r="M834" s="18" t="str">
        <f t="shared" si="25"/>
        <v/>
      </c>
    </row>
    <row r="835" spans="1:13" s="17" customFormat="1" x14ac:dyDescent="0.25">
      <c r="A835" s="16" t="str">
        <f>IF(URN&lt;&gt;"",_xll.mdValue("Resident",_xlnm.Database,$F835),"")</f>
        <v/>
      </c>
      <c r="B835" s="16" t="str">
        <f>IF(PersonId&lt;&gt;"",_xll.mdValue("Resident First Name",_xlnm.Database,$A$8),"")</f>
        <v/>
      </c>
      <c r="C835" s="16" t="str">
        <f>IF(PersonId&lt;&gt;"",_xll.mdValue("Resident Last Name",_xlnm.Database,$A$8),"")</f>
        <v/>
      </c>
      <c r="D835" s="16" t="str">
        <f>IF(PersonId&lt;&gt;"",_xll.mdValue("Person Accomodation Code",_xlnm.Database,$A835),"")</f>
        <v/>
      </c>
      <c r="E835" s="28" t="str">
        <f t="shared" si="24"/>
        <v/>
      </c>
      <c r="F835" s="16" t="str">
        <f>IF('Paste Here'!$A829&lt;&gt;"",'Paste Here'!$A829,"")</f>
        <v/>
      </c>
      <c r="G835" s="16" t="str">
        <f>IF('Paste Here'!$B829&lt;&gt;"",'Paste Here'!$B829,"")</f>
        <v/>
      </c>
      <c r="H835" s="16" t="str">
        <f>IF('Paste Here'!$C829&lt;&gt;"",'Paste Here'!$C829,"")</f>
        <v/>
      </c>
      <c r="I835" s="25" t="str">
        <f>IF('Paste Here'!$D829&lt;&gt;"",'Paste Here'!$D829,"")</f>
        <v/>
      </c>
      <c r="J835" s="27" t="str">
        <f>IF('Paste Here'!$E829&lt;&gt;"",'Paste Here'!$E829,"")</f>
        <v/>
      </c>
      <c r="K835" s="16" t="str">
        <f>IF('Paste Here'!$F829&lt;&gt;"",'Paste Here'!$F829,"")</f>
        <v/>
      </c>
      <c r="L835" s="16" t="str">
        <f>IF('Paste Here'!$G829&lt;&gt;"",'Paste Here'!$G829,"")</f>
        <v/>
      </c>
      <c r="M835" s="18" t="str">
        <f t="shared" si="25"/>
        <v/>
      </c>
    </row>
    <row r="836" spans="1:13" s="17" customFormat="1" x14ac:dyDescent="0.25">
      <c r="A836" s="16" t="str">
        <f>IF(URN&lt;&gt;"",_xll.mdValue("Resident",_xlnm.Database,$F836),"")</f>
        <v/>
      </c>
      <c r="B836" s="16" t="str">
        <f>IF(PersonId&lt;&gt;"",_xll.mdValue("Resident First Name",_xlnm.Database,$A$8),"")</f>
        <v/>
      </c>
      <c r="C836" s="16" t="str">
        <f>IF(PersonId&lt;&gt;"",_xll.mdValue("Resident Last Name",_xlnm.Database,$A$8),"")</f>
        <v/>
      </c>
      <c r="D836" s="16" t="str">
        <f>IF(PersonId&lt;&gt;"",_xll.mdValue("Person Accomodation Code",_xlnm.Database,$A836),"")</f>
        <v/>
      </c>
      <c r="E836" s="28" t="str">
        <f t="shared" si="24"/>
        <v/>
      </c>
      <c r="F836" s="16" t="str">
        <f>IF('Paste Here'!$A830&lt;&gt;"",'Paste Here'!$A830,"")</f>
        <v/>
      </c>
      <c r="G836" s="16" t="str">
        <f>IF('Paste Here'!$B830&lt;&gt;"",'Paste Here'!$B830,"")</f>
        <v/>
      </c>
      <c r="H836" s="16" t="str">
        <f>IF('Paste Here'!$C830&lt;&gt;"",'Paste Here'!$C830,"")</f>
        <v/>
      </c>
      <c r="I836" s="25" t="str">
        <f>IF('Paste Here'!$D830&lt;&gt;"",'Paste Here'!$D830,"")</f>
        <v/>
      </c>
      <c r="J836" s="27" t="str">
        <f>IF('Paste Here'!$E830&lt;&gt;"",'Paste Here'!$E830,"")</f>
        <v/>
      </c>
      <c r="K836" s="16" t="str">
        <f>IF('Paste Here'!$F830&lt;&gt;"",'Paste Here'!$F830,"")</f>
        <v/>
      </c>
      <c r="L836" s="16" t="str">
        <f>IF('Paste Here'!$G830&lt;&gt;"",'Paste Here'!$G830,"")</f>
        <v/>
      </c>
      <c r="M836" s="18" t="str">
        <f t="shared" si="25"/>
        <v/>
      </c>
    </row>
    <row r="837" spans="1:13" s="17" customFormat="1" x14ac:dyDescent="0.25">
      <c r="A837" s="16" t="str">
        <f>IF(URN&lt;&gt;"",_xll.mdValue("Resident",_xlnm.Database,$F837),"")</f>
        <v/>
      </c>
      <c r="B837" s="16" t="str">
        <f>IF(PersonId&lt;&gt;"",_xll.mdValue("Resident First Name",_xlnm.Database,$A$8),"")</f>
        <v/>
      </c>
      <c r="C837" s="16" t="str">
        <f>IF(PersonId&lt;&gt;"",_xll.mdValue("Resident Last Name",_xlnm.Database,$A$8),"")</f>
        <v/>
      </c>
      <c r="D837" s="16" t="str">
        <f>IF(PersonId&lt;&gt;"",_xll.mdValue("Person Accomodation Code",_xlnm.Database,$A837),"")</f>
        <v/>
      </c>
      <c r="E837" s="28" t="str">
        <f t="shared" si="24"/>
        <v/>
      </c>
      <c r="F837" s="16" t="str">
        <f>IF('Paste Here'!$A831&lt;&gt;"",'Paste Here'!$A831,"")</f>
        <v/>
      </c>
      <c r="G837" s="16" t="str">
        <f>IF('Paste Here'!$B831&lt;&gt;"",'Paste Here'!$B831,"")</f>
        <v/>
      </c>
      <c r="H837" s="16" t="str">
        <f>IF('Paste Here'!$C831&lt;&gt;"",'Paste Here'!$C831,"")</f>
        <v/>
      </c>
      <c r="I837" s="25" t="str">
        <f>IF('Paste Here'!$D831&lt;&gt;"",'Paste Here'!$D831,"")</f>
        <v/>
      </c>
      <c r="J837" s="27" t="str">
        <f>IF('Paste Here'!$E831&lt;&gt;"",'Paste Here'!$E831,"")</f>
        <v/>
      </c>
      <c r="K837" s="16" t="str">
        <f>IF('Paste Here'!$F831&lt;&gt;"",'Paste Here'!$F831,"")</f>
        <v/>
      </c>
      <c r="L837" s="16" t="str">
        <f>IF('Paste Here'!$G831&lt;&gt;"",'Paste Here'!$G831,"")</f>
        <v/>
      </c>
      <c r="M837" s="18" t="str">
        <f t="shared" si="25"/>
        <v/>
      </c>
    </row>
    <row r="838" spans="1:13" s="17" customFormat="1" x14ac:dyDescent="0.25">
      <c r="A838" s="16" t="str">
        <f>IF(URN&lt;&gt;"",_xll.mdValue("Resident",_xlnm.Database,$F838),"")</f>
        <v/>
      </c>
      <c r="B838" s="16" t="str">
        <f>IF(PersonId&lt;&gt;"",_xll.mdValue("Resident First Name",_xlnm.Database,$A$8),"")</f>
        <v/>
      </c>
      <c r="C838" s="16" t="str">
        <f>IF(PersonId&lt;&gt;"",_xll.mdValue("Resident Last Name",_xlnm.Database,$A$8),"")</f>
        <v/>
      </c>
      <c r="D838" s="16" t="str">
        <f>IF(PersonId&lt;&gt;"",_xll.mdValue("Person Accomodation Code",_xlnm.Database,$A838),"")</f>
        <v/>
      </c>
      <c r="E838" s="28" t="str">
        <f t="shared" si="24"/>
        <v/>
      </c>
      <c r="F838" s="16" t="str">
        <f>IF('Paste Here'!$A832&lt;&gt;"",'Paste Here'!$A832,"")</f>
        <v/>
      </c>
      <c r="G838" s="16" t="str">
        <f>IF('Paste Here'!$B832&lt;&gt;"",'Paste Here'!$B832,"")</f>
        <v/>
      </c>
      <c r="H838" s="16" t="str">
        <f>IF('Paste Here'!$C832&lt;&gt;"",'Paste Here'!$C832,"")</f>
        <v/>
      </c>
      <c r="I838" s="25" t="str">
        <f>IF('Paste Here'!$D832&lt;&gt;"",'Paste Here'!$D832,"")</f>
        <v/>
      </c>
      <c r="J838" s="27" t="str">
        <f>IF('Paste Here'!$E832&lt;&gt;"",'Paste Here'!$E832,"")</f>
        <v/>
      </c>
      <c r="K838" s="16" t="str">
        <f>IF('Paste Here'!$F832&lt;&gt;"",'Paste Here'!$F832,"")</f>
        <v/>
      </c>
      <c r="L838" s="16" t="str">
        <f>IF('Paste Here'!$G832&lt;&gt;"",'Paste Here'!$G832,"")</f>
        <v/>
      </c>
      <c r="M838" s="18" t="str">
        <f t="shared" si="25"/>
        <v/>
      </c>
    </row>
    <row r="839" spans="1:13" s="17" customFormat="1" x14ac:dyDescent="0.25">
      <c r="A839" s="16" t="str">
        <f>IF(URN&lt;&gt;"",_xll.mdValue("Resident",_xlnm.Database,$F839),"")</f>
        <v/>
      </c>
      <c r="B839" s="16" t="str">
        <f>IF(PersonId&lt;&gt;"",_xll.mdValue("Resident First Name",_xlnm.Database,$A$8),"")</f>
        <v/>
      </c>
      <c r="C839" s="16" t="str">
        <f>IF(PersonId&lt;&gt;"",_xll.mdValue("Resident Last Name",_xlnm.Database,$A$8),"")</f>
        <v/>
      </c>
      <c r="D839" s="16" t="str">
        <f>IF(PersonId&lt;&gt;"",_xll.mdValue("Person Accomodation Code",_xlnm.Database,$A839),"")</f>
        <v/>
      </c>
      <c r="E839" s="28" t="str">
        <f t="shared" si="24"/>
        <v/>
      </c>
      <c r="F839" s="16" t="str">
        <f>IF('Paste Here'!$A833&lt;&gt;"",'Paste Here'!$A833,"")</f>
        <v/>
      </c>
      <c r="G839" s="16" t="str">
        <f>IF('Paste Here'!$B833&lt;&gt;"",'Paste Here'!$B833,"")</f>
        <v/>
      </c>
      <c r="H839" s="16" t="str">
        <f>IF('Paste Here'!$C833&lt;&gt;"",'Paste Here'!$C833,"")</f>
        <v/>
      </c>
      <c r="I839" s="25" t="str">
        <f>IF('Paste Here'!$D833&lt;&gt;"",'Paste Here'!$D833,"")</f>
        <v/>
      </c>
      <c r="J839" s="27" t="str">
        <f>IF('Paste Here'!$E833&lt;&gt;"",'Paste Here'!$E833,"")</f>
        <v/>
      </c>
      <c r="K839" s="16" t="str">
        <f>IF('Paste Here'!$F833&lt;&gt;"",'Paste Here'!$F833,"")</f>
        <v/>
      </c>
      <c r="L839" s="16" t="str">
        <f>IF('Paste Here'!$G833&lt;&gt;"",'Paste Here'!$G833,"")</f>
        <v/>
      </c>
      <c r="M839" s="18" t="str">
        <f t="shared" si="25"/>
        <v/>
      </c>
    </row>
    <row r="840" spans="1:13" s="17" customFormat="1" x14ac:dyDescent="0.25">
      <c r="A840" s="16" t="str">
        <f>IF(URN&lt;&gt;"",_xll.mdValue("Resident",_xlnm.Database,$F840),"")</f>
        <v/>
      </c>
      <c r="B840" s="16" t="str">
        <f>IF(PersonId&lt;&gt;"",_xll.mdValue("Resident First Name",_xlnm.Database,$A$8),"")</f>
        <v/>
      </c>
      <c r="C840" s="16" t="str">
        <f>IF(PersonId&lt;&gt;"",_xll.mdValue("Resident Last Name",_xlnm.Database,$A$8),"")</f>
        <v/>
      </c>
      <c r="D840" s="16" t="str">
        <f>IF(PersonId&lt;&gt;"",_xll.mdValue("Person Accomodation Code",_xlnm.Database,$A840),"")</f>
        <v/>
      </c>
      <c r="E840" s="28" t="str">
        <f t="shared" ref="E840:E903" si="26">IF(ClientCare_Accommodation&lt;&gt;"",IF(ClientCare_Accommodation&lt;&gt;AccommodationCode,"Missing Accommodation",""),"")</f>
        <v/>
      </c>
      <c r="F840" s="16" t="str">
        <f>IF('Paste Here'!$A834&lt;&gt;"",'Paste Here'!$A834,"")</f>
        <v/>
      </c>
      <c r="G840" s="16" t="str">
        <f>IF('Paste Here'!$B834&lt;&gt;"",'Paste Here'!$B834,"")</f>
        <v/>
      </c>
      <c r="H840" s="16" t="str">
        <f>IF('Paste Here'!$C834&lt;&gt;"",'Paste Here'!$C834,"")</f>
        <v/>
      </c>
      <c r="I840" s="25" t="str">
        <f>IF('Paste Here'!$D834&lt;&gt;"",'Paste Here'!$D834,"")</f>
        <v/>
      </c>
      <c r="J840" s="27" t="str">
        <f>IF('Paste Here'!$E834&lt;&gt;"",'Paste Here'!$E834,"")</f>
        <v/>
      </c>
      <c r="K840" s="16" t="str">
        <f>IF('Paste Here'!$F834&lt;&gt;"",'Paste Here'!$F834,"")</f>
        <v/>
      </c>
      <c r="L840" s="16" t="str">
        <f>IF('Paste Here'!$G834&lt;&gt;"",'Paste Here'!$G834,"")</f>
        <v/>
      </c>
      <c r="M840" s="18" t="str">
        <f t="shared" ref="M840:M903" si="27">IF(PersonId&lt;&gt;"","Normal","")</f>
        <v/>
      </c>
    </row>
    <row r="841" spans="1:13" s="17" customFormat="1" x14ac:dyDescent="0.25">
      <c r="A841" s="16" t="str">
        <f>IF(URN&lt;&gt;"",_xll.mdValue("Resident",_xlnm.Database,$F841),"")</f>
        <v/>
      </c>
      <c r="B841" s="16" t="str">
        <f>IF(PersonId&lt;&gt;"",_xll.mdValue("Resident First Name",_xlnm.Database,$A$8),"")</f>
        <v/>
      </c>
      <c r="C841" s="16" t="str">
        <f>IF(PersonId&lt;&gt;"",_xll.mdValue("Resident Last Name",_xlnm.Database,$A$8),"")</f>
        <v/>
      </c>
      <c r="D841" s="16" t="str">
        <f>IF(PersonId&lt;&gt;"",_xll.mdValue("Person Accomodation Code",_xlnm.Database,$A841),"")</f>
        <v/>
      </c>
      <c r="E841" s="28" t="str">
        <f t="shared" si="26"/>
        <v/>
      </c>
      <c r="F841" s="16" t="str">
        <f>IF('Paste Here'!$A835&lt;&gt;"",'Paste Here'!$A835,"")</f>
        <v/>
      </c>
      <c r="G841" s="16" t="str">
        <f>IF('Paste Here'!$B835&lt;&gt;"",'Paste Here'!$B835,"")</f>
        <v/>
      </c>
      <c r="H841" s="16" t="str">
        <f>IF('Paste Here'!$C835&lt;&gt;"",'Paste Here'!$C835,"")</f>
        <v/>
      </c>
      <c r="I841" s="25" t="str">
        <f>IF('Paste Here'!$D835&lt;&gt;"",'Paste Here'!$D835,"")</f>
        <v/>
      </c>
      <c r="J841" s="27" t="str">
        <f>IF('Paste Here'!$E835&lt;&gt;"",'Paste Here'!$E835,"")</f>
        <v/>
      </c>
      <c r="K841" s="16" t="str">
        <f>IF('Paste Here'!$F835&lt;&gt;"",'Paste Here'!$F835,"")</f>
        <v/>
      </c>
      <c r="L841" s="16" t="str">
        <f>IF('Paste Here'!$G835&lt;&gt;"",'Paste Here'!$G835,"")</f>
        <v/>
      </c>
      <c r="M841" s="18" t="str">
        <f t="shared" si="27"/>
        <v/>
      </c>
    </row>
    <row r="842" spans="1:13" s="17" customFormat="1" x14ac:dyDescent="0.25">
      <c r="A842" s="16" t="str">
        <f>IF(URN&lt;&gt;"",_xll.mdValue("Resident",_xlnm.Database,$F842),"")</f>
        <v/>
      </c>
      <c r="B842" s="16" t="str">
        <f>IF(PersonId&lt;&gt;"",_xll.mdValue("Resident First Name",_xlnm.Database,$A$8),"")</f>
        <v/>
      </c>
      <c r="C842" s="16" t="str">
        <f>IF(PersonId&lt;&gt;"",_xll.mdValue("Resident Last Name",_xlnm.Database,$A$8),"")</f>
        <v/>
      </c>
      <c r="D842" s="16" t="str">
        <f>IF(PersonId&lt;&gt;"",_xll.mdValue("Person Accomodation Code",_xlnm.Database,$A842),"")</f>
        <v/>
      </c>
      <c r="E842" s="28" t="str">
        <f t="shared" si="26"/>
        <v/>
      </c>
      <c r="F842" s="16" t="str">
        <f>IF('Paste Here'!$A836&lt;&gt;"",'Paste Here'!$A836,"")</f>
        <v/>
      </c>
      <c r="G842" s="16" t="str">
        <f>IF('Paste Here'!$B836&lt;&gt;"",'Paste Here'!$B836,"")</f>
        <v/>
      </c>
      <c r="H842" s="16" t="str">
        <f>IF('Paste Here'!$C836&lt;&gt;"",'Paste Here'!$C836,"")</f>
        <v/>
      </c>
      <c r="I842" s="25" t="str">
        <f>IF('Paste Here'!$D836&lt;&gt;"",'Paste Here'!$D836,"")</f>
        <v/>
      </c>
      <c r="J842" s="27" t="str">
        <f>IF('Paste Here'!$E836&lt;&gt;"",'Paste Here'!$E836,"")</f>
        <v/>
      </c>
      <c r="K842" s="16" t="str">
        <f>IF('Paste Here'!$F836&lt;&gt;"",'Paste Here'!$F836,"")</f>
        <v/>
      </c>
      <c r="L842" s="16" t="str">
        <f>IF('Paste Here'!$G836&lt;&gt;"",'Paste Here'!$G836,"")</f>
        <v/>
      </c>
      <c r="M842" s="18" t="str">
        <f t="shared" si="27"/>
        <v/>
      </c>
    </row>
    <row r="843" spans="1:13" s="17" customFormat="1" x14ac:dyDescent="0.25">
      <c r="A843" s="16" t="str">
        <f>IF(URN&lt;&gt;"",_xll.mdValue("Resident",_xlnm.Database,$F843),"")</f>
        <v/>
      </c>
      <c r="B843" s="16" t="str">
        <f>IF(PersonId&lt;&gt;"",_xll.mdValue("Resident First Name",_xlnm.Database,$A$8),"")</f>
        <v/>
      </c>
      <c r="C843" s="16" t="str">
        <f>IF(PersonId&lt;&gt;"",_xll.mdValue("Resident Last Name",_xlnm.Database,$A$8),"")</f>
        <v/>
      </c>
      <c r="D843" s="16" t="str">
        <f>IF(PersonId&lt;&gt;"",_xll.mdValue("Person Accomodation Code",_xlnm.Database,$A843),"")</f>
        <v/>
      </c>
      <c r="E843" s="28" t="str">
        <f t="shared" si="26"/>
        <v/>
      </c>
      <c r="F843" s="16" t="str">
        <f>IF('Paste Here'!$A837&lt;&gt;"",'Paste Here'!$A837,"")</f>
        <v/>
      </c>
      <c r="G843" s="16" t="str">
        <f>IF('Paste Here'!$B837&lt;&gt;"",'Paste Here'!$B837,"")</f>
        <v/>
      </c>
      <c r="H843" s="16" t="str">
        <f>IF('Paste Here'!$C837&lt;&gt;"",'Paste Here'!$C837,"")</f>
        <v/>
      </c>
      <c r="I843" s="25" t="str">
        <f>IF('Paste Here'!$D837&lt;&gt;"",'Paste Here'!$D837,"")</f>
        <v/>
      </c>
      <c r="J843" s="27" t="str">
        <f>IF('Paste Here'!$E837&lt;&gt;"",'Paste Here'!$E837,"")</f>
        <v/>
      </c>
      <c r="K843" s="16" t="str">
        <f>IF('Paste Here'!$F837&lt;&gt;"",'Paste Here'!$F837,"")</f>
        <v/>
      </c>
      <c r="L843" s="16" t="str">
        <f>IF('Paste Here'!$G837&lt;&gt;"",'Paste Here'!$G837,"")</f>
        <v/>
      </c>
      <c r="M843" s="18" t="str">
        <f t="shared" si="27"/>
        <v/>
      </c>
    </row>
    <row r="844" spans="1:13" s="17" customFormat="1" x14ac:dyDescent="0.25">
      <c r="A844" s="16" t="str">
        <f>IF(URN&lt;&gt;"",_xll.mdValue("Resident",_xlnm.Database,$F844),"")</f>
        <v/>
      </c>
      <c r="B844" s="16" t="str">
        <f>IF(PersonId&lt;&gt;"",_xll.mdValue("Resident First Name",_xlnm.Database,$A$8),"")</f>
        <v/>
      </c>
      <c r="C844" s="16" t="str">
        <f>IF(PersonId&lt;&gt;"",_xll.mdValue("Resident Last Name",_xlnm.Database,$A$8),"")</f>
        <v/>
      </c>
      <c r="D844" s="16" t="str">
        <f>IF(PersonId&lt;&gt;"",_xll.mdValue("Person Accomodation Code",_xlnm.Database,$A844),"")</f>
        <v/>
      </c>
      <c r="E844" s="28" t="str">
        <f t="shared" si="26"/>
        <v/>
      </c>
      <c r="F844" s="16" t="str">
        <f>IF('Paste Here'!$A838&lt;&gt;"",'Paste Here'!$A838,"")</f>
        <v/>
      </c>
      <c r="G844" s="16" t="str">
        <f>IF('Paste Here'!$B838&lt;&gt;"",'Paste Here'!$B838,"")</f>
        <v/>
      </c>
      <c r="H844" s="16" t="str">
        <f>IF('Paste Here'!$C838&lt;&gt;"",'Paste Here'!$C838,"")</f>
        <v/>
      </c>
      <c r="I844" s="25" t="str">
        <f>IF('Paste Here'!$D838&lt;&gt;"",'Paste Here'!$D838,"")</f>
        <v/>
      </c>
      <c r="J844" s="27" t="str">
        <f>IF('Paste Here'!$E838&lt;&gt;"",'Paste Here'!$E838,"")</f>
        <v/>
      </c>
      <c r="K844" s="16" t="str">
        <f>IF('Paste Here'!$F838&lt;&gt;"",'Paste Here'!$F838,"")</f>
        <v/>
      </c>
      <c r="L844" s="16" t="str">
        <f>IF('Paste Here'!$G838&lt;&gt;"",'Paste Here'!$G838,"")</f>
        <v/>
      </c>
      <c r="M844" s="18" t="str">
        <f t="shared" si="27"/>
        <v/>
      </c>
    </row>
    <row r="845" spans="1:13" s="17" customFormat="1" x14ac:dyDescent="0.25">
      <c r="A845" s="16" t="str">
        <f>IF(URN&lt;&gt;"",_xll.mdValue("Resident",_xlnm.Database,$F845),"")</f>
        <v/>
      </c>
      <c r="B845" s="16" t="str">
        <f>IF(PersonId&lt;&gt;"",_xll.mdValue("Resident First Name",_xlnm.Database,$A$8),"")</f>
        <v/>
      </c>
      <c r="C845" s="16" t="str">
        <f>IF(PersonId&lt;&gt;"",_xll.mdValue("Resident Last Name",_xlnm.Database,$A$8),"")</f>
        <v/>
      </c>
      <c r="D845" s="16" t="str">
        <f>IF(PersonId&lt;&gt;"",_xll.mdValue("Person Accomodation Code",_xlnm.Database,$A845),"")</f>
        <v/>
      </c>
      <c r="E845" s="28" t="str">
        <f t="shared" si="26"/>
        <v/>
      </c>
      <c r="F845" s="16" t="str">
        <f>IF('Paste Here'!$A839&lt;&gt;"",'Paste Here'!$A839,"")</f>
        <v/>
      </c>
      <c r="G845" s="16" t="str">
        <f>IF('Paste Here'!$B839&lt;&gt;"",'Paste Here'!$B839,"")</f>
        <v/>
      </c>
      <c r="H845" s="16" t="str">
        <f>IF('Paste Here'!$C839&lt;&gt;"",'Paste Here'!$C839,"")</f>
        <v/>
      </c>
      <c r="I845" s="25" t="str">
        <f>IF('Paste Here'!$D839&lt;&gt;"",'Paste Here'!$D839,"")</f>
        <v/>
      </c>
      <c r="J845" s="27" t="str">
        <f>IF('Paste Here'!$E839&lt;&gt;"",'Paste Here'!$E839,"")</f>
        <v/>
      </c>
      <c r="K845" s="16" t="str">
        <f>IF('Paste Here'!$F839&lt;&gt;"",'Paste Here'!$F839,"")</f>
        <v/>
      </c>
      <c r="L845" s="16" t="str">
        <f>IF('Paste Here'!$G839&lt;&gt;"",'Paste Here'!$G839,"")</f>
        <v/>
      </c>
      <c r="M845" s="18" t="str">
        <f t="shared" si="27"/>
        <v/>
      </c>
    </row>
    <row r="846" spans="1:13" s="17" customFormat="1" x14ac:dyDescent="0.25">
      <c r="A846" s="16" t="str">
        <f>IF(URN&lt;&gt;"",_xll.mdValue("Resident",_xlnm.Database,$F846),"")</f>
        <v/>
      </c>
      <c r="B846" s="16" t="str">
        <f>IF(PersonId&lt;&gt;"",_xll.mdValue("Resident First Name",_xlnm.Database,$A$8),"")</f>
        <v/>
      </c>
      <c r="C846" s="16" t="str">
        <f>IF(PersonId&lt;&gt;"",_xll.mdValue("Resident Last Name",_xlnm.Database,$A$8),"")</f>
        <v/>
      </c>
      <c r="D846" s="16" t="str">
        <f>IF(PersonId&lt;&gt;"",_xll.mdValue("Person Accomodation Code",_xlnm.Database,$A846),"")</f>
        <v/>
      </c>
      <c r="E846" s="28" t="str">
        <f t="shared" si="26"/>
        <v/>
      </c>
      <c r="F846" s="16" t="str">
        <f>IF('Paste Here'!$A840&lt;&gt;"",'Paste Here'!$A840,"")</f>
        <v/>
      </c>
      <c r="G846" s="16" t="str">
        <f>IF('Paste Here'!$B840&lt;&gt;"",'Paste Here'!$B840,"")</f>
        <v/>
      </c>
      <c r="H846" s="16" t="str">
        <f>IF('Paste Here'!$C840&lt;&gt;"",'Paste Here'!$C840,"")</f>
        <v/>
      </c>
      <c r="I846" s="25" t="str">
        <f>IF('Paste Here'!$D840&lt;&gt;"",'Paste Here'!$D840,"")</f>
        <v/>
      </c>
      <c r="J846" s="27" t="str">
        <f>IF('Paste Here'!$E840&lt;&gt;"",'Paste Here'!$E840,"")</f>
        <v/>
      </c>
      <c r="K846" s="16" t="str">
        <f>IF('Paste Here'!$F840&lt;&gt;"",'Paste Here'!$F840,"")</f>
        <v/>
      </c>
      <c r="L846" s="16" t="str">
        <f>IF('Paste Here'!$G840&lt;&gt;"",'Paste Here'!$G840,"")</f>
        <v/>
      </c>
      <c r="M846" s="18" t="str">
        <f t="shared" si="27"/>
        <v/>
      </c>
    </row>
    <row r="847" spans="1:13" s="17" customFormat="1" x14ac:dyDescent="0.25">
      <c r="A847" s="16" t="str">
        <f>IF(URN&lt;&gt;"",_xll.mdValue("Resident",_xlnm.Database,$F847),"")</f>
        <v/>
      </c>
      <c r="B847" s="16" t="str">
        <f>IF(PersonId&lt;&gt;"",_xll.mdValue("Resident First Name",_xlnm.Database,$A$8),"")</f>
        <v/>
      </c>
      <c r="C847" s="16" t="str">
        <f>IF(PersonId&lt;&gt;"",_xll.mdValue("Resident Last Name",_xlnm.Database,$A$8),"")</f>
        <v/>
      </c>
      <c r="D847" s="16" t="str">
        <f>IF(PersonId&lt;&gt;"",_xll.mdValue("Person Accomodation Code",_xlnm.Database,$A847),"")</f>
        <v/>
      </c>
      <c r="E847" s="28" t="str">
        <f t="shared" si="26"/>
        <v/>
      </c>
      <c r="F847" s="16" t="str">
        <f>IF('Paste Here'!$A841&lt;&gt;"",'Paste Here'!$A841,"")</f>
        <v/>
      </c>
      <c r="G847" s="16" t="str">
        <f>IF('Paste Here'!$B841&lt;&gt;"",'Paste Here'!$B841,"")</f>
        <v/>
      </c>
      <c r="H847" s="16" t="str">
        <f>IF('Paste Here'!$C841&lt;&gt;"",'Paste Here'!$C841,"")</f>
        <v/>
      </c>
      <c r="I847" s="25" t="str">
        <f>IF('Paste Here'!$D841&lt;&gt;"",'Paste Here'!$D841,"")</f>
        <v/>
      </c>
      <c r="J847" s="27" t="str">
        <f>IF('Paste Here'!$E841&lt;&gt;"",'Paste Here'!$E841,"")</f>
        <v/>
      </c>
      <c r="K847" s="16" t="str">
        <f>IF('Paste Here'!$F841&lt;&gt;"",'Paste Here'!$F841,"")</f>
        <v/>
      </c>
      <c r="L847" s="16" t="str">
        <f>IF('Paste Here'!$G841&lt;&gt;"",'Paste Here'!$G841,"")</f>
        <v/>
      </c>
      <c r="M847" s="18" t="str">
        <f t="shared" si="27"/>
        <v/>
      </c>
    </row>
    <row r="848" spans="1:13" s="17" customFormat="1" x14ac:dyDescent="0.25">
      <c r="A848" s="16" t="str">
        <f>IF(URN&lt;&gt;"",_xll.mdValue("Resident",_xlnm.Database,$F848),"")</f>
        <v/>
      </c>
      <c r="B848" s="16" t="str">
        <f>IF(PersonId&lt;&gt;"",_xll.mdValue("Resident First Name",_xlnm.Database,$A$8),"")</f>
        <v/>
      </c>
      <c r="C848" s="16" t="str">
        <f>IF(PersonId&lt;&gt;"",_xll.mdValue("Resident Last Name",_xlnm.Database,$A$8),"")</f>
        <v/>
      </c>
      <c r="D848" s="16" t="str">
        <f>IF(PersonId&lt;&gt;"",_xll.mdValue("Person Accomodation Code",_xlnm.Database,$A848),"")</f>
        <v/>
      </c>
      <c r="E848" s="28" t="str">
        <f t="shared" si="26"/>
        <v/>
      </c>
      <c r="F848" s="16" t="str">
        <f>IF('Paste Here'!$A842&lt;&gt;"",'Paste Here'!$A842,"")</f>
        <v/>
      </c>
      <c r="G848" s="16" t="str">
        <f>IF('Paste Here'!$B842&lt;&gt;"",'Paste Here'!$B842,"")</f>
        <v/>
      </c>
      <c r="H848" s="16" t="str">
        <f>IF('Paste Here'!$C842&lt;&gt;"",'Paste Here'!$C842,"")</f>
        <v/>
      </c>
      <c r="I848" s="25" t="str">
        <f>IF('Paste Here'!$D842&lt;&gt;"",'Paste Here'!$D842,"")</f>
        <v/>
      </c>
      <c r="J848" s="27" t="str">
        <f>IF('Paste Here'!$E842&lt;&gt;"",'Paste Here'!$E842,"")</f>
        <v/>
      </c>
      <c r="K848" s="16" t="str">
        <f>IF('Paste Here'!$F842&lt;&gt;"",'Paste Here'!$F842,"")</f>
        <v/>
      </c>
      <c r="L848" s="16" t="str">
        <f>IF('Paste Here'!$G842&lt;&gt;"",'Paste Here'!$G842,"")</f>
        <v/>
      </c>
      <c r="M848" s="18" t="str">
        <f t="shared" si="27"/>
        <v/>
      </c>
    </row>
    <row r="849" spans="1:13" s="17" customFormat="1" x14ac:dyDescent="0.25">
      <c r="A849" s="16" t="str">
        <f>IF(URN&lt;&gt;"",_xll.mdValue("Resident",_xlnm.Database,$F849),"")</f>
        <v/>
      </c>
      <c r="B849" s="16" t="str">
        <f>IF(PersonId&lt;&gt;"",_xll.mdValue("Resident First Name",_xlnm.Database,$A$8),"")</f>
        <v/>
      </c>
      <c r="C849" s="16" t="str">
        <f>IF(PersonId&lt;&gt;"",_xll.mdValue("Resident Last Name",_xlnm.Database,$A$8),"")</f>
        <v/>
      </c>
      <c r="D849" s="16" t="str">
        <f>IF(PersonId&lt;&gt;"",_xll.mdValue("Person Accomodation Code",_xlnm.Database,$A849),"")</f>
        <v/>
      </c>
      <c r="E849" s="28" t="str">
        <f t="shared" si="26"/>
        <v/>
      </c>
      <c r="F849" s="16" t="str">
        <f>IF('Paste Here'!$A843&lt;&gt;"",'Paste Here'!$A843,"")</f>
        <v/>
      </c>
      <c r="G849" s="16" t="str">
        <f>IF('Paste Here'!$B843&lt;&gt;"",'Paste Here'!$B843,"")</f>
        <v/>
      </c>
      <c r="H849" s="16" t="str">
        <f>IF('Paste Here'!$C843&lt;&gt;"",'Paste Here'!$C843,"")</f>
        <v/>
      </c>
      <c r="I849" s="25" t="str">
        <f>IF('Paste Here'!$D843&lt;&gt;"",'Paste Here'!$D843,"")</f>
        <v/>
      </c>
      <c r="J849" s="27" t="str">
        <f>IF('Paste Here'!$E843&lt;&gt;"",'Paste Here'!$E843,"")</f>
        <v/>
      </c>
      <c r="K849" s="16" t="str">
        <f>IF('Paste Here'!$F843&lt;&gt;"",'Paste Here'!$F843,"")</f>
        <v/>
      </c>
      <c r="L849" s="16" t="str">
        <f>IF('Paste Here'!$G843&lt;&gt;"",'Paste Here'!$G843,"")</f>
        <v/>
      </c>
      <c r="M849" s="18" t="str">
        <f t="shared" si="27"/>
        <v/>
      </c>
    </row>
    <row r="850" spans="1:13" s="17" customFormat="1" x14ac:dyDescent="0.25">
      <c r="A850" s="16" t="str">
        <f>IF(URN&lt;&gt;"",_xll.mdValue("Resident",_xlnm.Database,$F850),"")</f>
        <v/>
      </c>
      <c r="B850" s="16" t="str">
        <f>IF(PersonId&lt;&gt;"",_xll.mdValue("Resident First Name",_xlnm.Database,$A$8),"")</f>
        <v/>
      </c>
      <c r="C850" s="16" t="str">
        <f>IF(PersonId&lt;&gt;"",_xll.mdValue("Resident Last Name",_xlnm.Database,$A$8),"")</f>
        <v/>
      </c>
      <c r="D850" s="16" t="str">
        <f>IF(PersonId&lt;&gt;"",_xll.mdValue("Person Accomodation Code",_xlnm.Database,$A850),"")</f>
        <v/>
      </c>
      <c r="E850" s="28" t="str">
        <f t="shared" si="26"/>
        <v/>
      </c>
      <c r="F850" s="16" t="str">
        <f>IF('Paste Here'!$A844&lt;&gt;"",'Paste Here'!$A844,"")</f>
        <v/>
      </c>
      <c r="G850" s="16" t="str">
        <f>IF('Paste Here'!$B844&lt;&gt;"",'Paste Here'!$B844,"")</f>
        <v/>
      </c>
      <c r="H850" s="16" t="str">
        <f>IF('Paste Here'!$C844&lt;&gt;"",'Paste Here'!$C844,"")</f>
        <v/>
      </c>
      <c r="I850" s="25" t="str">
        <f>IF('Paste Here'!$D844&lt;&gt;"",'Paste Here'!$D844,"")</f>
        <v/>
      </c>
      <c r="J850" s="27" t="str">
        <f>IF('Paste Here'!$E844&lt;&gt;"",'Paste Here'!$E844,"")</f>
        <v/>
      </c>
      <c r="K850" s="16" t="str">
        <f>IF('Paste Here'!$F844&lt;&gt;"",'Paste Here'!$F844,"")</f>
        <v/>
      </c>
      <c r="L850" s="16" t="str">
        <f>IF('Paste Here'!$G844&lt;&gt;"",'Paste Here'!$G844,"")</f>
        <v/>
      </c>
      <c r="M850" s="18" t="str">
        <f t="shared" si="27"/>
        <v/>
      </c>
    </row>
    <row r="851" spans="1:13" s="17" customFormat="1" x14ac:dyDescent="0.25">
      <c r="A851" s="16" t="str">
        <f>IF(URN&lt;&gt;"",_xll.mdValue("Resident",_xlnm.Database,$F851),"")</f>
        <v/>
      </c>
      <c r="B851" s="16" t="str">
        <f>IF(PersonId&lt;&gt;"",_xll.mdValue("Resident First Name",_xlnm.Database,$A$8),"")</f>
        <v/>
      </c>
      <c r="C851" s="16" t="str">
        <f>IF(PersonId&lt;&gt;"",_xll.mdValue("Resident Last Name",_xlnm.Database,$A$8),"")</f>
        <v/>
      </c>
      <c r="D851" s="16" t="str">
        <f>IF(PersonId&lt;&gt;"",_xll.mdValue("Person Accomodation Code",_xlnm.Database,$A851),"")</f>
        <v/>
      </c>
      <c r="E851" s="28" t="str">
        <f t="shared" si="26"/>
        <v/>
      </c>
      <c r="F851" s="16" t="str">
        <f>IF('Paste Here'!$A845&lt;&gt;"",'Paste Here'!$A845,"")</f>
        <v/>
      </c>
      <c r="G851" s="16" t="str">
        <f>IF('Paste Here'!$B845&lt;&gt;"",'Paste Here'!$B845,"")</f>
        <v/>
      </c>
      <c r="H851" s="16" t="str">
        <f>IF('Paste Here'!$C845&lt;&gt;"",'Paste Here'!$C845,"")</f>
        <v/>
      </c>
      <c r="I851" s="25" t="str">
        <f>IF('Paste Here'!$D845&lt;&gt;"",'Paste Here'!$D845,"")</f>
        <v/>
      </c>
      <c r="J851" s="27" t="str">
        <f>IF('Paste Here'!$E845&lt;&gt;"",'Paste Here'!$E845,"")</f>
        <v/>
      </c>
      <c r="K851" s="16" t="str">
        <f>IF('Paste Here'!$F845&lt;&gt;"",'Paste Here'!$F845,"")</f>
        <v/>
      </c>
      <c r="L851" s="16" t="str">
        <f>IF('Paste Here'!$G845&lt;&gt;"",'Paste Here'!$G845,"")</f>
        <v/>
      </c>
      <c r="M851" s="18" t="str">
        <f t="shared" si="27"/>
        <v/>
      </c>
    </row>
    <row r="852" spans="1:13" s="17" customFormat="1" x14ac:dyDescent="0.25">
      <c r="A852" s="16" t="str">
        <f>IF(URN&lt;&gt;"",_xll.mdValue("Resident",_xlnm.Database,$F852),"")</f>
        <v/>
      </c>
      <c r="B852" s="16" t="str">
        <f>IF(PersonId&lt;&gt;"",_xll.mdValue("Resident First Name",_xlnm.Database,$A$8),"")</f>
        <v/>
      </c>
      <c r="C852" s="16" t="str">
        <f>IF(PersonId&lt;&gt;"",_xll.mdValue("Resident Last Name",_xlnm.Database,$A$8),"")</f>
        <v/>
      </c>
      <c r="D852" s="16" t="str">
        <f>IF(PersonId&lt;&gt;"",_xll.mdValue("Person Accomodation Code",_xlnm.Database,$A852),"")</f>
        <v/>
      </c>
      <c r="E852" s="28" t="str">
        <f t="shared" si="26"/>
        <v/>
      </c>
      <c r="F852" s="16" t="str">
        <f>IF('Paste Here'!$A846&lt;&gt;"",'Paste Here'!$A846,"")</f>
        <v/>
      </c>
      <c r="G852" s="16" t="str">
        <f>IF('Paste Here'!$B846&lt;&gt;"",'Paste Here'!$B846,"")</f>
        <v/>
      </c>
      <c r="H852" s="16" t="str">
        <f>IF('Paste Here'!$C846&lt;&gt;"",'Paste Here'!$C846,"")</f>
        <v/>
      </c>
      <c r="I852" s="25" t="str">
        <f>IF('Paste Here'!$D846&lt;&gt;"",'Paste Here'!$D846,"")</f>
        <v/>
      </c>
      <c r="J852" s="27" t="str">
        <f>IF('Paste Here'!$E846&lt;&gt;"",'Paste Here'!$E846,"")</f>
        <v/>
      </c>
      <c r="K852" s="16" t="str">
        <f>IF('Paste Here'!$F846&lt;&gt;"",'Paste Here'!$F846,"")</f>
        <v/>
      </c>
      <c r="L852" s="16" t="str">
        <f>IF('Paste Here'!$G846&lt;&gt;"",'Paste Here'!$G846,"")</f>
        <v/>
      </c>
      <c r="M852" s="18" t="str">
        <f t="shared" si="27"/>
        <v/>
      </c>
    </row>
    <row r="853" spans="1:13" s="17" customFormat="1" x14ac:dyDescent="0.25">
      <c r="A853" s="16" t="str">
        <f>IF(URN&lt;&gt;"",_xll.mdValue("Resident",_xlnm.Database,$F853),"")</f>
        <v/>
      </c>
      <c r="B853" s="16" t="str">
        <f>IF(PersonId&lt;&gt;"",_xll.mdValue("Resident First Name",_xlnm.Database,$A$8),"")</f>
        <v/>
      </c>
      <c r="C853" s="16" t="str">
        <f>IF(PersonId&lt;&gt;"",_xll.mdValue("Resident Last Name",_xlnm.Database,$A$8),"")</f>
        <v/>
      </c>
      <c r="D853" s="16" t="str">
        <f>IF(PersonId&lt;&gt;"",_xll.mdValue("Person Accomodation Code",_xlnm.Database,$A853),"")</f>
        <v/>
      </c>
      <c r="E853" s="28" t="str">
        <f t="shared" si="26"/>
        <v/>
      </c>
      <c r="F853" s="16" t="str">
        <f>IF('Paste Here'!$A847&lt;&gt;"",'Paste Here'!$A847,"")</f>
        <v/>
      </c>
      <c r="G853" s="16" t="str">
        <f>IF('Paste Here'!$B847&lt;&gt;"",'Paste Here'!$B847,"")</f>
        <v/>
      </c>
      <c r="H853" s="16" t="str">
        <f>IF('Paste Here'!$C847&lt;&gt;"",'Paste Here'!$C847,"")</f>
        <v/>
      </c>
      <c r="I853" s="25" t="str">
        <f>IF('Paste Here'!$D847&lt;&gt;"",'Paste Here'!$D847,"")</f>
        <v/>
      </c>
      <c r="J853" s="27" t="str">
        <f>IF('Paste Here'!$E847&lt;&gt;"",'Paste Here'!$E847,"")</f>
        <v/>
      </c>
      <c r="K853" s="16" t="str">
        <f>IF('Paste Here'!$F847&lt;&gt;"",'Paste Here'!$F847,"")</f>
        <v/>
      </c>
      <c r="L853" s="16" t="str">
        <f>IF('Paste Here'!$G847&lt;&gt;"",'Paste Here'!$G847,"")</f>
        <v/>
      </c>
      <c r="M853" s="18" t="str">
        <f t="shared" si="27"/>
        <v/>
      </c>
    </row>
    <row r="854" spans="1:13" s="17" customFormat="1" x14ac:dyDescent="0.25">
      <c r="A854" s="16" t="str">
        <f>IF(URN&lt;&gt;"",_xll.mdValue("Resident",_xlnm.Database,$F854),"")</f>
        <v/>
      </c>
      <c r="B854" s="16" t="str">
        <f>IF(PersonId&lt;&gt;"",_xll.mdValue("Resident First Name",_xlnm.Database,$A$8),"")</f>
        <v/>
      </c>
      <c r="C854" s="16" t="str">
        <f>IF(PersonId&lt;&gt;"",_xll.mdValue("Resident Last Name",_xlnm.Database,$A$8),"")</f>
        <v/>
      </c>
      <c r="D854" s="16" t="str">
        <f>IF(PersonId&lt;&gt;"",_xll.mdValue("Person Accomodation Code",_xlnm.Database,$A854),"")</f>
        <v/>
      </c>
      <c r="E854" s="28" t="str">
        <f t="shared" si="26"/>
        <v/>
      </c>
      <c r="F854" s="16" t="str">
        <f>IF('Paste Here'!$A848&lt;&gt;"",'Paste Here'!$A848,"")</f>
        <v/>
      </c>
      <c r="G854" s="16" t="str">
        <f>IF('Paste Here'!$B848&lt;&gt;"",'Paste Here'!$B848,"")</f>
        <v/>
      </c>
      <c r="H854" s="16" t="str">
        <f>IF('Paste Here'!$C848&lt;&gt;"",'Paste Here'!$C848,"")</f>
        <v/>
      </c>
      <c r="I854" s="25" t="str">
        <f>IF('Paste Here'!$D848&lt;&gt;"",'Paste Here'!$D848,"")</f>
        <v/>
      </c>
      <c r="J854" s="27" t="str">
        <f>IF('Paste Here'!$E848&lt;&gt;"",'Paste Here'!$E848,"")</f>
        <v/>
      </c>
      <c r="K854" s="16" t="str">
        <f>IF('Paste Here'!$F848&lt;&gt;"",'Paste Here'!$F848,"")</f>
        <v/>
      </c>
      <c r="L854" s="16" t="str">
        <f>IF('Paste Here'!$G848&lt;&gt;"",'Paste Here'!$G848,"")</f>
        <v/>
      </c>
      <c r="M854" s="18" t="str">
        <f t="shared" si="27"/>
        <v/>
      </c>
    </row>
    <row r="855" spans="1:13" s="17" customFormat="1" x14ac:dyDescent="0.25">
      <c r="A855" s="16" t="str">
        <f>IF(URN&lt;&gt;"",_xll.mdValue("Resident",_xlnm.Database,$F855),"")</f>
        <v/>
      </c>
      <c r="B855" s="16" t="str">
        <f>IF(PersonId&lt;&gt;"",_xll.mdValue("Resident First Name",_xlnm.Database,$A$8),"")</f>
        <v/>
      </c>
      <c r="C855" s="16" t="str">
        <f>IF(PersonId&lt;&gt;"",_xll.mdValue("Resident Last Name",_xlnm.Database,$A$8),"")</f>
        <v/>
      </c>
      <c r="D855" s="16" t="str">
        <f>IF(PersonId&lt;&gt;"",_xll.mdValue("Person Accomodation Code",_xlnm.Database,$A855),"")</f>
        <v/>
      </c>
      <c r="E855" s="28" t="str">
        <f t="shared" si="26"/>
        <v/>
      </c>
      <c r="F855" s="16" t="str">
        <f>IF('Paste Here'!$A849&lt;&gt;"",'Paste Here'!$A849,"")</f>
        <v/>
      </c>
      <c r="G855" s="16" t="str">
        <f>IF('Paste Here'!$B849&lt;&gt;"",'Paste Here'!$B849,"")</f>
        <v/>
      </c>
      <c r="H855" s="16" t="str">
        <f>IF('Paste Here'!$C849&lt;&gt;"",'Paste Here'!$C849,"")</f>
        <v/>
      </c>
      <c r="I855" s="25" t="str">
        <f>IF('Paste Here'!$D849&lt;&gt;"",'Paste Here'!$D849,"")</f>
        <v/>
      </c>
      <c r="J855" s="27" t="str">
        <f>IF('Paste Here'!$E849&lt;&gt;"",'Paste Here'!$E849,"")</f>
        <v/>
      </c>
      <c r="K855" s="16" t="str">
        <f>IF('Paste Here'!$F849&lt;&gt;"",'Paste Here'!$F849,"")</f>
        <v/>
      </c>
      <c r="L855" s="16" t="str">
        <f>IF('Paste Here'!$G849&lt;&gt;"",'Paste Here'!$G849,"")</f>
        <v/>
      </c>
      <c r="M855" s="18" t="str">
        <f t="shared" si="27"/>
        <v/>
      </c>
    </row>
    <row r="856" spans="1:13" s="17" customFormat="1" x14ac:dyDescent="0.25">
      <c r="A856" s="16" t="str">
        <f>IF(URN&lt;&gt;"",_xll.mdValue("Resident",_xlnm.Database,$F856),"")</f>
        <v/>
      </c>
      <c r="B856" s="16" t="str">
        <f>IF(PersonId&lt;&gt;"",_xll.mdValue("Resident First Name",_xlnm.Database,$A$8),"")</f>
        <v/>
      </c>
      <c r="C856" s="16" t="str">
        <f>IF(PersonId&lt;&gt;"",_xll.mdValue("Resident Last Name",_xlnm.Database,$A$8),"")</f>
        <v/>
      </c>
      <c r="D856" s="16" t="str">
        <f>IF(PersonId&lt;&gt;"",_xll.mdValue("Person Accomodation Code",_xlnm.Database,$A856),"")</f>
        <v/>
      </c>
      <c r="E856" s="28" t="str">
        <f t="shared" si="26"/>
        <v/>
      </c>
      <c r="F856" s="16" t="str">
        <f>IF('Paste Here'!$A850&lt;&gt;"",'Paste Here'!$A850,"")</f>
        <v/>
      </c>
      <c r="G856" s="16" t="str">
        <f>IF('Paste Here'!$B850&lt;&gt;"",'Paste Here'!$B850,"")</f>
        <v/>
      </c>
      <c r="H856" s="16" t="str">
        <f>IF('Paste Here'!$C850&lt;&gt;"",'Paste Here'!$C850,"")</f>
        <v/>
      </c>
      <c r="I856" s="25" t="str">
        <f>IF('Paste Here'!$D850&lt;&gt;"",'Paste Here'!$D850,"")</f>
        <v/>
      </c>
      <c r="J856" s="27" t="str">
        <f>IF('Paste Here'!$E850&lt;&gt;"",'Paste Here'!$E850,"")</f>
        <v/>
      </c>
      <c r="K856" s="16" t="str">
        <f>IF('Paste Here'!$F850&lt;&gt;"",'Paste Here'!$F850,"")</f>
        <v/>
      </c>
      <c r="L856" s="16" t="str">
        <f>IF('Paste Here'!$G850&lt;&gt;"",'Paste Here'!$G850,"")</f>
        <v/>
      </c>
      <c r="M856" s="18" t="str">
        <f t="shared" si="27"/>
        <v/>
      </c>
    </row>
    <row r="857" spans="1:13" s="17" customFormat="1" x14ac:dyDescent="0.25">
      <c r="A857" s="16" t="str">
        <f>IF(URN&lt;&gt;"",_xll.mdValue("Resident",_xlnm.Database,$F857),"")</f>
        <v/>
      </c>
      <c r="B857" s="16" t="str">
        <f>IF(PersonId&lt;&gt;"",_xll.mdValue("Resident First Name",_xlnm.Database,$A$8),"")</f>
        <v/>
      </c>
      <c r="C857" s="16" t="str">
        <f>IF(PersonId&lt;&gt;"",_xll.mdValue("Resident Last Name",_xlnm.Database,$A$8),"")</f>
        <v/>
      </c>
      <c r="D857" s="16" t="str">
        <f>IF(PersonId&lt;&gt;"",_xll.mdValue("Person Accomodation Code",_xlnm.Database,$A857),"")</f>
        <v/>
      </c>
      <c r="E857" s="28" t="str">
        <f t="shared" si="26"/>
        <v/>
      </c>
      <c r="F857" s="16" t="str">
        <f>IF('Paste Here'!$A851&lt;&gt;"",'Paste Here'!$A851,"")</f>
        <v/>
      </c>
      <c r="G857" s="16" t="str">
        <f>IF('Paste Here'!$B851&lt;&gt;"",'Paste Here'!$B851,"")</f>
        <v/>
      </c>
      <c r="H857" s="16" t="str">
        <f>IF('Paste Here'!$C851&lt;&gt;"",'Paste Here'!$C851,"")</f>
        <v/>
      </c>
      <c r="I857" s="25" t="str">
        <f>IF('Paste Here'!$D851&lt;&gt;"",'Paste Here'!$D851,"")</f>
        <v/>
      </c>
      <c r="J857" s="27" t="str">
        <f>IF('Paste Here'!$E851&lt;&gt;"",'Paste Here'!$E851,"")</f>
        <v/>
      </c>
      <c r="K857" s="16" t="str">
        <f>IF('Paste Here'!$F851&lt;&gt;"",'Paste Here'!$F851,"")</f>
        <v/>
      </c>
      <c r="L857" s="16" t="str">
        <f>IF('Paste Here'!$G851&lt;&gt;"",'Paste Here'!$G851,"")</f>
        <v/>
      </c>
      <c r="M857" s="18" t="str">
        <f t="shared" si="27"/>
        <v/>
      </c>
    </row>
    <row r="858" spans="1:13" s="17" customFormat="1" x14ac:dyDescent="0.25">
      <c r="A858" s="16" t="str">
        <f>IF(URN&lt;&gt;"",_xll.mdValue("Resident",_xlnm.Database,$F858),"")</f>
        <v/>
      </c>
      <c r="B858" s="16" t="str">
        <f>IF(PersonId&lt;&gt;"",_xll.mdValue("Resident First Name",_xlnm.Database,$A$8),"")</f>
        <v/>
      </c>
      <c r="C858" s="16" t="str">
        <f>IF(PersonId&lt;&gt;"",_xll.mdValue("Resident Last Name",_xlnm.Database,$A$8),"")</f>
        <v/>
      </c>
      <c r="D858" s="16" t="str">
        <f>IF(PersonId&lt;&gt;"",_xll.mdValue("Person Accomodation Code",_xlnm.Database,$A858),"")</f>
        <v/>
      </c>
      <c r="E858" s="28" t="str">
        <f t="shared" si="26"/>
        <v/>
      </c>
      <c r="F858" s="16" t="str">
        <f>IF('Paste Here'!$A852&lt;&gt;"",'Paste Here'!$A852,"")</f>
        <v/>
      </c>
      <c r="G858" s="16" t="str">
        <f>IF('Paste Here'!$B852&lt;&gt;"",'Paste Here'!$B852,"")</f>
        <v/>
      </c>
      <c r="H858" s="16" t="str">
        <f>IF('Paste Here'!$C852&lt;&gt;"",'Paste Here'!$C852,"")</f>
        <v/>
      </c>
      <c r="I858" s="25" t="str">
        <f>IF('Paste Here'!$D852&lt;&gt;"",'Paste Here'!$D852,"")</f>
        <v/>
      </c>
      <c r="J858" s="27" t="str">
        <f>IF('Paste Here'!$E852&lt;&gt;"",'Paste Here'!$E852,"")</f>
        <v/>
      </c>
      <c r="K858" s="16" t="str">
        <f>IF('Paste Here'!$F852&lt;&gt;"",'Paste Here'!$F852,"")</f>
        <v/>
      </c>
      <c r="L858" s="16" t="str">
        <f>IF('Paste Here'!$G852&lt;&gt;"",'Paste Here'!$G852,"")</f>
        <v/>
      </c>
      <c r="M858" s="18" t="str">
        <f t="shared" si="27"/>
        <v/>
      </c>
    </row>
    <row r="859" spans="1:13" s="17" customFormat="1" x14ac:dyDescent="0.25">
      <c r="A859" s="16" t="str">
        <f>IF(URN&lt;&gt;"",_xll.mdValue("Resident",_xlnm.Database,$F859),"")</f>
        <v/>
      </c>
      <c r="B859" s="16" t="str">
        <f>IF(PersonId&lt;&gt;"",_xll.mdValue("Resident First Name",_xlnm.Database,$A$8),"")</f>
        <v/>
      </c>
      <c r="C859" s="16" t="str">
        <f>IF(PersonId&lt;&gt;"",_xll.mdValue("Resident Last Name",_xlnm.Database,$A$8),"")</f>
        <v/>
      </c>
      <c r="D859" s="16" t="str">
        <f>IF(PersonId&lt;&gt;"",_xll.mdValue("Person Accomodation Code",_xlnm.Database,$A859),"")</f>
        <v/>
      </c>
      <c r="E859" s="28" t="str">
        <f t="shared" si="26"/>
        <v/>
      </c>
      <c r="F859" s="16" t="str">
        <f>IF('Paste Here'!$A853&lt;&gt;"",'Paste Here'!$A853,"")</f>
        <v/>
      </c>
      <c r="G859" s="16" t="str">
        <f>IF('Paste Here'!$B853&lt;&gt;"",'Paste Here'!$B853,"")</f>
        <v/>
      </c>
      <c r="H859" s="16" t="str">
        <f>IF('Paste Here'!$C853&lt;&gt;"",'Paste Here'!$C853,"")</f>
        <v/>
      </c>
      <c r="I859" s="25" t="str">
        <f>IF('Paste Here'!$D853&lt;&gt;"",'Paste Here'!$D853,"")</f>
        <v/>
      </c>
      <c r="J859" s="27" t="str">
        <f>IF('Paste Here'!$E853&lt;&gt;"",'Paste Here'!$E853,"")</f>
        <v/>
      </c>
      <c r="K859" s="16" t="str">
        <f>IF('Paste Here'!$F853&lt;&gt;"",'Paste Here'!$F853,"")</f>
        <v/>
      </c>
      <c r="L859" s="16" t="str">
        <f>IF('Paste Here'!$G853&lt;&gt;"",'Paste Here'!$G853,"")</f>
        <v/>
      </c>
      <c r="M859" s="18" t="str">
        <f t="shared" si="27"/>
        <v/>
      </c>
    </row>
    <row r="860" spans="1:13" s="17" customFormat="1" x14ac:dyDescent="0.25">
      <c r="A860" s="16" t="str">
        <f>IF(URN&lt;&gt;"",_xll.mdValue("Resident",_xlnm.Database,$F860),"")</f>
        <v/>
      </c>
      <c r="B860" s="16" t="str">
        <f>IF(PersonId&lt;&gt;"",_xll.mdValue("Resident First Name",_xlnm.Database,$A$8),"")</f>
        <v/>
      </c>
      <c r="C860" s="16" t="str">
        <f>IF(PersonId&lt;&gt;"",_xll.mdValue("Resident Last Name",_xlnm.Database,$A$8),"")</f>
        <v/>
      </c>
      <c r="D860" s="16" t="str">
        <f>IF(PersonId&lt;&gt;"",_xll.mdValue("Person Accomodation Code",_xlnm.Database,$A860),"")</f>
        <v/>
      </c>
      <c r="E860" s="28" t="str">
        <f t="shared" si="26"/>
        <v/>
      </c>
      <c r="F860" s="16" t="str">
        <f>IF('Paste Here'!$A854&lt;&gt;"",'Paste Here'!$A854,"")</f>
        <v/>
      </c>
      <c r="G860" s="16" t="str">
        <f>IF('Paste Here'!$B854&lt;&gt;"",'Paste Here'!$B854,"")</f>
        <v/>
      </c>
      <c r="H860" s="16" t="str">
        <f>IF('Paste Here'!$C854&lt;&gt;"",'Paste Here'!$C854,"")</f>
        <v/>
      </c>
      <c r="I860" s="25" t="str">
        <f>IF('Paste Here'!$D854&lt;&gt;"",'Paste Here'!$D854,"")</f>
        <v/>
      </c>
      <c r="J860" s="27" t="str">
        <f>IF('Paste Here'!$E854&lt;&gt;"",'Paste Here'!$E854,"")</f>
        <v/>
      </c>
      <c r="K860" s="16" t="str">
        <f>IF('Paste Here'!$F854&lt;&gt;"",'Paste Here'!$F854,"")</f>
        <v/>
      </c>
      <c r="L860" s="16" t="str">
        <f>IF('Paste Here'!$G854&lt;&gt;"",'Paste Here'!$G854,"")</f>
        <v/>
      </c>
      <c r="M860" s="18" t="str">
        <f t="shared" si="27"/>
        <v/>
      </c>
    </row>
    <row r="861" spans="1:13" s="17" customFormat="1" x14ac:dyDescent="0.25">
      <c r="A861" s="16" t="str">
        <f>IF(URN&lt;&gt;"",_xll.mdValue("Resident",_xlnm.Database,$F861),"")</f>
        <v/>
      </c>
      <c r="B861" s="16" t="str">
        <f>IF(PersonId&lt;&gt;"",_xll.mdValue("Resident First Name",_xlnm.Database,$A$8),"")</f>
        <v/>
      </c>
      <c r="C861" s="16" t="str">
        <f>IF(PersonId&lt;&gt;"",_xll.mdValue("Resident Last Name",_xlnm.Database,$A$8),"")</f>
        <v/>
      </c>
      <c r="D861" s="16" t="str">
        <f>IF(PersonId&lt;&gt;"",_xll.mdValue("Person Accomodation Code",_xlnm.Database,$A861),"")</f>
        <v/>
      </c>
      <c r="E861" s="28" t="str">
        <f t="shared" si="26"/>
        <v/>
      </c>
      <c r="F861" s="16" t="str">
        <f>IF('Paste Here'!$A855&lt;&gt;"",'Paste Here'!$A855,"")</f>
        <v/>
      </c>
      <c r="G861" s="16" t="str">
        <f>IF('Paste Here'!$B855&lt;&gt;"",'Paste Here'!$B855,"")</f>
        <v/>
      </c>
      <c r="H861" s="16" t="str">
        <f>IF('Paste Here'!$C855&lt;&gt;"",'Paste Here'!$C855,"")</f>
        <v/>
      </c>
      <c r="I861" s="25" t="str">
        <f>IF('Paste Here'!$D855&lt;&gt;"",'Paste Here'!$D855,"")</f>
        <v/>
      </c>
      <c r="J861" s="27" t="str">
        <f>IF('Paste Here'!$E855&lt;&gt;"",'Paste Here'!$E855,"")</f>
        <v/>
      </c>
      <c r="K861" s="16" t="str">
        <f>IF('Paste Here'!$F855&lt;&gt;"",'Paste Here'!$F855,"")</f>
        <v/>
      </c>
      <c r="L861" s="16" t="str">
        <f>IF('Paste Here'!$G855&lt;&gt;"",'Paste Here'!$G855,"")</f>
        <v/>
      </c>
      <c r="M861" s="18" t="str">
        <f t="shared" si="27"/>
        <v/>
      </c>
    </row>
    <row r="862" spans="1:13" s="17" customFormat="1" x14ac:dyDescent="0.25">
      <c r="A862" s="16" t="str">
        <f>IF(URN&lt;&gt;"",_xll.mdValue("Resident",_xlnm.Database,$F862),"")</f>
        <v/>
      </c>
      <c r="B862" s="16" t="str">
        <f>IF(PersonId&lt;&gt;"",_xll.mdValue("Resident First Name",_xlnm.Database,$A$8),"")</f>
        <v/>
      </c>
      <c r="C862" s="16" t="str">
        <f>IF(PersonId&lt;&gt;"",_xll.mdValue("Resident Last Name",_xlnm.Database,$A$8),"")</f>
        <v/>
      </c>
      <c r="D862" s="16" t="str">
        <f>IF(PersonId&lt;&gt;"",_xll.mdValue("Person Accomodation Code",_xlnm.Database,$A862),"")</f>
        <v/>
      </c>
      <c r="E862" s="28" t="str">
        <f t="shared" si="26"/>
        <v/>
      </c>
      <c r="F862" s="16" t="str">
        <f>IF('Paste Here'!$A856&lt;&gt;"",'Paste Here'!$A856,"")</f>
        <v/>
      </c>
      <c r="G862" s="16" t="str">
        <f>IF('Paste Here'!$B856&lt;&gt;"",'Paste Here'!$B856,"")</f>
        <v/>
      </c>
      <c r="H862" s="16" t="str">
        <f>IF('Paste Here'!$C856&lt;&gt;"",'Paste Here'!$C856,"")</f>
        <v/>
      </c>
      <c r="I862" s="25" t="str">
        <f>IF('Paste Here'!$D856&lt;&gt;"",'Paste Here'!$D856,"")</f>
        <v/>
      </c>
      <c r="J862" s="27" t="str">
        <f>IF('Paste Here'!$E856&lt;&gt;"",'Paste Here'!$E856,"")</f>
        <v/>
      </c>
      <c r="K862" s="16" t="str">
        <f>IF('Paste Here'!$F856&lt;&gt;"",'Paste Here'!$F856,"")</f>
        <v/>
      </c>
      <c r="L862" s="16" t="str">
        <f>IF('Paste Here'!$G856&lt;&gt;"",'Paste Here'!$G856,"")</f>
        <v/>
      </c>
      <c r="M862" s="18" t="str">
        <f t="shared" si="27"/>
        <v/>
      </c>
    </row>
    <row r="863" spans="1:13" s="17" customFormat="1" x14ac:dyDescent="0.25">
      <c r="A863" s="16" t="str">
        <f>IF(URN&lt;&gt;"",_xll.mdValue("Resident",_xlnm.Database,$F863),"")</f>
        <v/>
      </c>
      <c r="B863" s="16" t="str">
        <f>IF(PersonId&lt;&gt;"",_xll.mdValue("Resident First Name",_xlnm.Database,$A$8),"")</f>
        <v/>
      </c>
      <c r="C863" s="16" t="str">
        <f>IF(PersonId&lt;&gt;"",_xll.mdValue("Resident Last Name",_xlnm.Database,$A$8),"")</f>
        <v/>
      </c>
      <c r="D863" s="16" t="str">
        <f>IF(PersonId&lt;&gt;"",_xll.mdValue("Person Accomodation Code",_xlnm.Database,$A863),"")</f>
        <v/>
      </c>
      <c r="E863" s="28" t="str">
        <f t="shared" si="26"/>
        <v/>
      </c>
      <c r="F863" s="16" t="str">
        <f>IF('Paste Here'!$A857&lt;&gt;"",'Paste Here'!$A857,"")</f>
        <v/>
      </c>
      <c r="G863" s="16" t="str">
        <f>IF('Paste Here'!$B857&lt;&gt;"",'Paste Here'!$B857,"")</f>
        <v/>
      </c>
      <c r="H863" s="16" t="str">
        <f>IF('Paste Here'!$C857&lt;&gt;"",'Paste Here'!$C857,"")</f>
        <v/>
      </c>
      <c r="I863" s="25" t="str">
        <f>IF('Paste Here'!$D857&lt;&gt;"",'Paste Here'!$D857,"")</f>
        <v/>
      </c>
      <c r="J863" s="27" t="str">
        <f>IF('Paste Here'!$E857&lt;&gt;"",'Paste Here'!$E857,"")</f>
        <v/>
      </c>
      <c r="K863" s="16" t="str">
        <f>IF('Paste Here'!$F857&lt;&gt;"",'Paste Here'!$F857,"")</f>
        <v/>
      </c>
      <c r="L863" s="16" t="str">
        <f>IF('Paste Here'!$G857&lt;&gt;"",'Paste Here'!$G857,"")</f>
        <v/>
      </c>
      <c r="M863" s="18" t="str">
        <f t="shared" si="27"/>
        <v/>
      </c>
    </row>
    <row r="864" spans="1:13" s="17" customFormat="1" x14ac:dyDescent="0.25">
      <c r="A864" s="16" t="str">
        <f>IF(URN&lt;&gt;"",_xll.mdValue("Resident",_xlnm.Database,$F864),"")</f>
        <v/>
      </c>
      <c r="B864" s="16" t="str">
        <f>IF(PersonId&lt;&gt;"",_xll.mdValue("Resident First Name",_xlnm.Database,$A$8),"")</f>
        <v/>
      </c>
      <c r="C864" s="16" t="str">
        <f>IF(PersonId&lt;&gt;"",_xll.mdValue("Resident Last Name",_xlnm.Database,$A$8),"")</f>
        <v/>
      </c>
      <c r="D864" s="16" t="str">
        <f>IF(PersonId&lt;&gt;"",_xll.mdValue("Person Accomodation Code",_xlnm.Database,$A864),"")</f>
        <v/>
      </c>
      <c r="E864" s="28" t="str">
        <f t="shared" si="26"/>
        <v/>
      </c>
      <c r="F864" s="16" t="str">
        <f>IF('Paste Here'!$A858&lt;&gt;"",'Paste Here'!$A858,"")</f>
        <v/>
      </c>
      <c r="G864" s="16" t="str">
        <f>IF('Paste Here'!$B858&lt;&gt;"",'Paste Here'!$B858,"")</f>
        <v/>
      </c>
      <c r="H864" s="16" t="str">
        <f>IF('Paste Here'!$C858&lt;&gt;"",'Paste Here'!$C858,"")</f>
        <v/>
      </c>
      <c r="I864" s="25" t="str">
        <f>IF('Paste Here'!$D858&lt;&gt;"",'Paste Here'!$D858,"")</f>
        <v/>
      </c>
      <c r="J864" s="27" t="str">
        <f>IF('Paste Here'!$E858&lt;&gt;"",'Paste Here'!$E858,"")</f>
        <v/>
      </c>
      <c r="K864" s="16" t="str">
        <f>IF('Paste Here'!$F858&lt;&gt;"",'Paste Here'!$F858,"")</f>
        <v/>
      </c>
      <c r="L864" s="16" t="str">
        <f>IF('Paste Here'!$G858&lt;&gt;"",'Paste Here'!$G858,"")</f>
        <v/>
      </c>
      <c r="M864" s="18" t="str">
        <f t="shared" si="27"/>
        <v/>
      </c>
    </row>
    <row r="865" spans="1:13" s="17" customFormat="1" x14ac:dyDescent="0.25">
      <c r="A865" s="16" t="str">
        <f>IF(URN&lt;&gt;"",_xll.mdValue("Resident",_xlnm.Database,$F865),"")</f>
        <v/>
      </c>
      <c r="B865" s="16" t="str">
        <f>IF(PersonId&lt;&gt;"",_xll.mdValue("Resident First Name",_xlnm.Database,$A$8),"")</f>
        <v/>
      </c>
      <c r="C865" s="16" t="str">
        <f>IF(PersonId&lt;&gt;"",_xll.mdValue("Resident Last Name",_xlnm.Database,$A$8),"")</f>
        <v/>
      </c>
      <c r="D865" s="16" t="str">
        <f>IF(PersonId&lt;&gt;"",_xll.mdValue("Person Accomodation Code",_xlnm.Database,$A865),"")</f>
        <v/>
      </c>
      <c r="E865" s="28" t="str">
        <f t="shared" si="26"/>
        <v/>
      </c>
      <c r="F865" s="16" t="str">
        <f>IF('Paste Here'!$A859&lt;&gt;"",'Paste Here'!$A859,"")</f>
        <v/>
      </c>
      <c r="G865" s="16" t="str">
        <f>IF('Paste Here'!$B859&lt;&gt;"",'Paste Here'!$B859,"")</f>
        <v/>
      </c>
      <c r="H865" s="16" t="str">
        <f>IF('Paste Here'!$C859&lt;&gt;"",'Paste Here'!$C859,"")</f>
        <v/>
      </c>
      <c r="I865" s="25" t="str">
        <f>IF('Paste Here'!$D859&lt;&gt;"",'Paste Here'!$D859,"")</f>
        <v/>
      </c>
      <c r="J865" s="27" t="str">
        <f>IF('Paste Here'!$E859&lt;&gt;"",'Paste Here'!$E859,"")</f>
        <v/>
      </c>
      <c r="K865" s="16" t="str">
        <f>IF('Paste Here'!$F859&lt;&gt;"",'Paste Here'!$F859,"")</f>
        <v/>
      </c>
      <c r="L865" s="16" t="str">
        <f>IF('Paste Here'!$G859&lt;&gt;"",'Paste Here'!$G859,"")</f>
        <v/>
      </c>
      <c r="M865" s="18" t="str">
        <f t="shared" si="27"/>
        <v/>
      </c>
    </row>
    <row r="866" spans="1:13" s="17" customFormat="1" x14ac:dyDescent="0.25">
      <c r="A866" s="16" t="str">
        <f>IF(URN&lt;&gt;"",_xll.mdValue("Resident",_xlnm.Database,$F866),"")</f>
        <v/>
      </c>
      <c r="B866" s="16" t="str">
        <f>IF(PersonId&lt;&gt;"",_xll.mdValue("Resident First Name",_xlnm.Database,$A$8),"")</f>
        <v/>
      </c>
      <c r="C866" s="16" t="str">
        <f>IF(PersonId&lt;&gt;"",_xll.mdValue("Resident Last Name",_xlnm.Database,$A$8),"")</f>
        <v/>
      </c>
      <c r="D866" s="16" t="str">
        <f>IF(PersonId&lt;&gt;"",_xll.mdValue("Person Accomodation Code",_xlnm.Database,$A866),"")</f>
        <v/>
      </c>
      <c r="E866" s="28" t="str">
        <f t="shared" si="26"/>
        <v/>
      </c>
      <c r="F866" s="16" t="str">
        <f>IF('Paste Here'!$A860&lt;&gt;"",'Paste Here'!$A860,"")</f>
        <v/>
      </c>
      <c r="G866" s="16" t="str">
        <f>IF('Paste Here'!$B860&lt;&gt;"",'Paste Here'!$B860,"")</f>
        <v/>
      </c>
      <c r="H866" s="16" t="str">
        <f>IF('Paste Here'!$C860&lt;&gt;"",'Paste Here'!$C860,"")</f>
        <v/>
      </c>
      <c r="I866" s="25" t="str">
        <f>IF('Paste Here'!$D860&lt;&gt;"",'Paste Here'!$D860,"")</f>
        <v/>
      </c>
      <c r="J866" s="27" t="str">
        <f>IF('Paste Here'!$E860&lt;&gt;"",'Paste Here'!$E860,"")</f>
        <v/>
      </c>
      <c r="K866" s="16" t="str">
        <f>IF('Paste Here'!$F860&lt;&gt;"",'Paste Here'!$F860,"")</f>
        <v/>
      </c>
      <c r="L866" s="16" t="str">
        <f>IF('Paste Here'!$G860&lt;&gt;"",'Paste Here'!$G860,"")</f>
        <v/>
      </c>
      <c r="M866" s="18" t="str">
        <f t="shared" si="27"/>
        <v/>
      </c>
    </row>
    <row r="867" spans="1:13" s="17" customFormat="1" x14ac:dyDescent="0.25">
      <c r="A867" s="16" t="str">
        <f>IF(URN&lt;&gt;"",_xll.mdValue("Resident",_xlnm.Database,$F867),"")</f>
        <v/>
      </c>
      <c r="B867" s="16" t="str">
        <f>IF(PersonId&lt;&gt;"",_xll.mdValue("Resident First Name",_xlnm.Database,$A$8),"")</f>
        <v/>
      </c>
      <c r="C867" s="16" t="str">
        <f>IF(PersonId&lt;&gt;"",_xll.mdValue("Resident Last Name",_xlnm.Database,$A$8),"")</f>
        <v/>
      </c>
      <c r="D867" s="16" t="str">
        <f>IF(PersonId&lt;&gt;"",_xll.mdValue("Person Accomodation Code",_xlnm.Database,$A867),"")</f>
        <v/>
      </c>
      <c r="E867" s="28" t="str">
        <f t="shared" si="26"/>
        <v/>
      </c>
      <c r="F867" s="16" t="str">
        <f>IF('Paste Here'!$A861&lt;&gt;"",'Paste Here'!$A861,"")</f>
        <v/>
      </c>
      <c r="G867" s="16" t="str">
        <f>IF('Paste Here'!$B861&lt;&gt;"",'Paste Here'!$B861,"")</f>
        <v/>
      </c>
      <c r="H867" s="16" t="str">
        <f>IF('Paste Here'!$C861&lt;&gt;"",'Paste Here'!$C861,"")</f>
        <v/>
      </c>
      <c r="I867" s="25" t="str">
        <f>IF('Paste Here'!$D861&lt;&gt;"",'Paste Here'!$D861,"")</f>
        <v/>
      </c>
      <c r="J867" s="27" t="str">
        <f>IF('Paste Here'!$E861&lt;&gt;"",'Paste Here'!$E861,"")</f>
        <v/>
      </c>
      <c r="K867" s="16" t="str">
        <f>IF('Paste Here'!$F861&lt;&gt;"",'Paste Here'!$F861,"")</f>
        <v/>
      </c>
      <c r="L867" s="16" t="str">
        <f>IF('Paste Here'!$G861&lt;&gt;"",'Paste Here'!$G861,"")</f>
        <v/>
      </c>
      <c r="M867" s="18" t="str">
        <f t="shared" si="27"/>
        <v/>
      </c>
    </row>
    <row r="868" spans="1:13" s="17" customFormat="1" x14ac:dyDescent="0.25">
      <c r="A868" s="16" t="str">
        <f>IF(URN&lt;&gt;"",_xll.mdValue("Resident",_xlnm.Database,$F868),"")</f>
        <v/>
      </c>
      <c r="B868" s="16" t="str">
        <f>IF(PersonId&lt;&gt;"",_xll.mdValue("Resident First Name",_xlnm.Database,$A$8),"")</f>
        <v/>
      </c>
      <c r="C868" s="16" t="str">
        <f>IF(PersonId&lt;&gt;"",_xll.mdValue("Resident Last Name",_xlnm.Database,$A$8),"")</f>
        <v/>
      </c>
      <c r="D868" s="16" t="str">
        <f>IF(PersonId&lt;&gt;"",_xll.mdValue("Person Accomodation Code",_xlnm.Database,$A868),"")</f>
        <v/>
      </c>
      <c r="E868" s="28" t="str">
        <f t="shared" si="26"/>
        <v/>
      </c>
      <c r="F868" s="16" t="str">
        <f>IF('Paste Here'!$A862&lt;&gt;"",'Paste Here'!$A862,"")</f>
        <v/>
      </c>
      <c r="G868" s="16" t="str">
        <f>IF('Paste Here'!$B862&lt;&gt;"",'Paste Here'!$B862,"")</f>
        <v/>
      </c>
      <c r="H868" s="16" t="str">
        <f>IF('Paste Here'!$C862&lt;&gt;"",'Paste Here'!$C862,"")</f>
        <v/>
      </c>
      <c r="I868" s="25" t="str">
        <f>IF('Paste Here'!$D862&lt;&gt;"",'Paste Here'!$D862,"")</f>
        <v/>
      </c>
      <c r="J868" s="27" t="str">
        <f>IF('Paste Here'!$E862&lt;&gt;"",'Paste Here'!$E862,"")</f>
        <v/>
      </c>
      <c r="K868" s="16" t="str">
        <f>IF('Paste Here'!$F862&lt;&gt;"",'Paste Here'!$F862,"")</f>
        <v/>
      </c>
      <c r="L868" s="16" t="str">
        <f>IF('Paste Here'!$G862&lt;&gt;"",'Paste Here'!$G862,"")</f>
        <v/>
      </c>
      <c r="M868" s="18" t="str">
        <f t="shared" si="27"/>
        <v/>
      </c>
    </row>
    <row r="869" spans="1:13" s="17" customFormat="1" x14ac:dyDescent="0.25">
      <c r="A869" s="16" t="str">
        <f>IF(URN&lt;&gt;"",_xll.mdValue("Resident",_xlnm.Database,$F869),"")</f>
        <v/>
      </c>
      <c r="B869" s="16" t="str">
        <f>IF(PersonId&lt;&gt;"",_xll.mdValue("Resident First Name",_xlnm.Database,$A$8),"")</f>
        <v/>
      </c>
      <c r="C869" s="16" t="str">
        <f>IF(PersonId&lt;&gt;"",_xll.mdValue("Resident Last Name",_xlnm.Database,$A$8),"")</f>
        <v/>
      </c>
      <c r="D869" s="16" t="str">
        <f>IF(PersonId&lt;&gt;"",_xll.mdValue("Person Accomodation Code",_xlnm.Database,$A869),"")</f>
        <v/>
      </c>
      <c r="E869" s="28" t="str">
        <f t="shared" si="26"/>
        <v/>
      </c>
      <c r="F869" s="16" t="str">
        <f>IF('Paste Here'!$A863&lt;&gt;"",'Paste Here'!$A863,"")</f>
        <v/>
      </c>
      <c r="G869" s="16" t="str">
        <f>IF('Paste Here'!$B863&lt;&gt;"",'Paste Here'!$B863,"")</f>
        <v/>
      </c>
      <c r="H869" s="16" t="str">
        <f>IF('Paste Here'!$C863&lt;&gt;"",'Paste Here'!$C863,"")</f>
        <v/>
      </c>
      <c r="I869" s="25" t="str">
        <f>IF('Paste Here'!$D863&lt;&gt;"",'Paste Here'!$D863,"")</f>
        <v/>
      </c>
      <c r="J869" s="27" t="str">
        <f>IF('Paste Here'!$E863&lt;&gt;"",'Paste Here'!$E863,"")</f>
        <v/>
      </c>
      <c r="K869" s="16" t="str">
        <f>IF('Paste Here'!$F863&lt;&gt;"",'Paste Here'!$F863,"")</f>
        <v/>
      </c>
      <c r="L869" s="16" t="str">
        <f>IF('Paste Here'!$G863&lt;&gt;"",'Paste Here'!$G863,"")</f>
        <v/>
      </c>
      <c r="M869" s="18" t="str">
        <f t="shared" si="27"/>
        <v/>
      </c>
    </row>
    <row r="870" spans="1:13" s="17" customFormat="1" x14ac:dyDescent="0.25">
      <c r="A870" s="16" t="str">
        <f>IF(URN&lt;&gt;"",_xll.mdValue("Resident",_xlnm.Database,$F870),"")</f>
        <v/>
      </c>
      <c r="B870" s="16" t="str">
        <f>IF(PersonId&lt;&gt;"",_xll.mdValue("Resident First Name",_xlnm.Database,$A$8),"")</f>
        <v/>
      </c>
      <c r="C870" s="16" t="str">
        <f>IF(PersonId&lt;&gt;"",_xll.mdValue("Resident Last Name",_xlnm.Database,$A$8),"")</f>
        <v/>
      </c>
      <c r="D870" s="16" t="str">
        <f>IF(PersonId&lt;&gt;"",_xll.mdValue("Person Accomodation Code",_xlnm.Database,$A870),"")</f>
        <v/>
      </c>
      <c r="E870" s="28" t="str">
        <f t="shared" si="26"/>
        <v/>
      </c>
      <c r="F870" s="16" t="str">
        <f>IF('Paste Here'!$A864&lt;&gt;"",'Paste Here'!$A864,"")</f>
        <v/>
      </c>
      <c r="G870" s="16" t="str">
        <f>IF('Paste Here'!$B864&lt;&gt;"",'Paste Here'!$B864,"")</f>
        <v/>
      </c>
      <c r="H870" s="16" t="str">
        <f>IF('Paste Here'!$C864&lt;&gt;"",'Paste Here'!$C864,"")</f>
        <v/>
      </c>
      <c r="I870" s="25" t="str">
        <f>IF('Paste Here'!$D864&lt;&gt;"",'Paste Here'!$D864,"")</f>
        <v/>
      </c>
      <c r="J870" s="27" t="str">
        <f>IF('Paste Here'!$E864&lt;&gt;"",'Paste Here'!$E864,"")</f>
        <v/>
      </c>
      <c r="K870" s="16" t="str">
        <f>IF('Paste Here'!$F864&lt;&gt;"",'Paste Here'!$F864,"")</f>
        <v/>
      </c>
      <c r="L870" s="16" t="str">
        <f>IF('Paste Here'!$G864&lt;&gt;"",'Paste Here'!$G864,"")</f>
        <v/>
      </c>
      <c r="M870" s="18" t="str">
        <f t="shared" si="27"/>
        <v/>
      </c>
    </row>
    <row r="871" spans="1:13" s="17" customFormat="1" x14ac:dyDescent="0.25">
      <c r="A871" s="16" t="str">
        <f>IF(URN&lt;&gt;"",_xll.mdValue("Resident",_xlnm.Database,$F871),"")</f>
        <v/>
      </c>
      <c r="B871" s="16" t="str">
        <f>IF(PersonId&lt;&gt;"",_xll.mdValue("Resident First Name",_xlnm.Database,$A$8),"")</f>
        <v/>
      </c>
      <c r="C871" s="16" t="str">
        <f>IF(PersonId&lt;&gt;"",_xll.mdValue("Resident Last Name",_xlnm.Database,$A$8),"")</f>
        <v/>
      </c>
      <c r="D871" s="16" t="str">
        <f>IF(PersonId&lt;&gt;"",_xll.mdValue("Person Accomodation Code",_xlnm.Database,$A871),"")</f>
        <v/>
      </c>
      <c r="E871" s="28" t="str">
        <f t="shared" si="26"/>
        <v/>
      </c>
      <c r="F871" s="16" t="str">
        <f>IF('Paste Here'!$A865&lt;&gt;"",'Paste Here'!$A865,"")</f>
        <v/>
      </c>
      <c r="G871" s="16" t="str">
        <f>IF('Paste Here'!$B865&lt;&gt;"",'Paste Here'!$B865,"")</f>
        <v/>
      </c>
      <c r="H871" s="16" t="str">
        <f>IF('Paste Here'!$C865&lt;&gt;"",'Paste Here'!$C865,"")</f>
        <v/>
      </c>
      <c r="I871" s="25" t="str">
        <f>IF('Paste Here'!$D865&lt;&gt;"",'Paste Here'!$D865,"")</f>
        <v/>
      </c>
      <c r="J871" s="27" t="str">
        <f>IF('Paste Here'!$E865&lt;&gt;"",'Paste Here'!$E865,"")</f>
        <v/>
      </c>
      <c r="K871" s="16" t="str">
        <f>IF('Paste Here'!$F865&lt;&gt;"",'Paste Here'!$F865,"")</f>
        <v/>
      </c>
      <c r="L871" s="16" t="str">
        <f>IF('Paste Here'!$G865&lt;&gt;"",'Paste Here'!$G865,"")</f>
        <v/>
      </c>
      <c r="M871" s="18" t="str">
        <f t="shared" si="27"/>
        <v/>
      </c>
    </row>
    <row r="872" spans="1:13" s="17" customFormat="1" x14ac:dyDescent="0.25">
      <c r="A872" s="16" t="str">
        <f>IF(URN&lt;&gt;"",_xll.mdValue("Resident",_xlnm.Database,$F872),"")</f>
        <v/>
      </c>
      <c r="B872" s="16" t="str">
        <f>IF(PersonId&lt;&gt;"",_xll.mdValue("Resident First Name",_xlnm.Database,$A$8),"")</f>
        <v/>
      </c>
      <c r="C872" s="16" t="str">
        <f>IF(PersonId&lt;&gt;"",_xll.mdValue("Resident Last Name",_xlnm.Database,$A$8),"")</f>
        <v/>
      </c>
      <c r="D872" s="16" t="str">
        <f>IF(PersonId&lt;&gt;"",_xll.mdValue("Person Accomodation Code",_xlnm.Database,$A872),"")</f>
        <v/>
      </c>
      <c r="E872" s="28" t="str">
        <f t="shared" si="26"/>
        <v/>
      </c>
      <c r="F872" s="16" t="str">
        <f>IF('Paste Here'!$A866&lt;&gt;"",'Paste Here'!$A866,"")</f>
        <v/>
      </c>
      <c r="G872" s="16" t="str">
        <f>IF('Paste Here'!$B866&lt;&gt;"",'Paste Here'!$B866,"")</f>
        <v/>
      </c>
      <c r="H872" s="16" t="str">
        <f>IF('Paste Here'!$C866&lt;&gt;"",'Paste Here'!$C866,"")</f>
        <v/>
      </c>
      <c r="I872" s="25" t="str">
        <f>IF('Paste Here'!$D866&lt;&gt;"",'Paste Here'!$D866,"")</f>
        <v/>
      </c>
      <c r="J872" s="27" t="str">
        <f>IF('Paste Here'!$E866&lt;&gt;"",'Paste Here'!$E866,"")</f>
        <v/>
      </c>
      <c r="K872" s="16" t="str">
        <f>IF('Paste Here'!$F866&lt;&gt;"",'Paste Here'!$F866,"")</f>
        <v/>
      </c>
      <c r="L872" s="16" t="str">
        <f>IF('Paste Here'!$G866&lt;&gt;"",'Paste Here'!$G866,"")</f>
        <v/>
      </c>
      <c r="M872" s="18" t="str">
        <f t="shared" si="27"/>
        <v/>
      </c>
    </row>
    <row r="873" spans="1:13" s="17" customFormat="1" x14ac:dyDescent="0.25">
      <c r="A873" s="16" t="str">
        <f>IF(URN&lt;&gt;"",_xll.mdValue("Resident",_xlnm.Database,$F873),"")</f>
        <v/>
      </c>
      <c r="B873" s="16" t="str">
        <f>IF(PersonId&lt;&gt;"",_xll.mdValue("Resident First Name",_xlnm.Database,$A$8),"")</f>
        <v/>
      </c>
      <c r="C873" s="16" t="str">
        <f>IF(PersonId&lt;&gt;"",_xll.mdValue("Resident Last Name",_xlnm.Database,$A$8),"")</f>
        <v/>
      </c>
      <c r="D873" s="16" t="str">
        <f>IF(PersonId&lt;&gt;"",_xll.mdValue("Person Accomodation Code",_xlnm.Database,$A873),"")</f>
        <v/>
      </c>
      <c r="E873" s="28" t="str">
        <f t="shared" si="26"/>
        <v/>
      </c>
      <c r="F873" s="16" t="str">
        <f>IF('Paste Here'!$A867&lt;&gt;"",'Paste Here'!$A867,"")</f>
        <v/>
      </c>
      <c r="G873" s="16" t="str">
        <f>IF('Paste Here'!$B867&lt;&gt;"",'Paste Here'!$B867,"")</f>
        <v/>
      </c>
      <c r="H873" s="16" t="str">
        <f>IF('Paste Here'!$C867&lt;&gt;"",'Paste Here'!$C867,"")</f>
        <v/>
      </c>
      <c r="I873" s="25" t="str">
        <f>IF('Paste Here'!$D867&lt;&gt;"",'Paste Here'!$D867,"")</f>
        <v/>
      </c>
      <c r="J873" s="27" t="str">
        <f>IF('Paste Here'!$E867&lt;&gt;"",'Paste Here'!$E867,"")</f>
        <v/>
      </c>
      <c r="K873" s="16" t="str">
        <f>IF('Paste Here'!$F867&lt;&gt;"",'Paste Here'!$F867,"")</f>
        <v/>
      </c>
      <c r="L873" s="16" t="str">
        <f>IF('Paste Here'!$G867&lt;&gt;"",'Paste Here'!$G867,"")</f>
        <v/>
      </c>
      <c r="M873" s="18" t="str">
        <f t="shared" si="27"/>
        <v/>
      </c>
    </row>
    <row r="874" spans="1:13" s="17" customFormat="1" x14ac:dyDescent="0.25">
      <c r="A874" s="16" t="str">
        <f>IF(URN&lt;&gt;"",_xll.mdValue("Resident",_xlnm.Database,$F874),"")</f>
        <v/>
      </c>
      <c r="B874" s="16" t="str">
        <f>IF(PersonId&lt;&gt;"",_xll.mdValue("Resident First Name",_xlnm.Database,$A$8),"")</f>
        <v/>
      </c>
      <c r="C874" s="16" t="str">
        <f>IF(PersonId&lt;&gt;"",_xll.mdValue("Resident Last Name",_xlnm.Database,$A$8),"")</f>
        <v/>
      </c>
      <c r="D874" s="16" t="str">
        <f>IF(PersonId&lt;&gt;"",_xll.mdValue("Person Accomodation Code",_xlnm.Database,$A874),"")</f>
        <v/>
      </c>
      <c r="E874" s="28" t="str">
        <f t="shared" si="26"/>
        <v/>
      </c>
      <c r="F874" s="16" t="str">
        <f>IF('Paste Here'!$A868&lt;&gt;"",'Paste Here'!$A868,"")</f>
        <v/>
      </c>
      <c r="G874" s="16" t="str">
        <f>IF('Paste Here'!$B868&lt;&gt;"",'Paste Here'!$B868,"")</f>
        <v/>
      </c>
      <c r="H874" s="16" t="str">
        <f>IF('Paste Here'!$C868&lt;&gt;"",'Paste Here'!$C868,"")</f>
        <v/>
      </c>
      <c r="I874" s="25" t="str">
        <f>IF('Paste Here'!$D868&lt;&gt;"",'Paste Here'!$D868,"")</f>
        <v/>
      </c>
      <c r="J874" s="27" t="str">
        <f>IF('Paste Here'!$E868&lt;&gt;"",'Paste Here'!$E868,"")</f>
        <v/>
      </c>
      <c r="K874" s="16" t="str">
        <f>IF('Paste Here'!$F868&lt;&gt;"",'Paste Here'!$F868,"")</f>
        <v/>
      </c>
      <c r="L874" s="16" t="str">
        <f>IF('Paste Here'!$G868&lt;&gt;"",'Paste Here'!$G868,"")</f>
        <v/>
      </c>
      <c r="M874" s="18" t="str">
        <f t="shared" si="27"/>
        <v/>
      </c>
    </row>
    <row r="875" spans="1:13" s="17" customFormat="1" x14ac:dyDescent="0.25">
      <c r="A875" s="16" t="str">
        <f>IF(URN&lt;&gt;"",_xll.mdValue("Resident",_xlnm.Database,$F875),"")</f>
        <v/>
      </c>
      <c r="B875" s="16" t="str">
        <f>IF(PersonId&lt;&gt;"",_xll.mdValue("Resident First Name",_xlnm.Database,$A$8),"")</f>
        <v/>
      </c>
      <c r="C875" s="16" t="str">
        <f>IF(PersonId&lt;&gt;"",_xll.mdValue("Resident Last Name",_xlnm.Database,$A$8),"")</f>
        <v/>
      </c>
      <c r="D875" s="16" t="str">
        <f>IF(PersonId&lt;&gt;"",_xll.mdValue("Person Accomodation Code",_xlnm.Database,$A875),"")</f>
        <v/>
      </c>
      <c r="E875" s="28" t="str">
        <f t="shared" si="26"/>
        <v/>
      </c>
      <c r="F875" s="16" t="str">
        <f>IF('Paste Here'!$A869&lt;&gt;"",'Paste Here'!$A869,"")</f>
        <v/>
      </c>
      <c r="G875" s="16" t="str">
        <f>IF('Paste Here'!$B869&lt;&gt;"",'Paste Here'!$B869,"")</f>
        <v/>
      </c>
      <c r="H875" s="16" t="str">
        <f>IF('Paste Here'!$C869&lt;&gt;"",'Paste Here'!$C869,"")</f>
        <v/>
      </c>
      <c r="I875" s="25" t="str">
        <f>IF('Paste Here'!$D869&lt;&gt;"",'Paste Here'!$D869,"")</f>
        <v/>
      </c>
      <c r="J875" s="27" t="str">
        <f>IF('Paste Here'!$E869&lt;&gt;"",'Paste Here'!$E869,"")</f>
        <v/>
      </c>
      <c r="K875" s="16" t="str">
        <f>IF('Paste Here'!$F869&lt;&gt;"",'Paste Here'!$F869,"")</f>
        <v/>
      </c>
      <c r="L875" s="16" t="str">
        <f>IF('Paste Here'!$G869&lt;&gt;"",'Paste Here'!$G869,"")</f>
        <v/>
      </c>
      <c r="M875" s="18" t="str">
        <f t="shared" si="27"/>
        <v/>
      </c>
    </row>
    <row r="876" spans="1:13" s="17" customFormat="1" x14ac:dyDescent="0.25">
      <c r="A876" s="16" t="str">
        <f>IF(URN&lt;&gt;"",_xll.mdValue("Resident",_xlnm.Database,$F876),"")</f>
        <v/>
      </c>
      <c r="B876" s="16" t="str">
        <f>IF(PersonId&lt;&gt;"",_xll.mdValue("Resident First Name",_xlnm.Database,$A$8),"")</f>
        <v/>
      </c>
      <c r="C876" s="16" t="str">
        <f>IF(PersonId&lt;&gt;"",_xll.mdValue("Resident Last Name",_xlnm.Database,$A$8),"")</f>
        <v/>
      </c>
      <c r="D876" s="16" t="str">
        <f>IF(PersonId&lt;&gt;"",_xll.mdValue("Person Accomodation Code",_xlnm.Database,$A876),"")</f>
        <v/>
      </c>
      <c r="E876" s="28" t="str">
        <f t="shared" si="26"/>
        <v/>
      </c>
      <c r="F876" s="16" t="str">
        <f>IF('Paste Here'!$A870&lt;&gt;"",'Paste Here'!$A870,"")</f>
        <v/>
      </c>
      <c r="G876" s="16" t="str">
        <f>IF('Paste Here'!$B870&lt;&gt;"",'Paste Here'!$B870,"")</f>
        <v/>
      </c>
      <c r="H876" s="16" t="str">
        <f>IF('Paste Here'!$C870&lt;&gt;"",'Paste Here'!$C870,"")</f>
        <v/>
      </c>
      <c r="I876" s="25" t="str">
        <f>IF('Paste Here'!$D870&lt;&gt;"",'Paste Here'!$D870,"")</f>
        <v/>
      </c>
      <c r="J876" s="27" t="str">
        <f>IF('Paste Here'!$E870&lt;&gt;"",'Paste Here'!$E870,"")</f>
        <v/>
      </c>
      <c r="K876" s="16" t="str">
        <f>IF('Paste Here'!$F870&lt;&gt;"",'Paste Here'!$F870,"")</f>
        <v/>
      </c>
      <c r="L876" s="16" t="str">
        <f>IF('Paste Here'!$G870&lt;&gt;"",'Paste Here'!$G870,"")</f>
        <v/>
      </c>
      <c r="M876" s="18" t="str">
        <f t="shared" si="27"/>
        <v/>
      </c>
    </row>
    <row r="877" spans="1:13" s="17" customFormat="1" x14ac:dyDescent="0.25">
      <c r="A877" s="16" t="str">
        <f>IF(URN&lt;&gt;"",_xll.mdValue("Resident",_xlnm.Database,$F877),"")</f>
        <v/>
      </c>
      <c r="B877" s="16" t="str">
        <f>IF(PersonId&lt;&gt;"",_xll.mdValue("Resident First Name",_xlnm.Database,$A$8),"")</f>
        <v/>
      </c>
      <c r="C877" s="16" t="str">
        <f>IF(PersonId&lt;&gt;"",_xll.mdValue("Resident Last Name",_xlnm.Database,$A$8),"")</f>
        <v/>
      </c>
      <c r="D877" s="16" t="str">
        <f>IF(PersonId&lt;&gt;"",_xll.mdValue("Person Accomodation Code",_xlnm.Database,$A877),"")</f>
        <v/>
      </c>
      <c r="E877" s="28" t="str">
        <f t="shared" si="26"/>
        <v/>
      </c>
      <c r="F877" s="16" t="str">
        <f>IF('Paste Here'!$A871&lt;&gt;"",'Paste Here'!$A871,"")</f>
        <v/>
      </c>
      <c r="G877" s="16" t="str">
        <f>IF('Paste Here'!$B871&lt;&gt;"",'Paste Here'!$B871,"")</f>
        <v/>
      </c>
      <c r="H877" s="16" t="str">
        <f>IF('Paste Here'!$C871&lt;&gt;"",'Paste Here'!$C871,"")</f>
        <v/>
      </c>
      <c r="I877" s="25" t="str">
        <f>IF('Paste Here'!$D871&lt;&gt;"",'Paste Here'!$D871,"")</f>
        <v/>
      </c>
      <c r="J877" s="27" t="str">
        <f>IF('Paste Here'!$E871&lt;&gt;"",'Paste Here'!$E871,"")</f>
        <v/>
      </c>
      <c r="K877" s="16" t="str">
        <f>IF('Paste Here'!$F871&lt;&gt;"",'Paste Here'!$F871,"")</f>
        <v/>
      </c>
      <c r="L877" s="16" t="str">
        <f>IF('Paste Here'!$G871&lt;&gt;"",'Paste Here'!$G871,"")</f>
        <v/>
      </c>
      <c r="M877" s="18" t="str">
        <f t="shared" si="27"/>
        <v/>
      </c>
    </row>
    <row r="878" spans="1:13" s="17" customFormat="1" x14ac:dyDescent="0.25">
      <c r="A878" s="16" t="str">
        <f>IF(URN&lt;&gt;"",_xll.mdValue("Resident",_xlnm.Database,$F878),"")</f>
        <v/>
      </c>
      <c r="B878" s="16" t="str">
        <f>IF(PersonId&lt;&gt;"",_xll.mdValue("Resident First Name",_xlnm.Database,$A$8),"")</f>
        <v/>
      </c>
      <c r="C878" s="16" t="str">
        <f>IF(PersonId&lt;&gt;"",_xll.mdValue("Resident Last Name",_xlnm.Database,$A$8),"")</f>
        <v/>
      </c>
      <c r="D878" s="16" t="str">
        <f>IF(PersonId&lt;&gt;"",_xll.mdValue("Person Accomodation Code",_xlnm.Database,$A878),"")</f>
        <v/>
      </c>
      <c r="E878" s="28" t="str">
        <f t="shared" si="26"/>
        <v/>
      </c>
      <c r="F878" s="16" t="str">
        <f>IF('Paste Here'!$A872&lt;&gt;"",'Paste Here'!$A872,"")</f>
        <v/>
      </c>
      <c r="G878" s="16" t="str">
        <f>IF('Paste Here'!$B872&lt;&gt;"",'Paste Here'!$B872,"")</f>
        <v/>
      </c>
      <c r="H878" s="16" t="str">
        <f>IF('Paste Here'!$C872&lt;&gt;"",'Paste Here'!$C872,"")</f>
        <v/>
      </c>
      <c r="I878" s="25" t="str">
        <f>IF('Paste Here'!$D872&lt;&gt;"",'Paste Here'!$D872,"")</f>
        <v/>
      </c>
      <c r="J878" s="27" t="str">
        <f>IF('Paste Here'!$E872&lt;&gt;"",'Paste Here'!$E872,"")</f>
        <v/>
      </c>
      <c r="K878" s="16" t="str">
        <f>IF('Paste Here'!$F872&lt;&gt;"",'Paste Here'!$F872,"")</f>
        <v/>
      </c>
      <c r="L878" s="16" t="str">
        <f>IF('Paste Here'!$G872&lt;&gt;"",'Paste Here'!$G872,"")</f>
        <v/>
      </c>
      <c r="M878" s="18" t="str">
        <f t="shared" si="27"/>
        <v/>
      </c>
    </row>
    <row r="879" spans="1:13" s="17" customFormat="1" x14ac:dyDescent="0.25">
      <c r="A879" s="16" t="str">
        <f>IF(URN&lt;&gt;"",_xll.mdValue("Resident",_xlnm.Database,$F879),"")</f>
        <v/>
      </c>
      <c r="B879" s="16" t="str">
        <f>IF(PersonId&lt;&gt;"",_xll.mdValue("Resident First Name",_xlnm.Database,$A$8),"")</f>
        <v/>
      </c>
      <c r="C879" s="16" t="str">
        <f>IF(PersonId&lt;&gt;"",_xll.mdValue("Resident Last Name",_xlnm.Database,$A$8),"")</f>
        <v/>
      </c>
      <c r="D879" s="16" t="str">
        <f>IF(PersonId&lt;&gt;"",_xll.mdValue("Person Accomodation Code",_xlnm.Database,$A879),"")</f>
        <v/>
      </c>
      <c r="E879" s="28" t="str">
        <f t="shared" si="26"/>
        <v/>
      </c>
      <c r="F879" s="16" t="str">
        <f>IF('Paste Here'!$A873&lt;&gt;"",'Paste Here'!$A873,"")</f>
        <v/>
      </c>
      <c r="G879" s="16" t="str">
        <f>IF('Paste Here'!$B873&lt;&gt;"",'Paste Here'!$B873,"")</f>
        <v/>
      </c>
      <c r="H879" s="16" t="str">
        <f>IF('Paste Here'!$C873&lt;&gt;"",'Paste Here'!$C873,"")</f>
        <v/>
      </c>
      <c r="I879" s="25" t="str">
        <f>IF('Paste Here'!$D873&lt;&gt;"",'Paste Here'!$D873,"")</f>
        <v/>
      </c>
      <c r="J879" s="27" t="str">
        <f>IF('Paste Here'!$E873&lt;&gt;"",'Paste Here'!$E873,"")</f>
        <v/>
      </c>
      <c r="K879" s="16" t="str">
        <f>IF('Paste Here'!$F873&lt;&gt;"",'Paste Here'!$F873,"")</f>
        <v/>
      </c>
      <c r="L879" s="16" t="str">
        <f>IF('Paste Here'!$G873&lt;&gt;"",'Paste Here'!$G873,"")</f>
        <v/>
      </c>
      <c r="M879" s="18" t="str">
        <f t="shared" si="27"/>
        <v/>
      </c>
    </row>
    <row r="880" spans="1:13" s="17" customFormat="1" x14ac:dyDescent="0.25">
      <c r="A880" s="16" t="str">
        <f>IF(URN&lt;&gt;"",_xll.mdValue("Resident",_xlnm.Database,$F880),"")</f>
        <v/>
      </c>
      <c r="B880" s="16" t="str">
        <f>IF(PersonId&lt;&gt;"",_xll.mdValue("Resident First Name",_xlnm.Database,$A$8),"")</f>
        <v/>
      </c>
      <c r="C880" s="16" t="str">
        <f>IF(PersonId&lt;&gt;"",_xll.mdValue("Resident Last Name",_xlnm.Database,$A$8),"")</f>
        <v/>
      </c>
      <c r="D880" s="16" t="str">
        <f>IF(PersonId&lt;&gt;"",_xll.mdValue("Person Accomodation Code",_xlnm.Database,$A880),"")</f>
        <v/>
      </c>
      <c r="E880" s="28" t="str">
        <f t="shared" si="26"/>
        <v/>
      </c>
      <c r="F880" s="16" t="str">
        <f>IF('Paste Here'!$A874&lt;&gt;"",'Paste Here'!$A874,"")</f>
        <v/>
      </c>
      <c r="G880" s="16" t="str">
        <f>IF('Paste Here'!$B874&lt;&gt;"",'Paste Here'!$B874,"")</f>
        <v/>
      </c>
      <c r="H880" s="16" t="str">
        <f>IF('Paste Here'!$C874&lt;&gt;"",'Paste Here'!$C874,"")</f>
        <v/>
      </c>
      <c r="I880" s="25" t="str">
        <f>IF('Paste Here'!$D874&lt;&gt;"",'Paste Here'!$D874,"")</f>
        <v/>
      </c>
      <c r="J880" s="27" t="str">
        <f>IF('Paste Here'!$E874&lt;&gt;"",'Paste Here'!$E874,"")</f>
        <v/>
      </c>
      <c r="K880" s="16" t="str">
        <f>IF('Paste Here'!$F874&lt;&gt;"",'Paste Here'!$F874,"")</f>
        <v/>
      </c>
      <c r="L880" s="16" t="str">
        <f>IF('Paste Here'!$G874&lt;&gt;"",'Paste Here'!$G874,"")</f>
        <v/>
      </c>
      <c r="M880" s="18" t="str">
        <f t="shared" si="27"/>
        <v/>
      </c>
    </row>
    <row r="881" spans="1:13" s="17" customFormat="1" x14ac:dyDescent="0.25">
      <c r="A881" s="16" t="str">
        <f>IF(URN&lt;&gt;"",_xll.mdValue("Resident",_xlnm.Database,$F881),"")</f>
        <v/>
      </c>
      <c r="B881" s="16" t="str">
        <f>IF(PersonId&lt;&gt;"",_xll.mdValue("Resident First Name",_xlnm.Database,$A$8),"")</f>
        <v/>
      </c>
      <c r="C881" s="16" t="str">
        <f>IF(PersonId&lt;&gt;"",_xll.mdValue("Resident Last Name",_xlnm.Database,$A$8),"")</f>
        <v/>
      </c>
      <c r="D881" s="16" t="str">
        <f>IF(PersonId&lt;&gt;"",_xll.mdValue("Person Accomodation Code",_xlnm.Database,$A881),"")</f>
        <v/>
      </c>
      <c r="E881" s="28" t="str">
        <f t="shared" si="26"/>
        <v/>
      </c>
      <c r="F881" s="16" t="str">
        <f>IF('Paste Here'!$A875&lt;&gt;"",'Paste Here'!$A875,"")</f>
        <v/>
      </c>
      <c r="G881" s="16" t="str">
        <f>IF('Paste Here'!$B875&lt;&gt;"",'Paste Here'!$B875,"")</f>
        <v/>
      </c>
      <c r="H881" s="16" t="str">
        <f>IF('Paste Here'!$C875&lt;&gt;"",'Paste Here'!$C875,"")</f>
        <v/>
      </c>
      <c r="I881" s="25" t="str">
        <f>IF('Paste Here'!$D875&lt;&gt;"",'Paste Here'!$D875,"")</f>
        <v/>
      </c>
      <c r="J881" s="27" t="str">
        <f>IF('Paste Here'!$E875&lt;&gt;"",'Paste Here'!$E875,"")</f>
        <v/>
      </c>
      <c r="K881" s="16" t="str">
        <f>IF('Paste Here'!$F875&lt;&gt;"",'Paste Here'!$F875,"")</f>
        <v/>
      </c>
      <c r="L881" s="16" t="str">
        <f>IF('Paste Here'!$G875&lt;&gt;"",'Paste Here'!$G875,"")</f>
        <v/>
      </c>
      <c r="M881" s="18" t="str">
        <f t="shared" si="27"/>
        <v/>
      </c>
    </row>
    <row r="882" spans="1:13" s="17" customFormat="1" x14ac:dyDescent="0.25">
      <c r="A882" s="16" t="str">
        <f>IF(URN&lt;&gt;"",_xll.mdValue("Resident",_xlnm.Database,$F882),"")</f>
        <v/>
      </c>
      <c r="B882" s="16" t="str">
        <f>IF(PersonId&lt;&gt;"",_xll.mdValue("Resident First Name",_xlnm.Database,$A$8),"")</f>
        <v/>
      </c>
      <c r="C882" s="16" t="str">
        <f>IF(PersonId&lt;&gt;"",_xll.mdValue("Resident Last Name",_xlnm.Database,$A$8),"")</f>
        <v/>
      </c>
      <c r="D882" s="16" t="str">
        <f>IF(PersonId&lt;&gt;"",_xll.mdValue("Person Accomodation Code",_xlnm.Database,$A882),"")</f>
        <v/>
      </c>
      <c r="E882" s="28" t="str">
        <f t="shared" si="26"/>
        <v/>
      </c>
      <c r="F882" s="16" t="str">
        <f>IF('Paste Here'!$A876&lt;&gt;"",'Paste Here'!$A876,"")</f>
        <v/>
      </c>
      <c r="G882" s="16" t="str">
        <f>IF('Paste Here'!$B876&lt;&gt;"",'Paste Here'!$B876,"")</f>
        <v/>
      </c>
      <c r="H882" s="16" t="str">
        <f>IF('Paste Here'!$C876&lt;&gt;"",'Paste Here'!$C876,"")</f>
        <v/>
      </c>
      <c r="I882" s="25" t="str">
        <f>IF('Paste Here'!$D876&lt;&gt;"",'Paste Here'!$D876,"")</f>
        <v/>
      </c>
      <c r="J882" s="27" t="str">
        <f>IF('Paste Here'!$E876&lt;&gt;"",'Paste Here'!$E876,"")</f>
        <v/>
      </c>
      <c r="K882" s="16" t="str">
        <f>IF('Paste Here'!$F876&lt;&gt;"",'Paste Here'!$F876,"")</f>
        <v/>
      </c>
      <c r="L882" s="16" t="str">
        <f>IF('Paste Here'!$G876&lt;&gt;"",'Paste Here'!$G876,"")</f>
        <v/>
      </c>
      <c r="M882" s="18" t="str">
        <f t="shared" si="27"/>
        <v/>
      </c>
    </row>
    <row r="883" spans="1:13" s="17" customFormat="1" x14ac:dyDescent="0.25">
      <c r="A883" s="16" t="str">
        <f>IF(URN&lt;&gt;"",_xll.mdValue("Resident",_xlnm.Database,$F883),"")</f>
        <v/>
      </c>
      <c r="B883" s="16" t="str">
        <f>IF(PersonId&lt;&gt;"",_xll.mdValue("Resident First Name",_xlnm.Database,$A$8),"")</f>
        <v/>
      </c>
      <c r="C883" s="16" t="str">
        <f>IF(PersonId&lt;&gt;"",_xll.mdValue("Resident Last Name",_xlnm.Database,$A$8),"")</f>
        <v/>
      </c>
      <c r="D883" s="16" t="str">
        <f>IF(PersonId&lt;&gt;"",_xll.mdValue("Person Accomodation Code",_xlnm.Database,$A883),"")</f>
        <v/>
      </c>
      <c r="E883" s="28" t="str">
        <f t="shared" si="26"/>
        <v/>
      </c>
      <c r="F883" s="16" t="str">
        <f>IF('Paste Here'!$A877&lt;&gt;"",'Paste Here'!$A877,"")</f>
        <v/>
      </c>
      <c r="G883" s="16" t="str">
        <f>IF('Paste Here'!$B877&lt;&gt;"",'Paste Here'!$B877,"")</f>
        <v/>
      </c>
      <c r="H883" s="16" t="str">
        <f>IF('Paste Here'!$C877&lt;&gt;"",'Paste Here'!$C877,"")</f>
        <v/>
      </c>
      <c r="I883" s="25" t="str">
        <f>IF('Paste Here'!$D877&lt;&gt;"",'Paste Here'!$D877,"")</f>
        <v/>
      </c>
      <c r="J883" s="27" t="str">
        <f>IF('Paste Here'!$E877&lt;&gt;"",'Paste Here'!$E877,"")</f>
        <v/>
      </c>
      <c r="K883" s="16" t="str">
        <f>IF('Paste Here'!$F877&lt;&gt;"",'Paste Here'!$F877,"")</f>
        <v/>
      </c>
      <c r="L883" s="16" t="str">
        <f>IF('Paste Here'!$G877&lt;&gt;"",'Paste Here'!$G877,"")</f>
        <v/>
      </c>
      <c r="M883" s="18" t="str">
        <f t="shared" si="27"/>
        <v/>
      </c>
    </row>
    <row r="884" spans="1:13" s="17" customFormat="1" x14ac:dyDescent="0.25">
      <c r="A884" s="16" t="str">
        <f>IF(URN&lt;&gt;"",_xll.mdValue("Resident",_xlnm.Database,$F884),"")</f>
        <v/>
      </c>
      <c r="B884" s="16" t="str">
        <f>IF(PersonId&lt;&gt;"",_xll.mdValue("Resident First Name",_xlnm.Database,$A$8),"")</f>
        <v/>
      </c>
      <c r="C884" s="16" t="str">
        <f>IF(PersonId&lt;&gt;"",_xll.mdValue("Resident Last Name",_xlnm.Database,$A$8),"")</f>
        <v/>
      </c>
      <c r="D884" s="16" t="str">
        <f>IF(PersonId&lt;&gt;"",_xll.mdValue("Person Accomodation Code",_xlnm.Database,$A884),"")</f>
        <v/>
      </c>
      <c r="E884" s="28" t="str">
        <f t="shared" si="26"/>
        <v/>
      </c>
      <c r="F884" s="16" t="str">
        <f>IF('Paste Here'!$A878&lt;&gt;"",'Paste Here'!$A878,"")</f>
        <v/>
      </c>
      <c r="G884" s="16" t="str">
        <f>IF('Paste Here'!$B878&lt;&gt;"",'Paste Here'!$B878,"")</f>
        <v/>
      </c>
      <c r="H884" s="16" t="str">
        <f>IF('Paste Here'!$C878&lt;&gt;"",'Paste Here'!$C878,"")</f>
        <v/>
      </c>
      <c r="I884" s="25" t="str">
        <f>IF('Paste Here'!$D878&lt;&gt;"",'Paste Here'!$D878,"")</f>
        <v/>
      </c>
      <c r="J884" s="27" t="str">
        <f>IF('Paste Here'!$E878&lt;&gt;"",'Paste Here'!$E878,"")</f>
        <v/>
      </c>
      <c r="K884" s="16" t="str">
        <f>IF('Paste Here'!$F878&lt;&gt;"",'Paste Here'!$F878,"")</f>
        <v/>
      </c>
      <c r="L884" s="16" t="str">
        <f>IF('Paste Here'!$G878&lt;&gt;"",'Paste Here'!$G878,"")</f>
        <v/>
      </c>
      <c r="M884" s="18" t="str">
        <f t="shared" si="27"/>
        <v/>
      </c>
    </row>
    <row r="885" spans="1:13" s="17" customFormat="1" x14ac:dyDescent="0.25">
      <c r="A885" s="16" t="str">
        <f>IF(URN&lt;&gt;"",_xll.mdValue("Resident",_xlnm.Database,$F885),"")</f>
        <v/>
      </c>
      <c r="B885" s="16" t="str">
        <f>IF(PersonId&lt;&gt;"",_xll.mdValue("Resident First Name",_xlnm.Database,$A$8),"")</f>
        <v/>
      </c>
      <c r="C885" s="16" t="str">
        <f>IF(PersonId&lt;&gt;"",_xll.mdValue("Resident Last Name",_xlnm.Database,$A$8),"")</f>
        <v/>
      </c>
      <c r="D885" s="16" t="str">
        <f>IF(PersonId&lt;&gt;"",_xll.mdValue("Person Accomodation Code",_xlnm.Database,$A885),"")</f>
        <v/>
      </c>
      <c r="E885" s="28" t="str">
        <f t="shared" si="26"/>
        <v/>
      </c>
      <c r="F885" s="16" t="str">
        <f>IF('Paste Here'!$A879&lt;&gt;"",'Paste Here'!$A879,"")</f>
        <v/>
      </c>
      <c r="G885" s="16" t="str">
        <f>IF('Paste Here'!$B879&lt;&gt;"",'Paste Here'!$B879,"")</f>
        <v/>
      </c>
      <c r="H885" s="16" t="str">
        <f>IF('Paste Here'!$C879&lt;&gt;"",'Paste Here'!$C879,"")</f>
        <v/>
      </c>
      <c r="I885" s="25" t="str">
        <f>IF('Paste Here'!$D879&lt;&gt;"",'Paste Here'!$D879,"")</f>
        <v/>
      </c>
      <c r="J885" s="27" t="str">
        <f>IF('Paste Here'!$E879&lt;&gt;"",'Paste Here'!$E879,"")</f>
        <v/>
      </c>
      <c r="K885" s="16" t="str">
        <f>IF('Paste Here'!$F879&lt;&gt;"",'Paste Here'!$F879,"")</f>
        <v/>
      </c>
      <c r="L885" s="16" t="str">
        <f>IF('Paste Here'!$G879&lt;&gt;"",'Paste Here'!$G879,"")</f>
        <v/>
      </c>
      <c r="M885" s="18" t="str">
        <f t="shared" si="27"/>
        <v/>
      </c>
    </row>
    <row r="886" spans="1:13" s="17" customFormat="1" x14ac:dyDescent="0.25">
      <c r="A886" s="16" t="str">
        <f>IF(URN&lt;&gt;"",_xll.mdValue("Resident",_xlnm.Database,$F886),"")</f>
        <v/>
      </c>
      <c r="B886" s="16" t="str">
        <f>IF(PersonId&lt;&gt;"",_xll.mdValue("Resident First Name",_xlnm.Database,$A$8),"")</f>
        <v/>
      </c>
      <c r="C886" s="16" t="str">
        <f>IF(PersonId&lt;&gt;"",_xll.mdValue("Resident Last Name",_xlnm.Database,$A$8),"")</f>
        <v/>
      </c>
      <c r="D886" s="16" t="str">
        <f>IF(PersonId&lt;&gt;"",_xll.mdValue("Person Accomodation Code",_xlnm.Database,$A886),"")</f>
        <v/>
      </c>
      <c r="E886" s="28" t="str">
        <f t="shared" si="26"/>
        <v/>
      </c>
      <c r="F886" s="16" t="str">
        <f>IF('Paste Here'!$A880&lt;&gt;"",'Paste Here'!$A880,"")</f>
        <v/>
      </c>
      <c r="G886" s="16" t="str">
        <f>IF('Paste Here'!$B880&lt;&gt;"",'Paste Here'!$B880,"")</f>
        <v/>
      </c>
      <c r="H886" s="16" t="str">
        <f>IF('Paste Here'!$C880&lt;&gt;"",'Paste Here'!$C880,"")</f>
        <v/>
      </c>
      <c r="I886" s="25" t="str">
        <f>IF('Paste Here'!$D880&lt;&gt;"",'Paste Here'!$D880,"")</f>
        <v/>
      </c>
      <c r="J886" s="27" t="str">
        <f>IF('Paste Here'!$E880&lt;&gt;"",'Paste Here'!$E880,"")</f>
        <v/>
      </c>
      <c r="K886" s="16" t="str">
        <f>IF('Paste Here'!$F880&lt;&gt;"",'Paste Here'!$F880,"")</f>
        <v/>
      </c>
      <c r="L886" s="16" t="str">
        <f>IF('Paste Here'!$G880&lt;&gt;"",'Paste Here'!$G880,"")</f>
        <v/>
      </c>
      <c r="M886" s="18" t="str">
        <f t="shared" si="27"/>
        <v/>
      </c>
    </row>
    <row r="887" spans="1:13" s="17" customFormat="1" x14ac:dyDescent="0.25">
      <c r="A887" s="16" t="str">
        <f>IF(URN&lt;&gt;"",_xll.mdValue("Resident",_xlnm.Database,$F887),"")</f>
        <v/>
      </c>
      <c r="B887" s="16" t="str">
        <f>IF(PersonId&lt;&gt;"",_xll.mdValue("Resident First Name",_xlnm.Database,$A$8),"")</f>
        <v/>
      </c>
      <c r="C887" s="16" t="str">
        <f>IF(PersonId&lt;&gt;"",_xll.mdValue("Resident Last Name",_xlnm.Database,$A$8),"")</f>
        <v/>
      </c>
      <c r="D887" s="16" t="str">
        <f>IF(PersonId&lt;&gt;"",_xll.mdValue("Person Accomodation Code",_xlnm.Database,$A887),"")</f>
        <v/>
      </c>
      <c r="E887" s="28" t="str">
        <f t="shared" si="26"/>
        <v/>
      </c>
      <c r="F887" s="16" t="str">
        <f>IF('Paste Here'!$A881&lt;&gt;"",'Paste Here'!$A881,"")</f>
        <v/>
      </c>
      <c r="G887" s="16" t="str">
        <f>IF('Paste Here'!$B881&lt;&gt;"",'Paste Here'!$B881,"")</f>
        <v/>
      </c>
      <c r="H887" s="16" t="str">
        <f>IF('Paste Here'!$C881&lt;&gt;"",'Paste Here'!$C881,"")</f>
        <v/>
      </c>
      <c r="I887" s="25" t="str">
        <f>IF('Paste Here'!$D881&lt;&gt;"",'Paste Here'!$D881,"")</f>
        <v/>
      </c>
      <c r="J887" s="27" t="str">
        <f>IF('Paste Here'!$E881&lt;&gt;"",'Paste Here'!$E881,"")</f>
        <v/>
      </c>
      <c r="K887" s="16" t="str">
        <f>IF('Paste Here'!$F881&lt;&gt;"",'Paste Here'!$F881,"")</f>
        <v/>
      </c>
      <c r="L887" s="16" t="str">
        <f>IF('Paste Here'!$G881&lt;&gt;"",'Paste Here'!$G881,"")</f>
        <v/>
      </c>
      <c r="M887" s="18" t="str">
        <f t="shared" si="27"/>
        <v/>
      </c>
    </row>
    <row r="888" spans="1:13" s="17" customFormat="1" x14ac:dyDescent="0.25">
      <c r="A888" s="16" t="str">
        <f>IF(URN&lt;&gt;"",_xll.mdValue("Resident",_xlnm.Database,$F888),"")</f>
        <v/>
      </c>
      <c r="B888" s="16" t="str">
        <f>IF(PersonId&lt;&gt;"",_xll.mdValue("Resident First Name",_xlnm.Database,$A$8),"")</f>
        <v/>
      </c>
      <c r="C888" s="16" t="str">
        <f>IF(PersonId&lt;&gt;"",_xll.mdValue("Resident Last Name",_xlnm.Database,$A$8),"")</f>
        <v/>
      </c>
      <c r="D888" s="16" t="str">
        <f>IF(PersonId&lt;&gt;"",_xll.mdValue("Person Accomodation Code",_xlnm.Database,$A888),"")</f>
        <v/>
      </c>
      <c r="E888" s="28" t="str">
        <f t="shared" si="26"/>
        <v/>
      </c>
      <c r="F888" s="16" t="str">
        <f>IF('Paste Here'!$A882&lt;&gt;"",'Paste Here'!$A882,"")</f>
        <v/>
      </c>
      <c r="G888" s="16" t="str">
        <f>IF('Paste Here'!$B882&lt;&gt;"",'Paste Here'!$B882,"")</f>
        <v/>
      </c>
      <c r="H888" s="16" t="str">
        <f>IF('Paste Here'!$C882&lt;&gt;"",'Paste Here'!$C882,"")</f>
        <v/>
      </c>
      <c r="I888" s="25" t="str">
        <f>IF('Paste Here'!$D882&lt;&gt;"",'Paste Here'!$D882,"")</f>
        <v/>
      </c>
      <c r="J888" s="27" t="str">
        <f>IF('Paste Here'!$E882&lt;&gt;"",'Paste Here'!$E882,"")</f>
        <v/>
      </c>
      <c r="K888" s="16" t="str">
        <f>IF('Paste Here'!$F882&lt;&gt;"",'Paste Here'!$F882,"")</f>
        <v/>
      </c>
      <c r="L888" s="16" t="str">
        <f>IF('Paste Here'!$G882&lt;&gt;"",'Paste Here'!$G882,"")</f>
        <v/>
      </c>
      <c r="M888" s="18" t="str">
        <f t="shared" si="27"/>
        <v/>
      </c>
    </row>
    <row r="889" spans="1:13" s="17" customFormat="1" x14ac:dyDescent="0.25">
      <c r="A889" s="16" t="str">
        <f>IF(URN&lt;&gt;"",_xll.mdValue("Resident",_xlnm.Database,$F889),"")</f>
        <v/>
      </c>
      <c r="B889" s="16" t="str">
        <f>IF(PersonId&lt;&gt;"",_xll.mdValue("Resident First Name",_xlnm.Database,$A$8),"")</f>
        <v/>
      </c>
      <c r="C889" s="16" t="str">
        <f>IF(PersonId&lt;&gt;"",_xll.mdValue("Resident Last Name",_xlnm.Database,$A$8),"")</f>
        <v/>
      </c>
      <c r="D889" s="16" t="str">
        <f>IF(PersonId&lt;&gt;"",_xll.mdValue("Person Accomodation Code",_xlnm.Database,$A889),"")</f>
        <v/>
      </c>
      <c r="E889" s="28" t="str">
        <f t="shared" si="26"/>
        <v/>
      </c>
      <c r="F889" s="16" t="str">
        <f>IF('Paste Here'!$A883&lt;&gt;"",'Paste Here'!$A883,"")</f>
        <v/>
      </c>
      <c r="G889" s="16" t="str">
        <f>IF('Paste Here'!$B883&lt;&gt;"",'Paste Here'!$B883,"")</f>
        <v/>
      </c>
      <c r="H889" s="16" t="str">
        <f>IF('Paste Here'!$C883&lt;&gt;"",'Paste Here'!$C883,"")</f>
        <v/>
      </c>
      <c r="I889" s="25" t="str">
        <f>IF('Paste Here'!$D883&lt;&gt;"",'Paste Here'!$D883,"")</f>
        <v/>
      </c>
      <c r="J889" s="27" t="str">
        <f>IF('Paste Here'!$E883&lt;&gt;"",'Paste Here'!$E883,"")</f>
        <v/>
      </c>
      <c r="K889" s="16" t="str">
        <f>IF('Paste Here'!$F883&lt;&gt;"",'Paste Here'!$F883,"")</f>
        <v/>
      </c>
      <c r="L889" s="16" t="str">
        <f>IF('Paste Here'!$G883&lt;&gt;"",'Paste Here'!$G883,"")</f>
        <v/>
      </c>
      <c r="M889" s="18" t="str">
        <f t="shared" si="27"/>
        <v/>
      </c>
    </row>
    <row r="890" spans="1:13" s="17" customFormat="1" x14ac:dyDescent="0.25">
      <c r="A890" s="16" t="str">
        <f>IF(URN&lt;&gt;"",_xll.mdValue("Resident",_xlnm.Database,$F890),"")</f>
        <v/>
      </c>
      <c r="B890" s="16" t="str">
        <f>IF(PersonId&lt;&gt;"",_xll.mdValue("Resident First Name",_xlnm.Database,$A$8),"")</f>
        <v/>
      </c>
      <c r="C890" s="16" t="str">
        <f>IF(PersonId&lt;&gt;"",_xll.mdValue("Resident Last Name",_xlnm.Database,$A$8),"")</f>
        <v/>
      </c>
      <c r="D890" s="16" t="str">
        <f>IF(PersonId&lt;&gt;"",_xll.mdValue("Person Accomodation Code",_xlnm.Database,$A890),"")</f>
        <v/>
      </c>
      <c r="E890" s="28" t="str">
        <f t="shared" si="26"/>
        <v/>
      </c>
      <c r="F890" s="16" t="str">
        <f>IF('Paste Here'!$A884&lt;&gt;"",'Paste Here'!$A884,"")</f>
        <v/>
      </c>
      <c r="G890" s="16" t="str">
        <f>IF('Paste Here'!$B884&lt;&gt;"",'Paste Here'!$B884,"")</f>
        <v/>
      </c>
      <c r="H890" s="16" t="str">
        <f>IF('Paste Here'!$C884&lt;&gt;"",'Paste Here'!$C884,"")</f>
        <v/>
      </c>
      <c r="I890" s="25" t="str">
        <f>IF('Paste Here'!$D884&lt;&gt;"",'Paste Here'!$D884,"")</f>
        <v/>
      </c>
      <c r="J890" s="27" t="str">
        <f>IF('Paste Here'!$E884&lt;&gt;"",'Paste Here'!$E884,"")</f>
        <v/>
      </c>
      <c r="K890" s="16" t="str">
        <f>IF('Paste Here'!$F884&lt;&gt;"",'Paste Here'!$F884,"")</f>
        <v/>
      </c>
      <c r="L890" s="16" t="str">
        <f>IF('Paste Here'!$G884&lt;&gt;"",'Paste Here'!$G884,"")</f>
        <v/>
      </c>
      <c r="M890" s="18" t="str">
        <f t="shared" si="27"/>
        <v/>
      </c>
    </row>
    <row r="891" spans="1:13" s="17" customFormat="1" x14ac:dyDescent="0.25">
      <c r="A891" s="16" t="str">
        <f>IF(URN&lt;&gt;"",_xll.mdValue("Resident",_xlnm.Database,$F891),"")</f>
        <v/>
      </c>
      <c r="B891" s="16" t="str">
        <f>IF(PersonId&lt;&gt;"",_xll.mdValue("Resident First Name",_xlnm.Database,$A$8),"")</f>
        <v/>
      </c>
      <c r="C891" s="16" t="str">
        <f>IF(PersonId&lt;&gt;"",_xll.mdValue("Resident Last Name",_xlnm.Database,$A$8),"")</f>
        <v/>
      </c>
      <c r="D891" s="16" t="str">
        <f>IF(PersonId&lt;&gt;"",_xll.mdValue("Person Accomodation Code",_xlnm.Database,$A891),"")</f>
        <v/>
      </c>
      <c r="E891" s="28" t="str">
        <f t="shared" si="26"/>
        <v/>
      </c>
      <c r="F891" s="16" t="str">
        <f>IF('Paste Here'!$A885&lt;&gt;"",'Paste Here'!$A885,"")</f>
        <v/>
      </c>
      <c r="G891" s="16" t="str">
        <f>IF('Paste Here'!$B885&lt;&gt;"",'Paste Here'!$B885,"")</f>
        <v/>
      </c>
      <c r="H891" s="16" t="str">
        <f>IF('Paste Here'!$C885&lt;&gt;"",'Paste Here'!$C885,"")</f>
        <v/>
      </c>
      <c r="I891" s="25" t="str">
        <f>IF('Paste Here'!$D885&lt;&gt;"",'Paste Here'!$D885,"")</f>
        <v/>
      </c>
      <c r="J891" s="27" t="str">
        <f>IF('Paste Here'!$E885&lt;&gt;"",'Paste Here'!$E885,"")</f>
        <v/>
      </c>
      <c r="K891" s="16" t="str">
        <f>IF('Paste Here'!$F885&lt;&gt;"",'Paste Here'!$F885,"")</f>
        <v/>
      </c>
      <c r="L891" s="16" t="str">
        <f>IF('Paste Here'!$G885&lt;&gt;"",'Paste Here'!$G885,"")</f>
        <v/>
      </c>
      <c r="M891" s="18" t="str">
        <f t="shared" si="27"/>
        <v/>
      </c>
    </row>
    <row r="892" spans="1:13" s="17" customFormat="1" x14ac:dyDescent="0.25">
      <c r="A892" s="16" t="str">
        <f>IF(URN&lt;&gt;"",_xll.mdValue("Resident",_xlnm.Database,$F892),"")</f>
        <v/>
      </c>
      <c r="B892" s="16" t="str">
        <f>IF(PersonId&lt;&gt;"",_xll.mdValue("Resident First Name",_xlnm.Database,$A$8),"")</f>
        <v/>
      </c>
      <c r="C892" s="16" t="str">
        <f>IF(PersonId&lt;&gt;"",_xll.mdValue("Resident Last Name",_xlnm.Database,$A$8),"")</f>
        <v/>
      </c>
      <c r="D892" s="16" t="str">
        <f>IF(PersonId&lt;&gt;"",_xll.mdValue("Person Accomodation Code",_xlnm.Database,$A892),"")</f>
        <v/>
      </c>
      <c r="E892" s="28" t="str">
        <f t="shared" si="26"/>
        <v/>
      </c>
      <c r="F892" s="16" t="str">
        <f>IF('Paste Here'!$A886&lt;&gt;"",'Paste Here'!$A886,"")</f>
        <v/>
      </c>
      <c r="G892" s="16" t="str">
        <f>IF('Paste Here'!$B886&lt;&gt;"",'Paste Here'!$B886,"")</f>
        <v/>
      </c>
      <c r="H892" s="16" t="str">
        <f>IF('Paste Here'!$C886&lt;&gt;"",'Paste Here'!$C886,"")</f>
        <v/>
      </c>
      <c r="I892" s="25" t="str">
        <f>IF('Paste Here'!$D886&lt;&gt;"",'Paste Here'!$D886,"")</f>
        <v/>
      </c>
      <c r="J892" s="27" t="str">
        <f>IF('Paste Here'!$E886&lt;&gt;"",'Paste Here'!$E886,"")</f>
        <v/>
      </c>
      <c r="K892" s="16" t="str">
        <f>IF('Paste Here'!$F886&lt;&gt;"",'Paste Here'!$F886,"")</f>
        <v/>
      </c>
      <c r="L892" s="16" t="str">
        <f>IF('Paste Here'!$G886&lt;&gt;"",'Paste Here'!$G886,"")</f>
        <v/>
      </c>
      <c r="M892" s="18" t="str">
        <f t="shared" si="27"/>
        <v/>
      </c>
    </row>
    <row r="893" spans="1:13" s="17" customFormat="1" x14ac:dyDescent="0.25">
      <c r="A893" s="16" t="str">
        <f>IF(URN&lt;&gt;"",_xll.mdValue("Resident",_xlnm.Database,$F893),"")</f>
        <v/>
      </c>
      <c r="B893" s="16" t="str">
        <f>IF(PersonId&lt;&gt;"",_xll.mdValue("Resident First Name",_xlnm.Database,$A$8),"")</f>
        <v/>
      </c>
      <c r="C893" s="16" t="str">
        <f>IF(PersonId&lt;&gt;"",_xll.mdValue("Resident Last Name",_xlnm.Database,$A$8),"")</f>
        <v/>
      </c>
      <c r="D893" s="16" t="str">
        <f>IF(PersonId&lt;&gt;"",_xll.mdValue("Person Accomodation Code",_xlnm.Database,$A893),"")</f>
        <v/>
      </c>
      <c r="E893" s="28" t="str">
        <f t="shared" si="26"/>
        <v/>
      </c>
      <c r="F893" s="16" t="str">
        <f>IF('Paste Here'!$A887&lt;&gt;"",'Paste Here'!$A887,"")</f>
        <v/>
      </c>
      <c r="G893" s="16" t="str">
        <f>IF('Paste Here'!$B887&lt;&gt;"",'Paste Here'!$B887,"")</f>
        <v/>
      </c>
      <c r="H893" s="16" t="str">
        <f>IF('Paste Here'!$C887&lt;&gt;"",'Paste Here'!$C887,"")</f>
        <v/>
      </c>
      <c r="I893" s="25" t="str">
        <f>IF('Paste Here'!$D887&lt;&gt;"",'Paste Here'!$D887,"")</f>
        <v/>
      </c>
      <c r="J893" s="27" t="str">
        <f>IF('Paste Here'!$E887&lt;&gt;"",'Paste Here'!$E887,"")</f>
        <v/>
      </c>
      <c r="K893" s="16" t="str">
        <f>IF('Paste Here'!$F887&lt;&gt;"",'Paste Here'!$F887,"")</f>
        <v/>
      </c>
      <c r="L893" s="16" t="str">
        <f>IF('Paste Here'!$G887&lt;&gt;"",'Paste Here'!$G887,"")</f>
        <v/>
      </c>
      <c r="M893" s="18" t="str">
        <f t="shared" si="27"/>
        <v/>
      </c>
    </row>
    <row r="894" spans="1:13" s="17" customFormat="1" x14ac:dyDescent="0.25">
      <c r="A894" s="16" t="str">
        <f>IF(URN&lt;&gt;"",_xll.mdValue("Resident",_xlnm.Database,$F894),"")</f>
        <v/>
      </c>
      <c r="B894" s="16" t="str">
        <f>IF(PersonId&lt;&gt;"",_xll.mdValue("Resident First Name",_xlnm.Database,$A$8),"")</f>
        <v/>
      </c>
      <c r="C894" s="16" t="str">
        <f>IF(PersonId&lt;&gt;"",_xll.mdValue("Resident Last Name",_xlnm.Database,$A$8),"")</f>
        <v/>
      </c>
      <c r="D894" s="16" t="str">
        <f>IF(PersonId&lt;&gt;"",_xll.mdValue("Person Accomodation Code",_xlnm.Database,$A894),"")</f>
        <v/>
      </c>
      <c r="E894" s="28" t="str">
        <f t="shared" si="26"/>
        <v/>
      </c>
      <c r="F894" s="16" t="str">
        <f>IF('Paste Here'!$A888&lt;&gt;"",'Paste Here'!$A888,"")</f>
        <v/>
      </c>
      <c r="G894" s="16" t="str">
        <f>IF('Paste Here'!$B888&lt;&gt;"",'Paste Here'!$B888,"")</f>
        <v/>
      </c>
      <c r="H894" s="16" t="str">
        <f>IF('Paste Here'!$C888&lt;&gt;"",'Paste Here'!$C888,"")</f>
        <v/>
      </c>
      <c r="I894" s="25" t="str">
        <f>IF('Paste Here'!$D888&lt;&gt;"",'Paste Here'!$D888,"")</f>
        <v/>
      </c>
      <c r="J894" s="27" t="str">
        <f>IF('Paste Here'!$E888&lt;&gt;"",'Paste Here'!$E888,"")</f>
        <v/>
      </c>
      <c r="K894" s="16" t="str">
        <f>IF('Paste Here'!$F888&lt;&gt;"",'Paste Here'!$F888,"")</f>
        <v/>
      </c>
      <c r="L894" s="16" t="str">
        <f>IF('Paste Here'!$G888&lt;&gt;"",'Paste Here'!$G888,"")</f>
        <v/>
      </c>
      <c r="M894" s="18" t="str">
        <f t="shared" si="27"/>
        <v/>
      </c>
    </row>
    <row r="895" spans="1:13" s="17" customFormat="1" x14ac:dyDescent="0.25">
      <c r="A895" s="16" t="str">
        <f>IF(URN&lt;&gt;"",_xll.mdValue("Resident",_xlnm.Database,$F895),"")</f>
        <v/>
      </c>
      <c r="B895" s="16" t="str">
        <f>IF(PersonId&lt;&gt;"",_xll.mdValue("Resident First Name",_xlnm.Database,$A$8),"")</f>
        <v/>
      </c>
      <c r="C895" s="16" t="str">
        <f>IF(PersonId&lt;&gt;"",_xll.mdValue("Resident Last Name",_xlnm.Database,$A$8),"")</f>
        <v/>
      </c>
      <c r="D895" s="16" t="str">
        <f>IF(PersonId&lt;&gt;"",_xll.mdValue("Person Accomodation Code",_xlnm.Database,$A895),"")</f>
        <v/>
      </c>
      <c r="E895" s="28" t="str">
        <f t="shared" si="26"/>
        <v/>
      </c>
      <c r="F895" s="16" t="str">
        <f>IF('Paste Here'!$A889&lt;&gt;"",'Paste Here'!$A889,"")</f>
        <v/>
      </c>
      <c r="G895" s="16" t="str">
        <f>IF('Paste Here'!$B889&lt;&gt;"",'Paste Here'!$B889,"")</f>
        <v/>
      </c>
      <c r="H895" s="16" t="str">
        <f>IF('Paste Here'!$C889&lt;&gt;"",'Paste Here'!$C889,"")</f>
        <v/>
      </c>
      <c r="I895" s="25" t="str">
        <f>IF('Paste Here'!$D889&lt;&gt;"",'Paste Here'!$D889,"")</f>
        <v/>
      </c>
      <c r="J895" s="27" t="str">
        <f>IF('Paste Here'!$E889&lt;&gt;"",'Paste Here'!$E889,"")</f>
        <v/>
      </c>
      <c r="K895" s="16" t="str">
        <f>IF('Paste Here'!$F889&lt;&gt;"",'Paste Here'!$F889,"")</f>
        <v/>
      </c>
      <c r="L895" s="16" t="str">
        <f>IF('Paste Here'!$G889&lt;&gt;"",'Paste Here'!$G889,"")</f>
        <v/>
      </c>
      <c r="M895" s="18" t="str">
        <f t="shared" si="27"/>
        <v/>
      </c>
    </row>
    <row r="896" spans="1:13" s="17" customFormat="1" x14ac:dyDescent="0.25">
      <c r="A896" s="16" t="str">
        <f>IF(URN&lt;&gt;"",_xll.mdValue("Resident",_xlnm.Database,$F896),"")</f>
        <v/>
      </c>
      <c r="B896" s="16" t="str">
        <f>IF(PersonId&lt;&gt;"",_xll.mdValue("Resident First Name",_xlnm.Database,$A$8),"")</f>
        <v/>
      </c>
      <c r="C896" s="16" t="str">
        <f>IF(PersonId&lt;&gt;"",_xll.mdValue("Resident Last Name",_xlnm.Database,$A$8),"")</f>
        <v/>
      </c>
      <c r="D896" s="16" t="str">
        <f>IF(PersonId&lt;&gt;"",_xll.mdValue("Person Accomodation Code",_xlnm.Database,$A896),"")</f>
        <v/>
      </c>
      <c r="E896" s="28" t="str">
        <f t="shared" si="26"/>
        <v/>
      </c>
      <c r="F896" s="16" t="str">
        <f>IF('Paste Here'!$A890&lt;&gt;"",'Paste Here'!$A890,"")</f>
        <v/>
      </c>
      <c r="G896" s="16" t="str">
        <f>IF('Paste Here'!$B890&lt;&gt;"",'Paste Here'!$B890,"")</f>
        <v/>
      </c>
      <c r="H896" s="16" t="str">
        <f>IF('Paste Here'!$C890&lt;&gt;"",'Paste Here'!$C890,"")</f>
        <v/>
      </c>
      <c r="I896" s="25" t="str">
        <f>IF('Paste Here'!$D890&lt;&gt;"",'Paste Here'!$D890,"")</f>
        <v/>
      </c>
      <c r="J896" s="27" t="str">
        <f>IF('Paste Here'!$E890&lt;&gt;"",'Paste Here'!$E890,"")</f>
        <v/>
      </c>
      <c r="K896" s="16" t="str">
        <f>IF('Paste Here'!$F890&lt;&gt;"",'Paste Here'!$F890,"")</f>
        <v/>
      </c>
      <c r="L896" s="16" t="str">
        <f>IF('Paste Here'!$G890&lt;&gt;"",'Paste Here'!$G890,"")</f>
        <v/>
      </c>
      <c r="M896" s="18" t="str">
        <f t="shared" si="27"/>
        <v/>
      </c>
    </row>
    <row r="897" spans="1:13" s="17" customFormat="1" x14ac:dyDescent="0.25">
      <c r="A897" s="16" t="str">
        <f>IF(URN&lt;&gt;"",_xll.mdValue("Resident",_xlnm.Database,$F897),"")</f>
        <v/>
      </c>
      <c r="B897" s="16" t="str">
        <f>IF(PersonId&lt;&gt;"",_xll.mdValue("Resident First Name",_xlnm.Database,$A$8),"")</f>
        <v/>
      </c>
      <c r="C897" s="16" t="str">
        <f>IF(PersonId&lt;&gt;"",_xll.mdValue("Resident Last Name",_xlnm.Database,$A$8),"")</f>
        <v/>
      </c>
      <c r="D897" s="16" t="str">
        <f>IF(PersonId&lt;&gt;"",_xll.mdValue("Person Accomodation Code",_xlnm.Database,$A897),"")</f>
        <v/>
      </c>
      <c r="E897" s="28" t="str">
        <f t="shared" si="26"/>
        <v/>
      </c>
      <c r="F897" s="16" t="str">
        <f>IF('Paste Here'!$A891&lt;&gt;"",'Paste Here'!$A891,"")</f>
        <v/>
      </c>
      <c r="G897" s="16" t="str">
        <f>IF('Paste Here'!$B891&lt;&gt;"",'Paste Here'!$B891,"")</f>
        <v/>
      </c>
      <c r="H897" s="16" t="str">
        <f>IF('Paste Here'!$C891&lt;&gt;"",'Paste Here'!$C891,"")</f>
        <v/>
      </c>
      <c r="I897" s="25" t="str">
        <f>IF('Paste Here'!$D891&lt;&gt;"",'Paste Here'!$D891,"")</f>
        <v/>
      </c>
      <c r="J897" s="27" t="str">
        <f>IF('Paste Here'!$E891&lt;&gt;"",'Paste Here'!$E891,"")</f>
        <v/>
      </c>
      <c r="K897" s="16" t="str">
        <f>IF('Paste Here'!$F891&lt;&gt;"",'Paste Here'!$F891,"")</f>
        <v/>
      </c>
      <c r="L897" s="16" t="str">
        <f>IF('Paste Here'!$G891&lt;&gt;"",'Paste Here'!$G891,"")</f>
        <v/>
      </c>
      <c r="M897" s="18" t="str">
        <f t="shared" si="27"/>
        <v/>
      </c>
    </row>
    <row r="898" spans="1:13" s="17" customFormat="1" x14ac:dyDescent="0.25">
      <c r="A898" s="16" t="str">
        <f>IF(URN&lt;&gt;"",_xll.mdValue("Resident",_xlnm.Database,$F898),"")</f>
        <v/>
      </c>
      <c r="B898" s="16" t="str">
        <f>IF(PersonId&lt;&gt;"",_xll.mdValue("Resident First Name",_xlnm.Database,$A$8),"")</f>
        <v/>
      </c>
      <c r="C898" s="16" t="str">
        <f>IF(PersonId&lt;&gt;"",_xll.mdValue("Resident Last Name",_xlnm.Database,$A$8),"")</f>
        <v/>
      </c>
      <c r="D898" s="16" t="str">
        <f>IF(PersonId&lt;&gt;"",_xll.mdValue("Person Accomodation Code",_xlnm.Database,$A898),"")</f>
        <v/>
      </c>
      <c r="E898" s="28" t="str">
        <f t="shared" si="26"/>
        <v/>
      </c>
      <c r="F898" s="16" t="str">
        <f>IF('Paste Here'!$A892&lt;&gt;"",'Paste Here'!$A892,"")</f>
        <v/>
      </c>
      <c r="G898" s="16" t="str">
        <f>IF('Paste Here'!$B892&lt;&gt;"",'Paste Here'!$B892,"")</f>
        <v/>
      </c>
      <c r="H898" s="16" t="str">
        <f>IF('Paste Here'!$C892&lt;&gt;"",'Paste Here'!$C892,"")</f>
        <v/>
      </c>
      <c r="I898" s="25" t="str">
        <f>IF('Paste Here'!$D892&lt;&gt;"",'Paste Here'!$D892,"")</f>
        <v/>
      </c>
      <c r="J898" s="27" t="str">
        <f>IF('Paste Here'!$E892&lt;&gt;"",'Paste Here'!$E892,"")</f>
        <v/>
      </c>
      <c r="K898" s="16" t="str">
        <f>IF('Paste Here'!$F892&lt;&gt;"",'Paste Here'!$F892,"")</f>
        <v/>
      </c>
      <c r="L898" s="16" t="str">
        <f>IF('Paste Here'!$G892&lt;&gt;"",'Paste Here'!$G892,"")</f>
        <v/>
      </c>
      <c r="M898" s="18" t="str">
        <f t="shared" si="27"/>
        <v/>
      </c>
    </row>
    <row r="899" spans="1:13" s="17" customFormat="1" x14ac:dyDescent="0.25">
      <c r="A899" s="16" t="str">
        <f>IF(URN&lt;&gt;"",_xll.mdValue("Resident",_xlnm.Database,$F899),"")</f>
        <v/>
      </c>
      <c r="B899" s="16" t="str">
        <f>IF(PersonId&lt;&gt;"",_xll.mdValue("Resident First Name",_xlnm.Database,$A$8),"")</f>
        <v/>
      </c>
      <c r="C899" s="16" t="str">
        <f>IF(PersonId&lt;&gt;"",_xll.mdValue("Resident Last Name",_xlnm.Database,$A$8),"")</f>
        <v/>
      </c>
      <c r="D899" s="16" t="str">
        <f>IF(PersonId&lt;&gt;"",_xll.mdValue("Person Accomodation Code",_xlnm.Database,$A899),"")</f>
        <v/>
      </c>
      <c r="E899" s="28" t="str">
        <f t="shared" si="26"/>
        <v/>
      </c>
      <c r="F899" s="16" t="str">
        <f>IF('Paste Here'!$A893&lt;&gt;"",'Paste Here'!$A893,"")</f>
        <v/>
      </c>
      <c r="G899" s="16" t="str">
        <f>IF('Paste Here'!$B893&lt;&gt;"",'Paste Here'!$B893,"")</f>
        <v/>
      </c>
      <c r="H899" s="16" t="str">
        <f>IF('Paste Here'!$C893&lt;&gt;"",'Paste Here'!$C893,"")</f>
        <v/>
      </c>
      <c r="I899" s="25" t="str">
        <f>IF('Paste Here'!$D893&lt;&gt;"",'Paste Here'!$D893,"")</f>
        <v/>
      </c>
      <c r="J899" s="27" t="str">
        <f>IF('Paste Here'!$E893&lt;&gt;"",'Paste Here'!$E893,"")</f>
        <v/>
      </c>
      <c r="K899" s="16" t="str">
        <f>IF('Paste Here'!$F893&lt;&gt;"",'Paste Here'!$F893,"")</f>
        <v/>
      </c>
      <c r="L899" s="16" t="str">
        <f>IF('Paste Here'!$G893&lt;&gt;"",'Paste Here'!$G893,"")</f>
        <v/>
      </c>
      <c r="M899" s="18" t="str">
        <f t="shared" si="27"/>
        <v/>
      </c>
    </row>
    <row r="900" spans="1:13" s="17" customFormat="1" x14ac:dyDescent="0.25">
      <c r="A900" s="16" t="str">
        <f>IF(URN&lt;&gt;"",_xll.mdValue("Resident",_xlnm.Database,$F900),"")</f>
        <v/>
      </c>
      <c r="B900" s="16" t="str">
        <f>IF(PersonId&lt;&gt;"",_xll.mdValue("Resident First Name",_xlnm.Database,$A$8),"")</f>
        <v/>
      </c>
      <c r="C900" s="16" t="str">
        <f>IF(PersonId&lt;&gt;"",_xll.mdValue("Resident Last Name",_xlnm.Database,$A$8),"")</f>
        <v/>
      </c>
      <c r="D900" s="16" t="str">
        <f>IF(PersonId&lt;&gt;"",_xll.mdValue("Person Accomodation Code",_xlnm.Database,$A900),"")</f>
        <v/>
      </c>
      <c r="E900" s="28" t="str">
        <f t="shared" si="26"/>
        <v/>
      </c>
      <c r="F900" s="16" t="str">
        <f>IF('Paste Here'!$A894&lt;&gt;"",'Paste Here'!$A894,"")</f>
        <v/>
      </c>
      <c r="G900" s="16" t="str">
        <f>IF('Paste Here'!$B894&lt;&gt;"",'Paste Here'!$B894,"")</f>
        <v/>
      </c>
      <c r="H900" s="16" t="str">
        <f>IF('Paste Here'!$C894&lt;&gt;"",'Paste Here'!$C894,"")</f>
        <v/>
      </c>
      <c r="I900" s="25" t="str">
        <f>IF('Paste Here'!$D894&lt;&gt;"",'Paste Here'!$D894,"")</f>
        <v/>
      </c>
      <c r="J900" s="27" t="str">
        <f>IF('Paste Here'!$E894&lt;&gt;"",'Paste Here'!$E894,"")</f>
        <v/>
      </c>
      <c r="K900" s="16" t="str">
        <f>IF('Paste Here'!$F894&lt;&gt;"",'Paste Here'!$F894,"")</f>
        <v/>
      </c>
      <c r="L900" s="16" t="str">
        <f>IF('Paste Here'!$G894&lt;&gt;"",'Paste Here'!$G894,"")</f>
        <v/>
      </c>
      <c r="M900" s="18" t="str">
        <f t="shared" si="27"/>
        <v/>
      </c>
    </row>
    <row r="901" spans="1:13" s="17" customFormat="1" x14ac:dyDescent="0.25">
      <c r="A901" s="16" t="str">
        <f>IF(URN&lt;&gt;"",_xll.mdValue("Resident",_xlnm.Database,$F901),"")</f>
        <v/>
      </c>
      <c r="B901" s="16" t="str">
        <f>IF(PersonId&lt;&gt;"",_xll.mdValue("Resident First Name",_xlnm.Database,$A$8),"")</f>
        <v/>
      </c>
      <c r="C901" s="16" t="str">
        <f>IF(PersonId&lt;&gt;"",_xll.mdValue("Resident Last Name",_xlnm.Database,$A$8),"")</f>
        <v/>
      </c>
      <c r="D901" s="16" t="str">
        <f>IF(PersonId&lt;&gt;"",_xll.mdValue("Person Accomodation Code",_xlnm.Database,$A901),"")</f>
        <v/>
      </c>
      <c r="E901" s="28" t="str">
        <f t="shared" si="26"/>
        <v/>
      </c>
      <c r="F901" s="16" t="str">
        <f>IF('Paste Here'!$A895&lt;&gt;"",'Paste Here'!$A895,"")</f>
        <v/>
      </c>
      <c r="G901" s="16" t="str">
        <f>IF('Paste Here'!$B895&lt;&gt;"",'Paste Here'!$B895,"")</f>
        <v/>
      </c>
      <c r="H901" s="16" t="str">
        <f>IF('Paste Here'!$C895&lt;&gt;"",'Paste Here'!$C895,"")</f>
        <v/>
      </c>
      <c r="I901" s="25" t="str">
        <f>IF('Paste Here'!$D895&lt;&gt;"",'Paste Here'!$D895,"")</f>
        <v/>
      </c>
      <c r="J901" s="27" t="str">
        <f>IF('Paste Here'!$E895&lt;&gt;"",'Paste Here'!$E895,"")</f>
        <v/>
      </c>
      <c r="K901" s="16" t="str">
        <f>IF('Paste Here'!$F895&lt;&gt;"",'Paste Here'!$F895,"")</f>
        <v/>
      </c>
      <c r="L901" s="16" t="str">
        <f>IF('Paste Here'!$G895&lt;&gt;"",'Paste Here'!$G895,"")</f>
        <v/>
      </c>
      <c r="M901" s="18" t="str">
        <f t="shared" si="27"/>
        <v/>
      </c>
    </row>
    <row r="902" spans="1:13" s="17" customFormat="1" x14ac:dyDescent="0.25">
      <c r="A902" s="16" t="str">
        <f>IF(URN&lt;&gt;"",_xll.mdValue("Resident",_xlnm.Database,$F902),"")</f>
        <v/>
      </c>
      <c r="B902" s="16" t="str">
        <f>IF(PersonId&lt;&gt;"",_xll.mdValue("Resident First Name",_xlnm.Database,$A$8),"")</f>
        <v/>
      </c>
      <c r="C902" s="16" t="str">
        <f>IF(PersonId&lt;&gt;"",_xll.mdValue("Resident Last Name",_xlnm.Database,$A$8),"")</f>
        <v/>
      </c>
      <c r="D902" s="16" t="str">
        <f>IF(PersonId&lt;&gt;"",_xll.mdValue("Person Accomodation Code",_xlnm.Database,$A902),"")</f>
        <v/>
      </c>
      <c r="E902" s="28" t="str">
        <f t="shared" si="26"/>
        <v/>
      </c>
      <c r="F902" s="16" t="str">
        <f>IF('Paste Here'!$A896&lt;&gt;"",'Paste Here'!$A896,"")</f>
        <v/>
      </c>
      <c r="G902" s="16" t="str">
        <f>IF('Paste Here'!$B896&lt;&gt;"",'Paste Here'!$B896,"")</f>
        <v/>
      </c>
      <c r="H902" s="16" t="str">
        <f>IF('Paste Here'!$C896&lt;&gt;"",'Paste Here'!$C896,"")</f>
        <v/>
      </c>
      <c r="I902" s="25" t="str">
        <f>IF('Paste Here'!$D896&lt;&gt;"",'Paste Here'!$D896,"")</f>
        <v/>
      </c>
      <c r="J902" s="27" t="str">
        <f>IF('Paste Here'!$E896&lt;&gt;"",'Paste Here'!$E896,"")</f>
        <v/>
      </c>
      <c r="K902" s="16" t="str">
        <f>IF('Paste Here'!$F896&lt;&gt;"",'Paste Here'!$F896,"")</f>
        <v/>
      </c>
      <c r="L902" s="16" t="str">
        <f>IF('Paste Here'!$G896&lt;&gt;"",'Paste Here'!$G896,"")</f>
        <v/>
      </c>
      <c r="M902" s="18" t="str">
        <f t="shared" si="27"/>
        <v/>
      </c>
    </row>
    <row r="903" spans="1:13" s="17" customFormat="1" x14ac:dyDescent="0.25">
      <c r="A903" s="16" t="str">
        <f>IF(URN&lt;&gt;"",_xll.mdValue("Resident",_xlnm.Database,$F903),"")</f>
        <v/>
      </c>
      <c r="B903" s="16" t="str">
        <f>IF(PersonId&lt;&gt;"",_xll.mdValue("Resident First Name",_xlnm.Database,$A$8),"")</f>
        <v/>
      </c>
      <c r="C903" s="16" t="str">
        <f>IF(PersonId&lt;&gt;"",_xll.mdValue("Resident Last Name",_xlnm.Database,$A$8),"")</f>
        <v/>
      </c>
      <c r="D903" s="16" t="str">
        <f>IF(PersonId&lt;&gt;"",_xll.mdValue("Person Accomodation Code",_xlnm.Database,$A903),"")</f>
        <v/>
      </c>
      <c r="E903" s="28" t="str">
        <f t="shared" si="26"/>
        <v/>
      </c>
      <c r="F903" s="16" t="str">
        <f>IF('Paste Here'!$A897&lt;&gt;"",'Paste Here'!$A897,"")</f>
        <v/>
      </c>
      <c r="G903" s="16" t="str">
        <f>IF('Paste Here'!$B897&lt;&gt;"",'Paste Here'!$B897,"")</f>
        <v/>
      </c>
      <c r="H903" s="16" t="str">
        <f>IF('Paste Here'!$C897&lt;&gt;"",'Paste Here'!$C897,"")</f>
        <v/>
      </c>
      <c r="I903" s="25" t="str">
        <f>IF('Paste Here'!$D897&lt;&gt;"",'Paste Here'!$D897,"")</f>
        <v/>
      </c>
      <c r="J903" s="27" t="str">
        <f>IF('Paste Here'!$E897&lt;&gt;"",'Paste Here'!$E897,"")</f>
        <v/>
      </c>
      <c r="K903" s="16" t="str">
        <f>IF('Paste Here'!$F897&lt;&gt;"",'Paste Here'!$F897,"")</f>
        <v/>
      </c>
      <c r="L903" s="16" t="str">
        <f>IF('Paste Here'!$G897&lt;&gt;"",'Paste Here'!$G897,"")</f>
        <v/>
      </c>
      <c r="M903" s="18" t="str">
        <f t="shared" si="27"/>
        <v/>
      </c>
    </row>
    <row r="904" spans="1:13" s="17" customFormat="1" x14ac:dyDescent="0.25">
      <c r="A904" s="16" t="str">
        <f>IF(URN&lt;&gt;"",_xll.mdValue("Resident",_xlnm.Database,$F904),"")</f>
        <v/>
      </c>
      <c r="B904" s="16" t="str">
        <f>IF(PersonId&lt;&gt;"",_xll.mdValue("Resident First Name",_xlnm.Database,$A$8),"")</f>
        <v/>
      </c>
      <c r="C904" s="16" t="str">
        <f>IF(PersonId&lt;&gt;"",_xll.mdValue("Resident Last Name",_xlnm.Database,$A$8),"")</f>
        <v/>
      </c>
      <c r="D904" s="16" t="str">
        <f>IF(PersonId&lt;&gt;"",_xll.mdValue("Person Accomodation Code",_xlnm.Database,$A904),"")</f>
        <v/>
      </c>
      <c r="E904" s="28" t="str">
        <f t="shared" ref="E904:E967" si="28">IF(ClientCare_Accommodation&lt;&gt;"",IF(ClientCare_Accommodation&lt;&gt;AccommodationCode,"Missing Accommodation",""),"")</f>
        <v/>
      </c>
      <c r="F904" s="16" t="str">
        <f>IF('Paste Here'!$A898&lt;&gt;"",'Paste Here'!$A898,"")</f>
        <v/>
      </c>
      <c r="G904" s="16" t="str">
        <f>IF('Paste Here'!$B898&lt;&gt;"",'Paste Here'!$B898,"")</f>
        <v/>
      </c>
      <c r="H904" s="16" t="str">
        <f>IF('Paste Here'!$C898&lt;&gt;"",'Paste Here'!$C898,"")</f>
        <v/>
      </c>
      <c r="I904" s="25" t="str">
        <f>IF('Paste Here'!$D898&lt;&gt;"",'Paste Here'!$D898,"")</f>
        <v/>
      </c>
      <c r="J904" s="27" t="str">
        <f>IF('Paste Here'!$E898&lt;&gt;"",'Paste Here'!$E898,"")</f>
        <v/>
      </c>
      <c r="K904" s="16" t="str">
        <f>IF('Paste Here'!$F898&lt;&gt;"",'Paste Here'!$F898,"")</f>
        <v/>
      </c>
      <c r="L904" s="16" t="str">
        <f>IF('Paste Here'!$G898&lt;&gt;"",'Paste Here'!$G898,"")</f>
        <v/>
      </c>
      <c r="M904" s="18" t="str">
        <f t="shared" ref="M904:M967" si="29">IF(PersonId&lt;&gt;"","Normal","")</f>
        <v/>
      </c>
    </row>
    <row r="905" spans="1:13" s="17" customFormat="1" x14ac:dyDescent="0.25">
      <c r="A905" s="16" t="str">
        <f>IF(URN&lt;&gt;"",_xll.mdValue("Resident",_xlnm.Database,$F905),"")</f>
        <v/>
      </c>
      <c r="B905" s="16" t="str">
        <f>IF(PersonId&lt;&gt;"",_xll.mdValue("Resident First Name",_xlnm.Database,$A$8),"")</f>
        <v/>
      </c>
      <c r="C905" s="16" t="str">
        <f>IF(PersonId&lt;&gt;"",_xll.mdValue("Resident Last Name",_xlnm.Database,$A$8),"")</f>
        <v/>
      </c>
      <c r="D905" s="16" t="str">
        <f>IF(PersonId&lt;&gt;"",_xll.mdValue("Person Accomodation Code",_xlnm.Database,$A905),"")</f>
        <v/>
      </c>
      <c r="E905" s="28" t="str">
        <f t="shared" si="28"/>
        <v/>
      </c>
      <c r="F905" s="16" t="str">
        <f>IF('Paste Here'!$A899&lt;&gt;"",'Paste Here'!$A899,"")</f>
        <v/>
      </c>
      <c r="G905" s="16" t="str">
        <f>IF('Paste Here'!$B899&lt;&gt;"",'Paste Here'!$B899,"")</f>
        <v/>
      </c>
      <c r="H905" s="16" t="str">
        <f>IF('Paste Here'!$C899&lt;&gt;"",'Paste Here'!$C899,"")</f>
        <v/>
      </c>
      <c r="I905" s="25" t="str">
        <f>IF('Paste Here'!$D899&lt;&gt;"",'Paste Here'!$D899,"")</f>
        <v/>
      </c>
      <c r="J905" s="27" t="str">
        <f>IF('Paste Here'!$E899&lt;&gt;"",'Paste Here'!$E899,"")</f>
        <v/>
      </c>
      <c r="K905" s="16" t="str">
        <f>IF('Paste Here'!$F899&lt;&gt;"",'Paste Here'!$F899,"")</f>
        <v/>
      </c>
      <c r="L905" s="16" t="str">
        <f>IF('Paste Here'!$G899&lt;&gt;"",'Paste Here'!$G899,"")</f>
        <v/>
      </c>
      <c r="M905" s="18" t="str">
        <f t="shared" si="29"/>
        <v/>
      </c>
    </row>
    <row r="906" spans="1:13" s="17" customFormat="1" x14ac:dyDescent="0.25">
      <c r="A906" s="16" t="str">
        <f>IF(URN&lt;&gt;"",_xll.mdValue("Resident",_xlnm.Database,$F906),"")</f>
        <v/>
      </c>
      <c r="B906" s="16" t="str">
        <f>IF(PersonId&lt;&gt;"",_xll.mdValue("Resident First Name",_xlnm.Database,$A$8),"")</f>
        <v/>
      </c>
      <c r="C906" s="16" t="str">
        <f>IF(PersonId&lt;&gt;"",_xll.mdValue("Resident Last Name",_xlnm.Database,$A$8),"")</f>
        <v/>
      </c>
      <c r="D906" s="16" t="str">
        <f>IF(PersonId&lt;&gt;"",_xll.mdValue("Person Accomodation Code",_xlnm.Database,$A906),"")</f>
        <v/>
      </c>
      <c r="E906" s="28" t="str">
        <f t="shared" si="28"/>
        <v/>
      </c>
      <c r="F906" s="16" t="str">
        <f>IF('Paste Here'!$A900&lt;&gt;"",'Paste Here'!$A900,"")</f>
        <v/>
      </c>
      <c r="G906" s="16" t="str">
        <f>IF('Paste Here'!$B900&lt;&gt;"",'Paste Here'!$B900,"")</f>
        <v/>
      </c>
      <c r="H906" s="16" t="str">
        <f>IF('Paste Here'!$C900&lt;&gt;"",'Paste Here'!$C900,"")</f>
        <v/>
      </c>
      <c r="I906" s="25" t="str">
        <f>IF('Paste Here'!$D900&lt;&gt;"",'Paste Here'!$D900,"")</f>
        <v/>
      </c>
      <c r="J906" s="27" t="str">
        <f>IF('Paste Here'!$E900&lt;&gt;"",'Paste Here'!$E900,"")</f>
        <v/>
      </c>
      <c r="K906" s="16" t="str">
        <f>IF('Paste Here'!$F900&lt;&gt;"",'Paste Here'!$F900,"")</f>
        <v/>
      </c>
      <c r="L906" s="16" t="str">
        <f>IF('Paste Here'!$G900&lt;&gt;"",'Paste Here'!$G900,"")</f>
        <v/>
      </c>
      <c r="M906" s="18" t="str">
        <f t="shared" si="29"/>
        <v/>
      </c>
    </row>
    <row r="907" spans="1:13" s="17" customFormat="1" x14ac:dyDescent="0.25">
      <c r="A907" s="16" t="str">
        <f>IF(URN&lt;&gt;"",_xll.mdValue("Resident",_xlnm.Database,$F907),"")</f>
        <v/>
      </c>
      <c r="B907" s="16" t="str">
        <f>IF(PersonId&lt;&gt;"",_xll.mdValue("Resident First Name",_xlnm.Database,$A$8),"")</f>
        <v/>
      </c>
      <c r="C907" s="16" t="str">
        <f>IF(PersonId&lt;&gt;"",_xll.mdValue("Resident Last Name",_xlnm.Database,$A$8),"")</f>
        <v/>
      </c>
      <c r="D907" s="16" t="str">
        <f>IF(PersonId&lt;&gt;"",_xll.mdValue("Person Accomodation Code",_xlnm.Database,$A907),"")</f>
        <v/>
      </c>
      <c r="E907" s="28" t="str">
        <f t="shared" si="28"/>
        <v/>
      </c>
      <c r="F907" s="16" t="str">
        <f>IF('Paste Here'!$A901&lt;&gt;"",'Paste Here'!$A901,"")</f>
        <v/>
      </c>
      <c r="G907" s="16" t="str">
        <f>IF('Paste Here'!$B901&lt;&gt;"",'Paste Here'!$B901,"")</f>
        <v/>
      </c>
      <c r="H907" s="16" t="str">
        <f>IF('Paste Here'!$C901&lt;&gt;"",'Paste Here'!$C901,"")</f>
        <v/>
      </c>
      <c r="I907" s="25" t="str">
        <f>IF('Paste Here'!$D901&lt;&gt;"",'Paste Here'!$D901,"")</f>
        <v/>
      </c>
      <c r="J907" s="27" t="str">
        <f>IF('Paste Here'!$E901&lt;&gt;"",'Paste Here'!$E901,"")</f>
        <v/>
      </c>
      <c r="K907" s="16" t="str">
        <f>IF('Paste Here'!$F901&lt;&gt;"",'Paste Here'!$F901,"")</f>
        <v/>
      </c>
      <c r="L907" s="16" t="str">
        <f>IF('Paste Here'!$G901&lt;&gt;"",'Paste Here'!$G901,"")</f>
        <v/>
      </c>
      <c r="M907" s="18" t="str">
        <f t="shared" si="29"/>
        <v/>
      </c>
    </row>
    <row r="908" spans="1:13" s="17" customFormat="1" x14ac:dyDescent="0.25">
      <c r="A908" s="16" t="str">
        <f>IF(URN&lt;&gt;"",_xll.mdValue("Resident",_xlnm.Database,$F908),"")</f>
        <v/>
      </c>
      <c r="B908" s="16" t="str">
        <f>IF(PersonId&lt;&gt;"",_xll.mdValue("Resident First Name",_xlnm.Database,$A$8),"")</f>
        <v/>
      </c>
      <c r="C908" s="16" t="str">
        <f>IF(PersonId&lt;&gt;"",_xll.mdValue("Resident Last Name",_xlnm.Database,$A$8),"")</f>
        <v/>
      </c>
      <c r="D908" s="16" t="str">
        <f>IF(PersonId&lt;&gt;"",_xll.mdValue("Person Accomodation Code",_xlnm.Database,$A908),"")</f>
        <v/>
      </c>
      <c r="E908" s="28" t="str">
        <f t="shared" si="28"/>
        <v/>
      </c>
      <c r="F908" s="16" t="str">
        <f>IF('Paste Here'!$A902&lt;&gt;"",'Paste Here'!$A902,"")</f>
        <v/>
      </c>
      <c r="G908" s="16" t="str">
        <f>IF('Paste Here'!$B902&lt;&gt;"",'Paste Here'!$B902,"")</f>
        <v/>
      </c>
      <c r="H908" s="16" t="str">
        <f>IF('Paste Here'!$C902&lt;&gt;"",'Paste Here'!$C902,"")</f>
        <v/>
      </c>
      <c r="I908" s="25" t="str">
        <f>IF('Paste Here'!$D902&lt;&gt;"",'Paste Here'!$D902,"")</f>
        <v/>
      </c>
      <c r="J908" s="27" t="str">
        <f>IF('Paste Here'!$E902&lt;&gt;"",'Paste Here'!$E902,"")</f>
        <v/>
      </c>
      <c r="K908" s="16" t="str">
        <f>IF('Paste Here'!$F902&lt;&gt;"",'Paste Here'!$F902,"")</f>
        <v/>
      </c>
      <c r="L908" s="16" t="str">
        <f>IF('Paste Here'!$G902&lt;&gt;"",'Paste Here'!$G902,"")</f>
        <v/>
      </c>
      <c r="M908" s="18" t="str">
        <f t="shared" si="29"/>
        <v/>
      </c>
    </row>
    <row r="909" spans="1:13" s="17" customFormat="1" x14ac:dyDescent="0.25">
      <c r="A909" s="16" t="str">
        <f>IF(URN&lt;&gt;"",_xll.mdValue("Resident",_xlnm.Database,$F909),"")</f>
        <v/>
      </c>
      <c r="B909" s="16" t="str">
        <f>IF(PersonId&lt;&gt;"",_xll.mdValue("Resident First Name",_xlnm.Database,$A$8),"")</f>
        <v/>
      </c>
      <c r="C909" s="16" t="str">
        <f>IF(PersonId&lt;&gt;"",_xll.mdValue("Resident Last Name",_xlnm.Database,$A$8),"")</f>
        <v/>
      </c>
      <c r="D909" s="16" t="str">
        <f>IF(PersonId&lt;&gt;"",_xll.mdValue("Person Accomodation Code",_xlnm.Database,$A909),"")</f>
        <v/>
      </c>
      <c r="E909" s="28" t="str">
        <f t="shared" si="28"/>
        <v/>
      </c>
      <c r="F909" s="16" t="str">
        <f>IF('Paste Here'!$A903&lt;&gt;"",'Paste Here'!$A903,"")</f>
        <v/>
      </c>
      <c r="G909" s="16" t="str">
        <f>IF('Paste Here'!$B903&lt;&gt;"",'Paste Here'!$B903,"")</f>
        <v/>
      </c>
      <c r="H909" s="16" t="str">
        <f>IF('Paste Here'!$C903&lt;&gt;"",'Paste Here'!$C903,"")</f>
        <v/>
      </c>
      <c r="I909" s="25" t="str">
        <f>IF('Paste Here'!$D903&lt;&gt;"",'Paste Here'!$D903,"")</f>
        <v/>
      </c>
      <c r="J909" s="27" t="str">
        <f>IF('Paste Here'!$E903&lt;&gt;"",'Paste Here'!$E903,"")</f>
        <v/>
      </c>
      <c r="K909" s="16" t="str">
        <f>IF('Paste Here'!$F903&lt;&gt;"",'Paste Here'!$F903,"")</f>
        <v/>
      </c>
      <c r="L909" s="16" t="str">
        <f>IF('Paste Here'!$G903&lt;&gt;"",'Paste Here'!$G903,"")</f>
        <v/>
      </c>
      <c r="M909" s="18" t="str">
        <f t="shared" si="29"/>
        <v/>
      </c>
    </row>
    <row r="910" spans="1:13" s="17" customFormat="1" x14ac:dyDescent="0.25">
      <c r="A910" s="16" t="str">
        <f>IF(URN&lt;&gt;"",_xll.mdValue("Resident",_xlnm.Database,$F910),"")</f>
        <v/>
      </c>
      <c r="B910" s="16" t="str">
        <f>IF(PersonId&lt;&gt;"",_xll.mdValue("Resident First Name",_xlnm.Database,$A$8),"")</f>
        <v/>
      </c>
      <c r="C910" s="16" t="str">
        <f>IF(PersonId&lt;&gt;"",_xll.mdValue("Resident Last Name",_xlnm.Database,$A$8),"")</f>
        <v/>
      </c>
      <c r="D910" s="16" t="str">
        <f>IF(PersonId&lt;&gt;"",_xll.mdValue("Person Accomodation Code",_xlnm.Database,$A910),"")</f>
        <v/>
      </c>
      <c r="E910" s="28" t="str">
        <f t="shared" si="28"/>
        <v/>
      </c>
      <c r="F910" s="16" t="str">
        <f>IF('Paste Here'!$A904&lt;&gt;"",'Paste Here'!$A904,"")</f>
        <v/>
      </c>
      <c r="G910" s="16" t="str">
        <f>IF('Paste Here'!$B904&lt;&gt;"",'Paste Here'!$B904,"")</f>
        <v/>
      </c>
      <c r="H910" s="16" t="str">
        <f>IF('Paste Here'!$C904&lt;&gt;"",'Paste Here'!$C904,"")</f>
        <v/>
      </c>
      <c r="I910" s="25" t="str">
        <f>IF('Paste Here'!$D904&lt;&gt;"",'Paste Here'!$D904,"")</f>
        <v/>
      </c>
      <c r="J910" s="27" t="str">
        <f>IF('Paste Here'!$E904&lt;&gt;"",'Paste Here'!$E904,"")</f>
        <v/>
      </c>
      <c r="K910" s="16" t="str">
        <f>IF('Paste Here'!$F904&lt;&gt;"",'Paste Here'!$F904,"")</f>
        <v/>
      </c>
      <c r="L910" s="16" t="str">
        <f>IF('Paste Here'!$G904&lt;&gt;"",'Paste Here'!$G904,"")</f>
        <v/>
      </c>
      <c r="M910" s="18" t="str">
        <f t="shared" si="29"/>
        <v/>
      </c>
    </row>
    <row r="911" spans="1:13" s="17" customFormat="1" x14ac:dyDescent="0.25">
      <c r="A911" s="16" t="str">
        <f>IF(URN&lt;&gt;"",_xll.mdValue("Resident",_xlnm.Database,$F911),"")</f>
        <v/>
      </c>
      <c r="B911" s="16" t="str">
        <f>IF(PersonId&lt;&gt;"",_xll.mdValue("Resident First Name",_xlnm.Database,$A$8),"")</f>
        <v/>
      </c>
      <c r="C911" s="16" t="str">
        <f>IF(PersonId&lt;&gt;"",_xll.mdValue("Resident Last Name",_xlnm.Database,$A$8),"")</f>
        <v/>
      </c>
      <c r="D911" s="16" t="str">
        <f>IF(PersonId&lt;&gt;"",_xll.mdValue("Person Accomodation Code",_xlnm.Database,$A911),"")</f>
        <v/>
      </c>
      <c r="E911" s="28" t="str">
        <f t="shared" si="28"/>
        <v/>
      </c>
      <c r="F911" s="16" t="str">
        <f>IF('Paste Here'!$A905&lt;&gt;"",'Paste Here'!$A905,"")</f>
        <v/>
      </c>
      <c r="G911" s="16" t="str">
        <f>IF('Paste Here'!$B905&lt;&gt;"",'Paste Here'!$B905,"")</f>
        <v/>
      </c>
      <c r="H911" s="16" t="str">
        <f>IF('Paste Here'!$C905&lt;&gt;"",'Paste Here'!$C905,"")</f>
        <v/>
      </c>
      <c r="I911" s="25" t="str">
        <f>IF('Paste Here'!$D905&lt;&gt;"",'Paste Here'!$D905,"")</f>
        <v/>
      </c>
      <c r="J911" s="27" t="str">
        <f>IF('Paste Here'!$E905&lt;&gt;"",'Paste Here'!$E905,"")</f>
        <v/>
      </c>
      <c r="K911" s="16" t="str">
        <f>IF('Paste Here'!$F905&lt;&gt;"",'Paste Here'!$F905,"")</f>
        <v/>
      </c>
      <c r="L911" s="16" t="str">
        <f>IF('Paste Here'!$G905&lt;&gt;"",'Paste Here'!$G905,"")</f>
        <v/>
      </c>
      <c r="M911" s="18" t="str">
        <f t="shared" si="29"/>
        <v/>
      </c>
    </row>
    <row r="912" spans="1:13" s="17" customFormat="1" x14ac:dyDescent="0.25">
      <c r="A912" s="16" t="str">
        <f>IF(URN&lt;&gt;"",_xll.mdValue("Resident",_xlnm.Database,$F912),"")</f>
        <v/>
      </c>
      <c r="B912" s="16" t="str">
        <f>IF(PersonId&lt;&gt;"",_xll.mdValue("Resident First Name",_xlnm.Database,$A$8),"")</f>
        <v/>
      </c>
      <c r="C912" s="16" t="str">
        <f>IF(PersonId&lt;&gt;"",_xll.mdValue("Resident Last Name",_xlnm.Database,$A$8),"")</f>
        <v/>
      </c>
      <c r="D912" s="16" t="str">
        <f>IF(PersonId&lt;&gt;"",_xll.mdValue("Person Accomodation Code",_xlnm.Database,$A912),"")</f>
        <v/>
      </c>
      <c r="E912" s="28" t="str">
        <f t="shared" si="28"/>
        <v/>
      </c>
      <c r="F912" s="16" t="str">
        <f>IF('Paste Here'!$A906&lt;&gt;"",'Paste Here'!$A906,"")</f>
        <v/>
      </c>
      <c r="G912" s="16" t="str">
        <f>IF('Paste Here'!$B906&lt;&gt;"",'Paste Here'!$B906,"")</f>
        <v/>
      </c>
      <c r="H912" s="16" t="str">
        <f>IF('Paste Here'!$C906&lt;&gt;"",'Paste Here'!$C906,"")</f>
        <v/>
      </c>
      <c r="I912" s="25" t="str">
        <f>IF('Paste Here'!$D906&lt;&gt;"",'Paste Here'!$D906,"")</f>
        <v/>
      </c>
      <c r="J912" s="27" t="str">
        <f>IF('Paste Here'!$E906&lt;&gt;"",'Paste Here'!$E906,"")</f>
        <v/>
      </c>
      <c r="K912" s="16" t="str">
        <f>IF('Paste Here'!$F906&lt;&gt;"",'Paste Here'!$F906,"")</f>
        <v/>
      </c>
      <c r="L912" s="16" t="str">
        <f>IF('Paste Here'!$G906&lt;&gt;"",'Paste Here'!$G906,"")</f>
        <v/>
      </c>
      <c r="M912" s="18" t="str">
        <f t="shared" si="29"/>
        <v/>
      </c>
    </row>
    <row r="913" spans="1:13" s="17" customFormat="1" x14ac:dyDescent="0.25">
      <c r="A913" s="16" t="str">
        <f>IF(URN&lt;&gt;"",_xll.mdValue("Resident",_xlnm.Database,$F913),"")</f>
        <v/>
      </c>
      <c r="B913" s="16" t="str">
        <f>IF(PersonId&lt;&gt;"",_xll.mdValue("Resident First Name",_xlnm.Database,$A$8),"")</f>
        <v/>
      </c>
      <c r="C913" s="16" t="str">
        <f>IF(PersonId&lt;&gt;"",_xll.mdValue("Resident Last Name",_xlnm.Database,$A$8),"")</f>
        <v/>
      </c>
      <c r="D913" s="16" t="str">
        <f>IF(PersonId&lt;&gt;"",_xll.mdValue("Person Accomodation Code",_xlnm.Database,$A913),"")</f>
        <v/>
      </c>
      <c r="E913" s="28" t="str">
        <f t="shared" si="28"/>
        <v/>
      </c>
      <c r="F913" s="16" t="str">
        <f>IF('Paste Here'!$A907&lt;&gt;"",'Paste Here'!$A907,"")</f>
        <v/>
      </c>
      <c r="G913" s="16" t="str">
        <f>IF('Paste Here'!$B907&lt;&gt;"",'Paste Here'!$B907,"")</f>
        <v/>
      </c>
      <c r="H913" s="16" t="str">
        <f>IF('Paste Here'!$C907&lt;&gt;"",'Paste Here'!$C907,"")</f>
        <v/>
      </c>
      <c r="I913" s="25" t="str">
        <f>IF('Paste Here'!$D907&lt;&gt;"",'Paste Here'!$D907,"")</f>
        <v/>
      </c>
      <c r="J913" s="27" t="str">
        <f>IF('Paste Here'!$E907&lt;&gt;"",'Paste Here'!$E907,"")</f>
        <v/>
      </c>
      <c r="K913" s="16" t="str">
        <f>IF('Paste Here'!$F907&lt;&gt;"",'Paste Here'!$F907,"")</f>
        <v/>
      </c>
      <c r="L913" s="16" t="str">
        <f>IF('Paste Here'!$G907&lt;&gt;"",'Paste Here'!$G907,"")</f>
        <v/>
      </c>
      <c r="M913" s="18" t="str">
        <f t="shared" si="29"/>
        <v/>
      </c>
    </row>
    <row r="914" spans="1:13" s="17" customFormat="1" x14ac:dyDescent="0.25">
      <c r="A914" s="16" t="str">
        <f>IF(URN&lt;&gt;"",_xll.mdValue("Resident",_xlnm.Database,$F914),"")</f>
        <v/>
      </c>
      <c r="B914" s="16" t="str">
        <f>IF(PersonId&lt;&gt;"",_xll.mdValue("Resident First Name",_xlnm.Database,$A$8),"")</f>
        <v/>
      </c>
      <c r="C914" s="16" t="str">
        <f>IF(PersonId&lt;&gt;"",_xll.mdValue("Resident Last Name",_xlnm.Database,$A$8),"")</f>
        <v/>
      </c>
      <c r="D914" s="16" t="str">
        <f>IF(PersonId&lt;&gt;"",_xll.mdValue("Person Accomodation Code",_xlnm.Database,$A914),"")</f>
        <v/>
      </c>
      <c r="E914" s="28" t="str">
        <f t="shared" si="28"/>
        <v/>
      </c>
      <c r="F914" s="16" t="str">
        <f>IF('Paste Here'!$A908&lt;&gt;"",'Paste Here'!$A908,"")</f>
        <v/>
      </c>
      <c r="G914" s="16" t="str">
        <f>IF('Paste Here'!$B908&lt;&gt;"",'Paste Here'!$B908,"")</f>
        <v/>
      </c>
      <c r="H914" s="16" t="str">
        <f>IF('Paste Here'!$C908&lt;&gt;"",'Paste Here'!$C908,"")</f>
        <v/>
      </c>
      <c r="I914" s="25" t="str">
        <f>IF('Paste Here'!$D908&lt;&gt;"",'Paste Here'!$D908,"")</f>
        <v/>
      </c>
      <c r="J914" s="27" t="str">
        <f>IF('Paste Here'!$E908&lt;&gt;"",'Paste Here'!$E908,"")</f>
        <v/>
      </c>
      <c r="K914" s="16" t="str">
        <f>IF('Paste Here'!$F908&lt;&gt;"",'Paste Here'!$F908,"")</f>
        <v/>
      </c>
      <c r="L914" s="16" t="str">
        <f>IF('Paste Here'!$G908&lt;&gt;"",'Paste Here'!$G908,"")</f>
        <v/>
      </c>
      <c r="M914" s="18" t="str">
        <f t="shared" si="29"/>
        <v/>
      </c>
    </row>
    <row r="915" spans="1:13" s="17" customFormat="1" x14ac:dyDescent="0.25">
      <c r="A915" s="16" t="str">
        <f>IF(URN&lt;&gt;"",_xll.mdValue("Resident",_xlnm.Database,$F915),"")</f>
        <v/>
      </c>
      <c r="B915" s="16" t="str">
        <f>IF(PersonId&lt;&gt;"",_xll.mdValue("Resident First Name",_xlnm.Database,$A$8),"")</f>
        <v/>
      </c>
      <c r="C915" s="16" t="str">
        <f>IF(PersonId&lt;&gt;"",_xll.mdValue("Resident Last Name",_xlnm.Database,$A$8),"")</f>
        <v/>
      </c>
      <c r="D915" s="16" t="str">
        <f>IF(PersonId&lt;&gt;"",_xll.mdValue("Person Accomodation Code",_xlnm.Database,$A915),"")</f>
        <v/>
      </c>
      <c r="E915" s="28" t="str">
        <f t="shared" si="28"/>
        <v/>
      </c>
      <c r="F915" s="16" t="str">
        <f>IF('Paste Here'!$A909&lt;&gt;"",'Paste Here'!$A909,"")</f>
        <v/>
      </c>
      <c r="G915" s="16" t="str">
        <f>IF('Paste Here'!$B909&lt;&gt;"",'Paste Here'!$B909,"")</f>
        <v/>
      </c>
      <c r="H915" s="16" t="str">
        <f>IF('Paste Here'!$C909&lt;&gt;"",'Paste Here'!$C909,"")</f>
        <v/>
      </c>
      <c r="I915" s="25" t="str">
        <f>IF('Paste Here'!$D909&lt;&gt;"",'Paste Here'!$D909,"")</f>
        <v/>
      </c>
      <c r="J915" s="27" t="str">
        <f>IF('Paste Here'!$E909&lt;&gt;"",'Paste Here'!$E909,"")</f>
        <v/>
      </c>
      <c r="K915" s="16" t="str">
        <f>IF('Paste Here'!$F909&lt;&gt;"",'Paste Here'!$F909,"")</f>
        <v/>
      </c>
      <c r="L915" s="16" t="str">
        <f>IF('Paste Here'!$G909&lt;&gt;"",'Paste Here'!$G909,"")</f>
        <v/>
      </c>
      <c r="M915" s="18" t="str">
        <f t="shared" si="29"/>
        <v/>
      </c>
    </row>
    <row r="916" spans="1:13" s="17" customFormat="1" x14ac:dyDescent="0.25">
      <c r="A916" s="16" t="str">
        <f>IF(URN&lt;&gt;"",_xll.mdValue("Resident",_xlnm.Database,$F916),"")</f>
        <v/>
      </c>
      <c r="B916" s="16" t="str">
        <f>IF(PersonId&lt;&gt;"",_xll.mdValue("Resident First Name",_xlnm.Database,$A$8),"")</f>
        <v/>
      </c>
      <c r="C916" s="16" t="str">
        <f>IF(PersonId&lt;&gt;"",_xll.mdValue("Resident Last Name",_xlnm.Database,$A$8),"")</f>
        <v/>
      </c>
      <c r="D916" s="16" t="str">
        <f>IF(PersonId&lt;&gt;"",_xll.mdValue("Person Accomodation Code",_xlnm.Database,$A916),"")</f>
        <v/>
      </c>
      <c r="E916" s="28" t="str">
        <f t="shared" si="28"/>
        <v/>
      </c>
      <c r="F916" s="16" t="str">
        <f>IF('Paste Here'!$A910&lt;&gt;"",'Paste Here'!$A910,"")</f>
        <v/>
      </c>
      <c r="G916" s="16" t="str">
        <f>IF('Paste Here'!$B910&lt;&gt;"",'Paste Here'!$B910,"")</f>
        <v/>
      </c>
      <c r="H916" s="16" t="str">
        <f>IF('Paste Here'!$C910&lt;&gt;"",'Paste Here'!$C910,"")</f>
        <v/>
      </c>
      <c r="I916" s="25" t="str">
        <f>IF('Paste Here'!$D910&lt;&gt;"",'Paste Here'!$D910,"")</f>
        <v/>
      </c>
      <c r="J916" s="27" t="str">
        <f>IF('Paste Here'!$E910&lt;&gt;"",'Paste Here'!$E910,"")</f>
        <v/>
      </c>
      <c r="K916" s="16" t="str">
        <f>IF('Paste Here'!$F910&lt;&gt;"",'Paste Here'!$F910,"")</f>
        <v/>
      </c>
      <c r="L916" s="16" t="str">
        <f>IF('Paste Here'!$G910&lt;&gt;"",'Paste Here'!$G910,"")</f>
        <v/>
      </c>
      <c r="M916" s="18" t="str">
        <f t="shared" si="29"/>
        <v/>
      </c>
    </row>
    <row r="917" spans="1:13" s="17" customFormat="1" x14ac:dyDescent="0.25">
      <c r="A917" s="16" t="str">
        <f>IF(URN&lt;&gt;"",_xll.mdValue("Resident",_xlnm.Database,$F917),"")</f>
        <v/>
      </c>
      <c r="B917" s="16" t="str">
        <f>IF(PersonId&lt;&gt;"",_xll.mdValue("Resident First Name",_xlnm.Database,$A$8),"")</f>
        <v/>
      </c>
      <c r="C917" s="16" t="str">
        <f>IF(PersonId&lt;&gt;"",_xll.mdValue("Resident Last Name",_xlnm.Database,$A$8),"")</f>
        <v/>
      </c>
      <c r="D917" s="16" t="str">
        <f>IF(PersonId&lt;&gt;"",_xll.mdValue("Person Accomodation Code",_xlnm.Database,$A917),"")</f>
        <v/>
      </c>
      <c r="E917" s="28" t="str">
        <f t="shared" si="28"/>
        <v/>
      </c>
      <c r="F917" s="16" t="str">
        <f>IF('Paste Here'!$A911&lt;&gt;"",'Paste Here'!$A911,"")</f>
        <v/>
      </c>
      <c r="G917" s="16" t="str">
        <f>IF('Paste Here'!$B911&lt;&gt;"",'Paste Here'!$B911,"")</f>
        <v/>
      </c>
      <c r="H917" s="16" t="str">
        <f>IF('Paste Here'!$C911&lt;&gt;"",'Paste Here'!$C911,"")</f>
        <v/>
      </c>
      <c r="I917" s="25" t="str">
        <f>IF('Paste Here'!$D911&lt;&gt;"",'Paste Here'!$D911,"")</f>
        <v/>
      </c>
      <c r="J917" s="27" t="str">
        <f>IF('Paste Here'!$E911&lt;&gt;"",'Paste Here'!$E911,"")</f>
        <v/>
      </c>
      <c r="K917" s="16" t="str">
        <f>IF('Paste Here'!$F911&lt;&gt;"",'Paste Here'!$F911,"")</f>
        <v/>
      </c>
      <c r="L917" s="16" t="str">
        <f>IF('Paste Here'!$G911&lt;&gt;"",'Paste Here'!$G911,"")</f>
        <v/>
      </c>
      <c r="M917" s="18" t="str">
        <f t="shared" si="29"/>
        <v/>
      </c>
    </row>
    <row r="918" spans="1:13" s="17" customFormat="1" x14ac:dyDescent="0.25">
      <c r="A918" s="16" t="str">
        <f>IF(URN&lt;&gt;"",_xll.mdValue("Resident",_xlnm.Database,$F918),"")</f>
        <v/>
      </c>
      <c r="B918" s="16" t="str">
        <f>IF(PersonId&lt;&gt;"",_xll.mdValue("Resident First Name",_xlnm.Database,$A$8),"")</f>
        <v/>
      </c>
      <c r="C918" s="16" t="str">
        <f>IF(PersonId&lt;&gt;"",_xll.mdValue("Resident Last Name",_xlnm.Database,$A$8),"")</f>
        <v/>
      </c>
      <c r="D918" s="16" t="str">
        <f>IF(PersonId&lt;&gt;"",_xll.mdValue("Person Accomodation Code",_xlnm.Database,$A918),"")</f>
        <v/>
      </c>
      <c r="E918" s="28" t="str">
        <f t="shared" si="28"/>
        <v/>
      </c>
      <c r="F918" s="16" t="str">
        <f>IF('Paste Here'!$A912&lt;&gt;"",'Paste Here'!$A912,"")</f>
        <v/>
      </c>
      <c r="G918" s="16" t="str">
        <f>IF('Paste Here'!$B912&lt;&gt;"",'Paste Here'!$B912,"")</f>
        <v/>
      </c>
      <c r="H918" s="16" t="str">
        <f>IF('Paste Here'!$C912&lt;&gt;"",'Paste Here'!$C912,"")</f>
        <v/>
      </c>
      <c r="I918" s="25" t="str">
        <f>IF('Paste Here'!$D912&lt;&gt;"",'Paste Here'!$D912,"")</f>
        <v/>
      </c>
      <c r="J918" s="27" t="str">
        <f>IF('Paste Here'!$E912&lt;&gt;"",'Paste Here'!$E912,"")</f>
        <v/>
      </c>
      <c r="K918" s="16" t="str">
        <f>IF('Paste Here'!$F912&lt;&gt;"",'Paste Here'!$F912,"")</f>
        <v/>
      </c>
      <c r="L918" s="16" t="str">
        <f>IF('Paste Here'!$G912&lt;&gt;"",'Paste Here'!$G912,"")</f>
        <v/>
      </c>
      <c r="M918" s="18" t="str">
        <f t="shared" si="29"/>
        <v/>
      </c>
    </row>
    <row r="919" spans="1:13" s="17" customFormat="1" x14ac:dyDescent="0.25">
      <c r="A919" s="16" t="str">
        <f>IF(URN&lt;&gt;"",_xll.mdValue("Resident",_xlnm.Database,$F919),"")</f>
        <v/>
      </c>
      <c r="B919" s="16" t="str">
        <f>IF(PersonId&lt;&gt;"",_xll.mdValue("Resident First Name",_xlnm.Database,$A$8),"")</f>
        <v/>
      </c>
      <c r="C919" s="16" t="str">
        <f>IF(PersonId&lt;&gt;"",_xll.mdValue("Resident Last Name",_xlnm.Database,$A$8),"")</f>
        <v/>
      </c>
      <c r="D919" s="16" t="str">
        <f>IF(PersonId&lt;&gt;"",_xll.mdValue("Person Accomodation Code",_xlnm.Database,$A919),"")</f>
        <v/>
      </c>
      <c r="E919" s="28" t="str">
        <f t="shared" si="28"/>
        <v/>
      </c>
      <c r="F919" s="16" t="str">
        <f>IF('Paste Here'!$A913&lt;&gt;"",'Paste Here'!$A913,"")</f>
        <v/>
      </c>
      <c r="G919" s="16" t="str">
        <f>IF('Paste Here'!$B913&lt;&gt;"",'Paste Here'!$B913,"")</f>
        <v/>
      </c>
      <c r="H919" s="16" t="str">
        <f>IF('Paste Here'!$C913&lt;&gt;"",'Paste Here'!$C913,"")</f>
        <v/>
      </c>
      <c r="I919" s="25" t="str">
        <f>IF('Paste Here'!$D913&lt;&gt;"",'Paste Here'!$D913,"")</f>
        <v/>
      </c>
      <c r="J919" s="27" t="str">
        <f>IF('Paste Here'!$E913&lt;&gt;"",'Paste Here'!$E913,"")</f>
        <v/>
      </c>
      <c r="K919" s="16" t="str">
        <f>IF('Paste Here'!$F913&lt;&gt;"",'Paste Here'!$F913,"")</f>
        <v/>
      </c>
      <c r="L919" s="16" t="str">
        <f>IF('Paste Here'!$G913&lt;&gt;"",'Paste Here'!$G913,"")</f>
        <v/>
      </c>
      <c r="M919" s="18" t="str">
        <f t="shared" si="29"/>
        <v/>
      </c>
    </row>
    <row r="920" spans="1:13" s="17" customFormat="1" x14ac:dyDescent="0.25">
      <c r="A920" s="16" t="str">
        <f>IF(URN&lt;&gt;"",_xll.mdValue("Resident",_xlnm.Database,$F920),"")</f>
        <v/>
      </c>
      <c r="B920" s="16" t="str">
        <f>IF(PersonId&lt;&gt;"",_xll.mdValue("Resident First Name",_xlnm.Database,$A$8),"")</f>
        <v/>
      </c>
      <c r="C920" s="16" t="str">
        <f>IF(PersonId&lt;&gt;"",_xll.mdValue("Resident Last Name",_xlnm.Database,$A$8),"")</f>
        <v/>
      </c>
      <c r="D920" s="16" t="str">
        <f>IF(PersonId&lt;&gt;"",_xll.mdValue("Person Accomodation Code",_xlnm.Database,$A920),"")</f>
        <v/>
      </c>
      <c r="E920" s="28" t="str">
        <f t="shared" si="28"/>
        <v/>
      </c>
      <c r="F920" s="16" t="str">
        <f>IF('Paste Here'!$A914&lt;&gt;"",'Paste Here'!$A914,"")</f>
        <v/>
      </c>
      <c r="G920" s="16" t="str">
        <f>IF('Paste Here'!$B914&lt;&gt;"",'Paste Here'!$B914,"")</f>
        <v/>
      </c>
      <c r="H920" s="16" t="str">
        <f>IF('Paste Here'!$C914&lt;&gt;"",'Paste Here'!$C914,"")</f>
        <v/>
      </c>
      <c r="I920" s="25" t="str">
        <f>IF('Paste Here'!$D914&lt;&gt;"",'Paste Here'!$D914,"")</f>
        <v/>
      </c>
      <c r="J920" s="27" t="str">
        <f>IF('Paste Here'!$E914&lt;&gt;"",'Paste Here'!$E914,"")</f>
        <v/>
      </c>
      <c r="K920" s="16" t="str">
        <f>IF('Paste Here'!$F914&lt;&gt;"",'Paste Here'!$F914,"")</f>
        <v/>
      </c>
      <c r="L920" s="16" t="str">
        <f>IF('Paste Here'!$G914&lt;&gt;"",'Paste Here'!$G914,"")</f>
        <v/>
      </c>
      <c r="M920" s="18" t="str">
        <f t="shared" si="29"/>
        <v/>
      </c>
    </row>
    <row r="921" spans="1:13" s="17" customFormat="1" x14ac:dyDescent="0.25">
      <c r="A921" s="16" t="str">
        <f>IF(URN&lt;&gt;"",_xll.mdValue("Resident",_xlnm.Database,$F921),"")</f>
        <v/>
      </c>
      <c r="B921" s="16" t="str">
        <f>IF(PersonId&lt;&gt;"",_xll.mdValue("Resident First Name",_xlnm.Database,$A$8),"")</f>
        <v/>
      </c>
      <c r="C921" s="16" t="str">
        <f>IF(PersonId&lt;&gt;"",_xll.mdValue("Resident Last Name",_xlnm.Database,$A$8),"")</f>
        <v/>
      </c>
      <c r="D921" s="16" t="str">
        <f>IF(PersonId&lt;&gt;"",_xll.mdValue("Person Accomodation Code",_xlnm.Database,$A921),"")</f>
        <v/>
      </c>
      <c r="E921" s="28" t="str">
        <f t="shared" si="28"/>
        <v/>
      </c>
      <c r="F921" s="16" t="str">
        <f>IF('Paste Here'!$A915&lt;&gt;"",'Paste Here'!$A915,"")</f>
        <v/>
      </c>
      <c r="G921" s="16" t="str">
        <f>IF('Paste Here'!$B915&lt;&gt;"",'Paste Here'!$B915,"")</f>
        <v/>
      </c>
      <c r="H921" s="16" t="str">
        <f>IF('Paste Here'!$C915&lt;&gt;"",'Paste Here'!$C915,"")</f>
        <v/>
      </c>
      <c r="I921" s="25" t="str">
        <f>IF('Paste Here'!$D915&lt;&gt;"",'Paste Here'!$D915,"")</f>
        <v/>
      </c>
      <c r="J921" s="27" t="str">
        <f>IF('Paste Here'!$E915&lt;&gt;"",'Paste Here'!$E915,"")</f>
        <v/>
      </c>
      <c r="K921" s="16" t="str">
        <f>IF('Paste Here'!$F915&lt;&gt;"",'Paste Here'!$F915,"")</f>
        <v/>
      </c>
      <c r="L921" s="16" t="str">
        <f>IF('Paste Here'!$G915&lt;&gt;"",'Paste Here'!$G915,"")</f>
        <v/>
      </c>
      <c r="M921" s="18" t="str">
        <f t="shared" si="29"/>
        <v/>
      </c>
    </row>
    <row r="922" spans="1:13" s="17" customFormat="1" x14ac:dyDescent="0.25">
      <c r="A922" s="16" t="str">
        <f>IF(URN&lt;&gt;"",_xll.mdValue("Resident",_xlnm.Database,$F922),"")</f>
        <v/>
      </c>
      <c r="B922" s="16" t="str">
        <f>IF(PersonId&lt;&gt;"",_xll.mdValue("Resident First Name",_xlnm.Database,$A$8),"")</f>
        <v/>
      </c>
      <c r="C922" s="16" t="str">
        <f>IF(PersonId&lt;&gt;"",_xll.mdValue("Resident Last Name",_xlnm.Database,$A$8),"")</f>
        <v/>
      </c>
      <c r="D922" s="16" t="str">
        <f>IF(PersonId&lt;&gt;"",_xll.mdValue("Person Accomodation Code",_xlnm.Database,$A922),"")</f>
        <v/>
      </c>
      <c r="E922" s="28" t="str">
        <f t="shared" si="28"/>
        <v/>
      </c>
      <c r="F922" s="16" t="str">
        <f>IF('Paste Here'!$A916&lt;&gt;"",'Paste Here'!$A916,"")</f>
        <v/>
      </c>
      <c r="G922" s="16" t="str">
        <f>IF('Paste Here'!$B916&lt;&gt;"",'Paste Here'!$B916,"")</f>
        <v/>
      </c>
      <c r="H922" s="16" t="str">
        <f>IF('Paste Here'!$C916&lt;&gt;"",'Paste Here'!$C916,"")</f>
        <v/>
      </c>
      <c r="I922" s="25" t="str">
        <f>IF('Paste Here'!$D916&lt;&gt;"",'Paste Here'!$D916,"")</f>
        <v/>
      </c>
      <c r="J922" s="27" t="str">
        <f>IF('Paste Here'!$E916&lt;&gt;"",'Paste Here'!$E916,"")</f>
        <v/>
      </c>
      <c r="K922" s="16" t="str">
        <f>IF('Paste Here'!$F916&lt;&gt;"",'Paste Here'!$F916,"")</f>
        <v/>
      </c>
      <c r="L922" s="16" t="str">
        <f>IF('Paste Here'!$G916&lt;&gt;"",'Paste Here'!$G916,"")</f>
        <v/>
      </c>
      <c r="M922" s="18" t="str">
        <f t="shared" si="29"/>
        <v/>
      </c>
    </row>
    <row r="923" spans="1:13" s="17" customFormat="1" x14ac:dyDescent="0.25">
      <c r="A923" s="16" t="str">
        <f>IF(URN&lt;&gt;"",_xll.mdValue("Resident",_xlnm.Database,$F923),"")</f>
        <v/>
      </c>
      <c r="B923" s="16" t="str">
        <f>IF(PersonId&lt;&gt;"",_xll.mdValue("Resident First Name",_xlnm.Database,$A$8),"")</f>
        <v/>
      </c>
      <c r="C923" s="16" t="str">
        <f>IF(PersonId&lt;&gt;"",_xll.mdValue("Resident Last Name",_xlnm.Database,$A$8),"")</f>
        <v/>
      </c>
      <c r="D923" s="16" t="str">
        <f>IF(PersonId&lt;&gt;"",_xll.mdValue("Person Accomodation Code",_xlnm.Database,$A923),"")</f>
        <v/>
      </c>
      <c r="E923" s="28" t="str">
        <f t="shared" si="28"/>
        <v/>
      </c>
      <c r="F923" s="16" t="str">
        <f>IF('Paste Here'!$A917&lt;&gt;"",'Paste Here'!$A917,"")</f>
        <v/>
      </c>
      <c r="G923" s="16" t="str">
        <f>IF('Paste Here'!$B917&lt;&gt;"",'Paste Here'!$B917,"")</f>
        <v/>
      </c>
      <c r="H923" s="16" t="str">
        <f>IF('Paste Here'!$C917&lt;&gt;"",'Paste Here'!$C917,"")</f>
        <v/>
      </c>
      <c r="I923" s="25" t="str">
        <f>IF('Paste Here'!$D917&lt;&gt;"",'Paste Here'!$D917,"")</f>
        <v/>
      </c>
      <c r="J923" s="27" t="str">
        <f>IF('Paste Here'!$E917&lt;&gt;"",'Paste Here'!$E917,"")</f>
        <v/>
      </c>
      <c r="K923" s="16" t="str">
        <f>IF('Paste Here'!$F917&lt;&gt;"",'Paste Here'!$F917,"")</f>
        <v/>
      </c>
      <c r="L923" s="16" t="str">
        <f>IF('Paste Here'!$G917&lt;&gt;"",'Paste Here'!$G917,"")</f>
        <v/>
      </c>
      <c r="M923" s="18" t="str">
        <f t="shared" si="29"/>
        <v/>
      </c>
    </row>
    <row r="924" spans="1:13" s="17" customFormat="1" x14ac:dyDescent="0.25">
      <c r="A924" s="16" t="str">
        <f>IF(URN&lt;&gt;"",_xll.mdValue("Resident",_xlnm.Database,$F924),"")</f>
        <v/>
      </c>
      <c r="B924" s="16" t="str">
        <f>IF(PersonId&lt;&gt;"",_xll.mdValue("Resident First Name",_xlnm.Database,$A$8),"")</f>
        <v/>
      </c>
      <c r="C924" s="16" t="str">
        <f>IF(PersonId&lt;&gt;"",_xll.mdValue("Resident Last Name",_xlnm.Database,$A$8),"")</f>
        <v/>
      </c>
      <c r="D924" s="16" t="str">
        <f>IF(PersonId&lt;&gt;"",_xll.mdValue("Person Accomodation Code",_xlnm.Database,$A924),"")</f>
        <v/>
      </c>
      <c r="E924" s="28" t="str">
        <f t="shared" si="28"/>
        <v/>
      </c>
      <c r="F924" s="16" t="str">
        <f>IF('Paste Here'!$A918&lt;&gt;"",'Paste Here'!$A918,"")</f>
        <v/>
      </c>
      <c r="G924" s="16" t="str">
        <f>IF('Paste Here'!$B918&lt;&gt;"",'Paste Here'!$B918,"")</f>
        <v/>
      </c>
      <c r="H924" s="16" t="str">
        <f>IF('Paste Here'!$C918&lt;&gt;"",'Paste Here'!$C918,"")</f>
        <v/>
      </c>
      <c r="I924" s="25" t="str">
        <f>IF('Paste Here'!$D918&lt;&gt;"",'Paste Here'!$D918,"")</f>
        <v/>
      </c>
      <c r="J924" s="27" t="str">
        <f>IF('Paste Here'!$E918&lt;&gt;"",'Paste Here'!$E918,"")</f>
        <v/>
      </c>
      <c r="K924" s="16" t="str">
        <f>IF('Paste Here'!$F918&lt;&gt;"",'Paste Here'!$F918,"")</f>
        <v/>
      </c>
      <c r="L924" s="16" t="str">
        <f>IF('Paste Here'!$G918&lt;&gt;"",'Paste Here'!$G918,"")</f>
        <v/>
      </c>
      <c r="M924" s="18" t="str">
        <f t="shared" si="29"/>
        <v/>
      </c>
    </row>
    <row r="925" spans="1:13" s="17" customFormat="1" x14ac:dyDescent="0.25">
      <c r="A925" s="16" t="str">
        <f>IF(URN&lt;&gt;"",_xll.mdValue("Resident",_xlnm.Database,$F925),"")</f>
        <v/>
      </c>
      <c r="B925" s="16" t="str">
        <f>IF(PersonId&lt;&gt;"",_xll.mdValue("Resident First Name",_xlnm.Database,$A$8),"")</f>
        <v/>
      </c>
      <c r="C925" s="16" t="str">
        <f>IF(PersonId&lt;&gt;"",_xll.mdValue("Resident Last Name",_xlnm.Database,$A$8),"")</f>
        <v/>
      </c>
      <c r="D925" s="16" t="str">
        <f>IF(PersonId&lt;&gt;"",_xll.mdValue("Person Accomodation Code",_xlnm.Database,$A925),"")</f>
        <v/>
      </c>
      <c r="E925" s="28" t="str">
        <f t="shared" si="28"/>
        <v/>
      </c>
      <c r="F925" s="16" t="str">
        <f>IF('Paste Here'!$A919&lt;&gt;"",'Paste Here'!$A919,"")</f>
        <v/>
      </c>
      <c r="G925" s="16" t="str">
        <f>IF('Paste Here'!$B919&lt;&gt;"",'Paste Here'!$B919,"")</f>
        <v/>
      </c>
      <c r="H925" s="16" t="str">
        <f>IF('Paste Here'!$C919&lt;&gt;"",'Paste Here'!$C919,"")</f>
        <v/>
      </c>
      <c r="I925" s="25" t="str">
        <f>IF('Paste Here'!$D919&lt;&gt;"",'Paste Here'!$D919,"")</f>
        <v/>
      </c>
      <c r="J925" s="27" t="str">
        <f>IF('Paste Here'!$E919&lt;&gt;"",'Paste Here'!$E919,"")</f>
        <v/>
      </c>
      <c r="K925" s="16" t="str">
        <f>IF('Paste Here'!$F919&lt;&gt;"",'Paste Here'!$F919,"")</f>
        <v/>
      </c>
      <c r="L925" s="16" t="str">
        <f>IF('Paste Here'!$G919&lt;&gt;"",'Paste Here'!$G919,"")</f>
        <v/>
      </c>
      <c r="M925" s="18" t="str">
        <f t="shared" si="29"/>
        <v/>
      </c>
    </row>
    <row r="926" spans="1:13" s="17" customFormat="1" x14ac:dyDescent="0.25">
      <c r="A926" s="16" t="str">
        <f>IF(URN&lt;&gt;"",_xll.mdValue("Resident",_xlnm.Database,$F926),"")</f>
        <v/>
      </c>
      <c r="B926" s="16" t="str">
        <f>IF(PersonId&lt;&gt;"",_xll.mdValue("Resident First Name",_xlnm.Database,$A$8),"")</f>
        <v/>
      </c>
      <c r="C926" s="16" t="str">
        <f>IF(PersonId&lt;&gt;"",_xll.mdValue("Resident Last Name",_xlnm.Database,$A$8),"")</f>
        <v/>
      </c>
      <c r="D926" s="16" t="str">
        <f>IF(PersonId&lt;&gt;"",_xll.mdValue("Person Accomodation Code",_xlnm.Database,$A926),"")</f>
        <v/>
      </c>
      <c r="E926" s="28" t="str">
        <f t="shared" si="28"/>
        <v/>
      </c>
      <c r="F926" s="16" t="str">
        <f>IF('Paste Here'!$A920&lt;&gt;"",'Paste Here'!$A920,"")</f>
        <v/>
      </c>
      <c r="G926" s="16" t="str">
        <f>IF('Paste Here'!$B920&lt;&gt;"",'Paste Here'!$B920,"")</f>
        <v/>
      </c>
      <c r="H926" s="16" t="str">
        <f>IF('Paste Here'!$C920&lt;&gt;"",'Paste Here'!$C920,"")</f>
        <v/>
      </c>
      <c r="I926" s="25" t="str">
        <f>IF('Paste Here'!$D920&lt;&gt;"",'Paste Here'!$D920,"")</f>
        <v/>
      </c>
      <c r="J926" s="27" t="str">
        <f>IF('Paste Here'!$E920&lt;&gt;"",'Paste Here'!$E920,"")</f>
        <v/>
      </c>
      <c r="K926" s="16" t="str">
        <f>IF('Paste Here'!$F920&lt;&gt;"",'Paste Here'!$F920,"")</f>
        <v/>
      </c>
      <c r="L926" s="16" t="str">
        <f>IF('Paste Here'!$G920&lt;&gt;"",'Paste Here'!$G920,"")</f>
        <v/>
      </c>
      <c r="M926" s="18" t="str">
        <f t="shared" si="29"/>
        <v/>
      </c>
    </row>
    <row r="927" spans="1:13" s="17" customFormat="1" x14ac:dyDescent="0.25">
      <c r="A927" s="16" t="str">
        <f>IF(URN&lt;&gt;"",_xll.mdValue("Resident",_xlnm.Database,$F927),"")</f>
        <v/>
      </c>
      <c r="B927" s="16" t="str">
        <f>IF(PersonId&lt;&gt;"",_xll.mdValue("Resident First Name",_xlnm.Database,$A$8),"")</f>
        <v/>
      </c>
      <c r="C927" s="16" t="str">
        <f>IF(PersonId&lt;&gt;"",_xll.mdValue("Resident Last Name",_xlnm.Database,$A$8),"")</f>
        <v/>
      </c>
      <c r="D927" s="16" t="str">
        <f>IF(PersonId&lt;&gt;"",_xll.mdValue("Person Accomodation Code",_xlnm.Database,$A927),"")</f>
        <v/>
      </c>
      <c r="E927" s="28" t="str">
        <f t="shared" si="28"/>
        <v/>
      </c>
      <c r="F927" s="16" t="str">
        <f>IF('Paste Here'!$A921&lt;&gt;"",'Paste Here'!$A921,"")</f>
        <v/>
      </c>
      <c r="G927" s="16" t="str">
        <f>IF('Paste Here'!$B921&lt;&gt;"",'Paste Here'!$B921,"")</f>
        <v/>
      </c>
      <c r="H927" s="16" t="str">
        <f>IF('Paste Here'!$C921&lt;&gt;"",'Paste Here'!$C921,"")</f>
        <v/>
      </c>
      <c r="I927" s="25" t="str">
        <f>IF('Paste Here'!$D921&lt;&gt;"",'Paste Here'!$D921,"")</f>
        <v/>
      </c>
      <c r="J927" s="27" t="str">
        <f>IF('Paste Here'!$E921&lt;&gt;"",'Paste Here'!$E921,"")</f>
        <v/>
      </c>
      <c r="K927" s="16" t="str">
        <f>IF('Paste Here'!$F921&lt;&gt;"",'Paste Here'!$F921,"")</f>
        <v/>
      </c>
      <c r="L927" s="16" t="str">
        <f>IF('Paste Here'!$G921&lt;&gt;"",'Paste Here'!$G921,"")</f>
        <v/>
      </c>
      <c r="M927" s="18" t="str">
        <f t="shared" si="29"/>
        <v/>
      </c>
    </row>
    <row r="928" spans="1:13" s="17" customFormat="1" x14ac:dyDescent="0.25">
      <c r="A928" s="16" t="str">
        <f>IF(URN&lt;&gt;"",_xll.mdValue("Resident",_xlnm.Database,$F928),"")</f>
        <v/>
      </c>
      <c r="B928" s="16" t="str">
        <f>IF(PersonId&lt;&gt;"",_xll.mdValue("Resident First Name",_xlnm.Database,$A$8),"")</f>
        <v/>
      </c>
      <c r="C928" s="16" t="str">
        <f>IF(PersonId&lt;&gt;"",_xll.mdValue("Resident Last Name",_xlnm.Database,$A$8),"")</f>
        <v/>
      </c>
      <c r="D928" s="16" t="str">
        <f>IF(PersonId&lt;&gt;"",_xll.mdValue("Person Accomodation Code",_xlnm.Database,$A928),"")</f>
        <v/>
      </c>
      <c r="E928" s="28" t="str">
        <f t="shared" si="28"/>
        <v/>
      </c>
      <c r="F928" s="16" t="str">
        <f>IF('Paste Here'!$A922&lt;&gt;"",'Paste Here'!$A922,"")</f>
        <v/>
      </c>
      <c r="G928" s="16" t="str">
        <f>IF('Paste Here'!$B922&lt;&gt;"",'Paste Here'!$B922,"")</f>
        <v/>
      </c>
      <c r="H928" s="16" t="str">
        <f>IF('Paste Here'!$C922&lt;&gt;"",'Paste Here'!$C922,"")</f>
        <v/>
      </c>
      <c r="I928" s="25" t="str">
        <f>IF('Paste Here'!$D922&lt;&gt;"",'Paste Here'!$D922,"")</f>
        <v/>
      </c>
      <c r="J928" s="27" t="str">
        <f>IF('Paste Here'!$E922&lt;&gt;"",'Paste Here'!$E922,"")</f>
        <v/>
      </c>
      <c r="K928" s="16" t="str">
        <f>IF('Paste Here'!$F922&lt;&gt;"",'Paste Here'!$F922,"")</f>
        <v/>
      </c>
      <c r="L928" s="16" t="str">
        <f>IF('Paste Here'!$G922&lt;&gt;"",'Paste Here'!$G922,"")</f>
        <v/>
      </c>
      <c r="M928" s="18" t="str">
        <f t="shared" si="29"/>
        <v/>
      </c>
    </row>
    <row r="929" spans="1:13" s="17" customFormat="1" x14ac:dyDescent="0.25">
      <c r="A929" s="16" t="str">
        <f>IF(URN&lt;&gt;"",_xll.mdValue("Resident",_xlnm.Database,$F929),"")</f>
        <v/>
      </c>
      <c r="B929" s="16" t="str">
        <f>IF(PersonId&lt;&gt;"",_xll.mdValue("Resident First Name",_xlnm.Database,$A$8),"")</f>
        <v/>
      </c>
      <c r="C929" s="16" t="str">
        <f>IF(PersonId&lt;&gt;"",_xll.mdValue("Resident Last Name",_xlnm.Database,$A$8),"")</f>
        <v/>
      </c>
      <c r="D929" s="16" t="str">
        <f>IF(PersonId&lt;&gt;"",_xll.mdValue("Person Accomodation Code",_xlnm.Database,$A929),"")</f>
        <v/>
      </c>
      <c r="E929" s="28" t="str">
        <f t="shared" si="28"/>
        <v/>
      </c>
      <c r="F929" s="16" t="str">
        <f>IF('Paste Here'!$A923&lt;&gt;"",'Paste Here'!$A923,"")</f>
        <v/>
      </c>
      <c r="G929" s="16" t="str">
        <f>IF('Paste Here'!$B923&lt;&gt;"",'Paste Here'!$B923,"")</f>
        <v/>
      </c>
      <c r="H929" s="16" t="str">
        <f>IF('Paste Here'!$C923&lt;&gt;"",'Paste Here'!$C923,"")</f>
        <v/>
      </c>
      <c r="I929" s="25" t="str">
        <f>IF('Paste Here'!$D923&lt;&gt;"",'Paste Here'!$D923,"")</f>
        <v/>
      </c>
      <c r="J929" s="27" t="str">
        <f>IF('Paste Here'!$E923&lt;&gt;"",'Paste Here'!$E923,"")</f>
        <v/>
      </c>
      <c r="K929" s="16" t="str">
        <f>IF('Paste Here'!$F923&lt;&gt;"",'Paste Here'!$F923,"")</f>
        <v/>
      </c>
      <c r="L929" s="16" t="str">
        <f>IF('Paste Here'!$G923&lt;&gt;"",'Paste Here'!$G923,"")</f>
        <v/>
      </c>
      <c r="M929" s="18" t="str">
        <f t="shared" si="29"/>
        <v/>
      </c>
    </row>
    <row r="930" spans="1:13" s="17" customFormat="1" x14ac:dyDescent="0.25">
      <c r="A930" s="16" t="str">
        <f>IF(URN&lt;&gt;"",_xll.mdValue("Resident",_xlnm.Database,$F930),"")</f>
        <v/>
      </c>
      <c r="B930" s="16" t="str">
        <f>IF(PersonId&lt;&gt;"",_xll.mdValue("Resident First Name",_xlnm.Database,$A$8),"")</f>
        <v/>
      </c>
      <c r="C930" s="16" t="str">
        <f>IF(PersonId&lt;&gt;"",_xll.mdValue("Resident Last Name",_xlnm.Database,$A$8),"")</f>
        <v/>
      </c>
      <c r="D930" s="16" t="str">
        <f>IF(PersonId&lt;&gt;"",_xll.mdValue("Person Accomodation Code",_xlnm.Database,$A930),"")</f>
        <v/>
      </c>
      <c r="E930" s="28" t="str">
        <f t="shared" si="28"/>
        <v/>
      </c>
      <c r="F930" s="16" t="str">
        <f>IF('Paste Here'!$A924&lt;&gt;"",'Paste Here'!$A924,"")</f>
        <v/>
      </c>
      <c r="G930" s="16" t="str">
        <f>IF('Paste Here'!$B924&lt;&gt;"",'Paste Here'!$B924,"")</f>
        <v/>
      </c>
      <c r="H930" s="16" t="str">
        <f>IF('Paste Here'!$C924&lt;&gt;"",'Paste Here'!$C924,"")</f>
        <v/>
      </c>
      <c r="I930" s="25" t="str">
        <f>IF('Paste Here'!$D924&lt;&gt;"",'Paste Here'!$D924,"")</f>
        <v/>
      </c>
      <c r="J930" s="27" t="str">
        <f>IF('Paste Here'!$E924&lt;&gt;"",'Paste Here'!$E924,"")</f>
        <v/>
      </c>
      <c r="K930" s="16" t="str">
        <f>IF('Paste Here'!$F924&lt;&gt;"",'Paste Here'!$F924,"")</f>
        <v/>
      </c>
      <c r="L930" s="16" t="str">
        <f>IF('Paste Here'!$G924&lt;&gt;"",'Paste Here'!$G924,"")</f>
        <v/>
      </c>
      <c r="M930" s="18" t="str">
        <f t="shared" si="29"/>
        <v/>
      </c>
    </row>
    <row r="931" spans="1:13" s="17" customFormat="1" x14ac:dyDescent="0.25">
      <c r="A931" s="16" t="str">
        <f>IF(URN&lt;&gt;"",_xll.mdValue("Resident",_xlnm.Database,$F931),"")</f>
        <v/>
      </c>
      <c r="B931" s="16" t="str">
        <f>IF(PersonId&lt;&gt;"",_xll.mdValue("Resident First Name",_xlnm.Database,$A$8),"")</f>
        <v/>
      </c>
      <c r="C931" s="16" t="str">
        <f>IF(PersonId&lt;&gt;"",_xll.mdValue("Resident Last Name",_xlnm.Database,$A$8),"")</f>
        <v/>
      </c>
      <c r="D931" s="16" t="str">
        <f>IF(PersonId&lt;&gt;"",_xll.mdValue("Person Accomodation Code",_xlnm.Database,$A931),"")</f>
        <v/>
      </c>
      <c r="E931" s="28" t="str">
        <f t="shared" si="28"/>
        <v/>
      </c>
      <c r="F931" s="16" t="str">
        <f>IF('Paste Here'!$A925&lt;&gt;"",'Paste Here'!$A925,"")</f>
        <v/>
      </c>
      <c r="G931" s="16" t="str">
        <f>IF('Paste Here'!$B925&lt;&gt;"",'Paste Here'!$B925,"")</f>
        <v/>
      </c>
      <c r="H931" s="16" t="str">
        <f>IF('Paste Here'!$C925&lt;&gt;"",'Paste Here'!$C925,"")</f>
        <v/>
      </c>
      <c r="I931" s="25" t="str">
        <f>IF('Paste Here'!$D925&lt;&gt;"",'Paste Here'!$D925,"")</f>
        <v/>
      </c>
      <c r="J931" s="27" t="str">
        <f>IF('Paste Here'!$E925&lt;&gt;"",'Paste Here'!$E925,"")</f>
        <v/>
      </c>
      <c r="K931" s="16" t="str">
        <f>IF('Paste Here'!$F925&lt;&gt;"",'Paste Here'!$F925,"")</f>
        <v/>
      </c>
      <c r="L931" s="16" t="str">
        <f>IF('Paste Here'!$G925&lt;&gt;"",'Paste Here'!$G925,"")</f>
        <v/>
      </c>
      <c r="M931" s="18" t="str">
        <f t="shared" si="29"/>
        <v/>
      </c>
    </row>
    <row r="932" spans="1:13" s="17" customFormat="1" x14ac:dyDescent="0.25">
      <c r="A932" s="16" t="str">
        <f>IF(URN&lt;&gt;"",_xll.mdValue("Resident",_xlnm.Database,$F932),"")</f>
        <v/>
      </c>
      <c r="B932" s="16" t="str">
        <f>IF(PersonId&lt;&gt;"",_xll.mdValue("Resident First Name",_xlnm.Database,$A$8),"")</f>
        <v/>
      </c>
      <c r="C932" s="16" t="str">
        <f>IF(PersonId&lt;&gt;"",_xll.mdValue("Resident Last Name",_xlnm.Database,$A$8),"")</f>
        <v/>
      </c>
      <c r="D932" s="16" t="str">
        <f>IF(PersonId&lt;&gt;"",_xll.mdValue("Person Accomodation Code",_xlnm.Database,$A932),"")</f>
        <v/>
      </c>
      <c r="E932" s="28" t="str">
        <f t="shared" si="28"/>
        <v/>
      </c>
      <c r="F932" s="16" t="str">
        <f>IF('Paste Here'!$A926&lt;&gt;"",'Paste Here'!$A926,"")</f>
        <v/>
      </c>
      <c r="G932" s="16" t="str">
        <f>IF('Paste Here'!$B926&lt;&gt;"",'Paste Here'!$B926,"")</f>
        <v/>
      </c>
      <c r="H932" s="16" t="str">
        <f>IF('Paste Here'!$C926&lt;&gt;"",'Paste Here'!$C926,"")</f>
        <v/>
      </c>
      <c r="I932" s="25" t="str">
        <f>IF('Paste Here'!$D926&lt;&gt;"",'Paste Here'!$D926,"")</f>
        <v/>
      </c>
      <c r="J932" s="27" t="str">
        <f>IF('Paste Here'!$E926&lt;&gt;"",'Paste Here'!$E926,"")</f>
        <v/>
      </c>
      <c r="K932" s="16" t="str">
        <f>IF('Paste Here'!$F926&lt;&gt;"",'Paste Here'!$F926,"")</f>
        <v/>
      </c>
      <c r="L932" s="16" t="str">
        <f>IF('Paste Here'!$G926&lt;&gt;"",'Paste Here'!$G926,"")</f>
        <v/>
      </c>
      <c r="M932" s="18" t="str">
        <f t="shared" si="29"/>
        <v/>
      </c>
    </row>
    <row r="933" spans="1:13" s="17" customFormat="1" x14ac:dyDescent="0.25">
      <c r="A933" s="16" t="str">
        <f>IF(URN&lt;&gt;"",_xll.mdValue("Resident",_xlnm.Database,$F933),"")</f>
        <v/>
      </c>
      <c r="B933" s="16" t="str">
        <f>IF(PersonId&lt;&gt;"",_xll.mdValue("Resident First Name",_xlnm.Database,$A$8),"")</f>
        <v/>
      </c>
      <c r="C933" s="16" t="str">
        <f>IF(PersonId&lt;&gt;"",_xll.mdValue("Resident Last Name",_xlnm.Database,$A$8),"")</f>
        <v/>
      </c>
      <c r="D933" s="16" t="str">
        <f>IF(PersonId&lt;&gt;"",_xll.mdValue("Person Accomodation Code",_xlnm.Database,$A933),"")</f>
        <v/>
      </c>
      <c r="E933" s="28" t="str">
        <f t="shared" si="28"/>
        <v/>
      </c>
      <c r="F933" s="16" t="str">
        <f>IF('Paste Here'!$A927&lt;&gt;"",'Paste Here'!$A927,"")</f>
        <v/>
      </c>
      <c r="G933" s="16" t="str">
        <f>IF('Paste Here'!$B927&lt;&gt;"",'Paste Here'!$B927,"")</f>
        <v/>
      </c>
      <c r="H933" s="16" t="str">
        <f>IF('Paste Here'!$C927&lt;&gt;"",'Paste Here'!$C927,"")</f>
        <v/>
      </c>
      <c r="I933" s="25" t="str">
        <f>IF('Paste Here'!$D927&lt;&gt;"",'Paste Here'!$D927,"")</f>
        <v/>
      </c>
      <c r="J933" s="27" t="str">
        <f>IF('Paste Here'!$E927&lt;&gt;"",'Paste Here'!$E927,"")</f>
        <v/>
      </c>
      <c r="K933" s="16" t="str">
        <f>IF('Paste Here'!$F927&lt;&gt;"",'Paste Here'!$F927,"")</f>
        <v/>
      </c>
      <c r="L933" s="16" t="str">
        <f>IF('Paste Here'!$G927&lt;&gt;"",'Paste Here'!$G927,"")</f>
        <v/>
      </c>
      <c r="M933" s="18" t="str">
        <f t="shared" si="29"/>
        <v/>
      </c>
    </row>
    <row r="934" spans="1:13" s="17" customFormat="1" x14ac:dyDescent="0.25">
      <c r="A934" s="16" t="str">
        <f>IF(URN&lt;&gt;"",_xll.mdValue("Resident",_xlnm.Database,$F934),"")</f>
        <v/>
      </c>
      <c r="B934" s="16" t="str">
        <f>IF(PersonId&lt;&gt;"",_xll.mdValue("Resident First Name",_xlnm.Database,$A$8),"")</f>
        <v/>
      </c>
      <c r="C934" s="16" t="str">
        <f>IF(PersonId&lt;&gt;"",_xll.mdValue("Resident Last Name",_xlnm.Database,$A$8),"")</f>
        <v/>
      </c>
      <c r="D934" s="16" t="str">
        <f>IF(PersonId&lt;&gt;"",_xll.mdValue("Person Accomodation Code",_xlnm.Database,$A934),"")</f>
        <v/>
      </c>
      <c r="E934" s="28" t="str">
        <f t="shared" si="28"/>
        <v/>
      </c>
      <c r="F934" s="16" t="str">
        <f>IF('Paste Here'!$A928&lt;&gt;"",'Paste Here'!$A928,"")</f>
        <v/>
      </c>
      <c r="G934" s="16" t="str">
        <f>IF('Paste Here'!$B928&lt;&gt;"",'Paste Here'!$B928,"")</f>
        <v/>
      </c>
      <c r="H934" s="16" t="str">
        <f>IF('Paste Here'!$C928&lt;&gt;"",'Paste Here'!$C928,"")</f>
        <v/>
      </c>
      <c r="I934" s="25" t="str">
        <f>IF('Paste Here'!$D928&lt;&gt;"",'Paste Here'!$D928,"")</f>
        <v/>
      </c>
      <c r="J934" s="27" t="str">
        <f>IF('Paste Here'!$E928&lt;&gt;"",'Paste Here'!$E928,"")</f>
        <v/>
      </c>
      <c r="K934" s="16" t="str">
        <f>IF('Paste Here'!$F928&lt;&gt;"",'Paste Here'!$F928,"")</f>
        <v/>
      </c>
      <c r="L934" s="16" t="str">
        <f>IF('Paste Here'!$G928&lt;&gt;"",'Paste Here'!$G928,"")</f>
        <v/>
      </c>
      <c r="M934" s="18" t="str">
        <f t="shared" si="29"/>
        <v/>
      </c>
    </row>
    <row r="935" spans="1:13" s="17" customFormat="1" x14ac:dyDescent="0.25">
      <c r="A935" s="16" t="str">
        <f>IF(URN&lt;&gt;"",_xll.mdValue("Resident",_xlnm.Database,$F935),"")</f>
        <v/>
      </c>
      <c r="B935" s="16" t="str">
        <f>IF(PersonId&lt;&gt;"",_xll.mdValue("Resident First Name",_xlnm.Database,$A$8),"")</f>
        <v/>
      </c>
      <c r="C935" s="16" t="str">
        <f>IF(PersonId&lt;&gt;"",_xll.mdValue("Resident Last Name",_xlnm.Database,$A$8),"")</f>
        <v/>
      </c>
      <c r="D935" s="16" t="str">
        <f>IF(PersonId&lt;&gt;"",_xll.mdValue("Person Accomodation Code",_xlnm.Database,$A935),"")</f>
        <v/>
      </c>
      <c r="E935" s="28" t="str">
        <f t="shared" si="28"/>
        <v/>
      </c>
      <c r="F935" s="16" t="str">
        <f>IF('Paste Here'!$A929&lt;&gt;"",'Paste Here'!$A929,"")</f>
        <v/>
      </c>
      <c r="G935" s="16" t="str">
        <f>IF('Paste Here'!$B929&lt;&gt;"",'Paste Here'!$B929,"")</f>
        <v/>
      </c>
      <c r="H935" s="16" t="str">
        <f>IF('Paste Here'!$C929&lt;&gt;"",'Paste Here'!$C929,"")</f>
        <v/>
      </c>
      <c r="I935" s="25" t="str">
        <f>IF('Paste Here'!$D929&lt;&gt;"",'Paste Here'!$D929,"")</f>
        <v/>
      </c>
      <c r="J935" s="27" t="str">
        <f>IF('Paste Here'!$E929&lt;&gt;"",'Paste Here'!$E929,"")</f>
        <v/>
      </c>
      <c r="K935" s="16" t="str">
        <f>IF('Paste Here'!$F929&lt;&gt;"",'Paste Here'!$F929,"")</f>
        <v/>
      </c>
      <c r="L935" s="16" t="str">
        <f>IF('Paste Here'!$G929&lt;&gt;"",'Paste Here'!$G929,"")</f>
        <v/>
      </c>
      <c r="M935" s="18" t="str">
        <f t="shared" si="29"/>
        <v/>
      </c>
    </row>
    <row r="936" spans="1:13" s="17" customFormat="1" x14ac:dyDescent="0.25">
      <c r="A936" s="16" t="str">
        <f>IF(URN&lt;&gt;"",_xll.mdValue("Resident",_xlnm.Database,$F936),"")</f>
        <v/>
      </c>
      <c r="B936" s="16" t="str">
        <f>IF(PersonId&lt;&gt;"",_xll.mdValue("Resident First Name",_xlnm.Database,$A$8),"")</f>
        <v/>
      </c>
      <c r="C936" s="16" t="str">
        <f>IF(PersonId&lt;&gt;"",_xll.mdValue("Resident Last Name",_xlnm.Database,$A$8),"")</f>
        <v/>
      </c>
      <c r="D936" s="16" t="str">
        <f>IF(PersonId&lt;&gt;"",_xll.mdValue("Person Accomodation Code",_xlnm.Database,$A936),"")</f>
        <v/>
      </c>
      <c r="E936" s="28" t="str">
        <f t="shared" si="28"/>
        <v/>
      </c>
      <c r="F936" s="16" t="str">
        <f>IF('Paste Here'!$A930&lt;&gt;"",'Paste Here'!$A930,"")</f>
        <v/>
      </c>
      <c r="G936" s="16" t="str">
        <f>IF('Paste Here'!$B930&lt;&gt;"",'Paste Here'!$B930,"")</f>
        <v/>
      </c>
      <c r="H936" s="16" t="str">
        <f>IF('Paste Here'!$C930&lt;&gt;"",'Paste Here'!$C930,"")</f>
        <v/>
      </c>
      <c r="I936" s="25" t="str">
        <f>IF('Paste Here'!$D930&lt;&gt;"",'Paste Here'!$D930,"")</f>
        <v/>
      </c>
      <c r="J936" s="27" t="str">
        <f>IF('Paste Here'!$E930&lt;&gt;"",'Paste Here'!$E930,"")</f>
        <v/>
      </c>
      <c r="K936" s="16" t="str">
        <f>IF('Paste Here'!$F930&lt;&gt;"",'Paste Here'!$F930,"")</f>
        <v/>
      </c>
      <c r="L936" s="16" t="str">
        <f>IF('Paste Here'!$G930&lt;&gt;"",'Paste Here'!$G930,"")</f>
        <v/>
      </c>
      <c r="M936" s="18" t="str">
        <f t="shared" si="29"/>
        <v/>
      </c>
    </row>
    <row r="937" spans="1:13" s="17" customFormat="1" x14ac:dyDescent="0.25">
      <c r="A937" s="16" t="str">
        <f>IF(URN&lt;&gt;"",_xll.mdValue("Resident",_xlnm.Database,$F937),"")</f>
        <v/>
      </c>
      <c r="B937" s="16" t="str">
        <f>IF(PersonId&lt;&gt;"",_xll.mdValue("Resident First Name",_xlnm.Database,$A$8),"")</f>
        <v/>
      </c>
      <c r="C937" s="16" t="str">
        <f>IF(PersonId&lt;&gt;"",_xll.mdValue("Resident Last Name",_xlnm.Database,$A$8),"")</f>
        <v/>
      </c>
      <c r="D937" s="16" t="str">
        <f>IF(PersonId&lt;&gt;"",_xll.mdValue("Person Accomodation Code",_xlnm.Database,$A937),"")</f>
        <v/>
      </c>
      <c r="E937" s="28" t="str">
        <f t="shared" si="28"/>
        <v/>
      </c>
      <c r="F937" s="16" t="str">
        <f>IF('Paste Here'!$A931&lt;&gt;"",'Paste Here'!$A931,"")</f>
        <v/>
      </c>
      <c r="G937" s="16" t="str">
        <f>IF('Paste Here'!$B931&lt;&gt;"",'Paste Here'!$B931,"")</f>
        <v/>
      </c>
      <c r="H937" s="16" t="str">
        <f>IF('Paste Here'!$C931&lt;&gt;"",'Paste Here'!$C931,"")</f>
        <v/>
      </c>
      <c r="I937" s="25" t="str">
        <f>IF('Paste Here'!$D931&lt;&gt;"",'Paste Here'!$D931,"")</f>
        <v/>
      </c>
      <c r="J937" s="27" t="str">
        <f>IF('Paste Here'!$E931&lt;&gt;"",'Paste Here'!$E931,"")</f>
        <v/>
      </c>
      <c r="K937" s="16" t="str">
        <f>IF('Paste Here'!$F931&lt;&gt;"",'Paste Here'!$F931,"")</f>
        <v/>
      </c>
      <c r="L937" s="16" t="str">
        <f>IF('Paste Here'!$G931&lt;&gt;"",'Paste Here'!$G931,"")</f>
        <v/>
      </c>
      <c r="M937" s="18" t="str">
        <f t="shared" si="29"/>
        <v/>
      </c>
    </row>
    <row r="938" spans="1:13" s="17" customFormat="1" x14ac:dyDescent="0.25">
      <c r="A938" s="16" t="str">
        <f>IF(URN&lt;&gt;"",_xll.mdValue("Resident",_xlnm.Database,$F938),"")</f>
        <v/>
      </c>
      <c r="B938" s="16" t="str">
        <f>IF(PersonId&lt;&gt;"",_xll.mdValue("Resident First Name",_xlnm.Database,$A$8),"")</f>
        <v/>
      </c>
      <c r="C938" s="16" t="str">
        <f>IF(PersonId&lt;&gt;"",_xll.mdValue("Resident Last Name",_xlnm.Database,$A$8),"")</f>
        <v/>
      </c>
      <c r="D938" s="16" t="str">
        <f>IF(PersonId&lt;&gt;"",_xll.mdValue("Person Accomodation Code",_xlnm.Database,$A938),"")</f>
        <v/>
      </c>
      <c r="E938" s="28" t="str">
        <f t="shared" si="28"/>
        <v/>
      </c>
      <c r="F938" s="16" t="str">
        <f>IF('Paste Here'!$A932&lt;&gt;"",'Paste Here'!$A932,"")</f>
        <v/>
      </c>
      <c r="G938" s="16" t="str">
        <f>IF('Paste Here'!$B932&lt;&gt;"",'Paste Here'!$B932,"")</f>
        <v/>
      </c>
      <c r="H938" s="16" t="str">
        <f>IF('Paste Here'!$C932&lt;&gt;"",'Paste Here'!$C932,"")</f>
        <v/>
      </c>
      <c r="I938" s="25" t="str">
        <f>IF('Paste Here'!$D932&lt;&gt;"",'Paste Here'!$D932,"")</f>
        <v/>
      </c>
      <c r="J938" s="27" t="str">
        <f>IF('Paste Here'!$E932&lt;&gt;"",'Paste Here'!$E932,"")</f>
        <v/>
      </c>
      <c r="K938" s="16" t="str">
        <f>IF('Paste Here'!$F932&lt;&gt;"",'Paste Here'!$F932,"")</f>
        <v/>
      </c>
      <c r="L938" s="16" t="str">
        <f>IF('Paste Here'!$G932&lt;&gt;"",'Paste Here'!$G932,"")</f>
        <v/>
      </c>
      <c r="M938" s="18" t="str">
        <f t="shared" si="29"/>
        <v/>
      </c>
    </row>
    <row r="939" spans="1:13" s="17" customFormat="1" x14ac:dyDescent="0.25">
      <c r="A939" s="16" t="str">
        <f>IF(URN&lt;&gt;"",_xll.mdValue("Resident",_xlnm.Database,$F939),"")</f>
        <v/>
      </c>
      <c r="B939" s="16" t="str">
        <f>IF(PersonId&lt;&gt;"",_xll.mdValue("Resident First Name",_xlnm.Database,$A$8),"")</f>
        <v/>
      </c>
      <c r="C939" s="16" t="str">
        <f>IF(PersonId&lt;&gt;"",_xll.mdValue("Resident Last Name",_xlnm.Database,$A$8),"")</f>
        <v/>
      </c>
      <c r="D939" s="16" t="str">
        <f>IF(PersonId&lt;&gt;"",_xll.mdValue("Person Accomodation Code",_xlnm.Database,$A939),"")</f>
        <v/>
      </c>
      <c r="E939" s="28" t="str">
        <f t="shared" si="28"/>
        <v/>
      </c>
      <c r="F939" s="16" t="str">
        <f>IF('Paste Here'!$A933&lt;&gt;"",'Paste Here'!$A933,"")</f>
        <v/>
      </c>
      <c r="G939" s="16" t="str">
        <f>IF('Paste Here'!$B933&lt;&gt;"",'Paste Here'!$B933,"")</f>
        <v/>
      </c>
      <c r="H939" s="16" t="str">
        <f>IF('Paste Here'!$C933&lt;&gt;"",'Paste Here'!$C933,"")</f>
        <v/>
      </c>
      <c r="I939" s="25" t="str">
        <f>IF('Paste Here'!$D933&lt;&gt;"",'Paste Here'!$D933,"")</f>
        <v/>
      </c>
      <c r="J939" s="27" t="str">
        <f>IF('Paste Here'!$E933&lt;&gt;"",'Paste Here'!$E933,"")</f>
        <v/>
      </c>
      <c r="K939" s="16" t="str">
        <f>IF('Paste Here'!$F933&lt;&gt;"",'Paste Here'!$F933,"")</f>
        <v/>
      </c>
      <c r="L939" s="16" t="str">
        <f>IF('Paste Here'!$G933&lt;&gt;"",'Paste Here'!$G933,"")</f>
        <v/>
      </c>
      <c r="M939" s="18" t="str">
        <f t="shared" si="29"/>
        <v/>
      </c>
    </row>
    <row r="940" spans="1:13" s="17" customFormat="1" x14ac:dyDescent="0.25">
      <c r="A940" s="16" t="str">
        <f>IF(URN&lt;&gt;"",_xll.mdValue("Resident",_xlnm.Database,$F940),"")</f>
        <v/>
      </c>
      <c r="B940" s="16" t="str">
        <f>IF(PersonId&lt;&gt;"",_xll.mdValue("Resident First Name",_xlnm.Database,$A$8),"")</f>
        <v/>
      </c>
      <c r="C940" s="16" t="str">
        <f>IF(PersonId&lt;&gt;"",_xll.mdValue("Resident Last Name",_xlnm.Database,$A$8),"")</f>
        <v/>
      </c>
      <c r="D940" s="16" t="str">
        <f>IF(PersonId&lt;&gt;"",_xll.mdValue("Person Accomodation Code",_xlnm.Database,$A940),"")</f>
        <v/>
      </c>
      <c r="E940" s="28" t="str">
        <f t="shared" si="28"/>
        <v/>
      </c>
      <c r="F940" s="16" t="str">
        <f>IF('Paste Here'!$A934&lt;&gt;"",'Paste Here'!$A934,"")</f>
        <v/>
      </c>
      <c r="G940" s="16" t="str">
        <f>IF('Paste Here'!$B934&lt;&gt;"",'Paste Here'!$B934,"")</f>
        <v/>
      </c>
      <c r="H940" s="16" t="str">
        <f>IF('Paste Here'!$C934&lt;&gt;"",'Paste Here'!$C934,"")</f>
        <v/>
      </c>
      <c r="I940" s="25" t="str">
        <f>IF('Paste Here'!$D934&lt;&gt;"",'Paste Here'!$D934,"")</f>
        <v/>
      </c>
      <c r="J940" s="27" t="str">
        <f>IF('Paste Here'!$E934&lt;&gt;"",'Paste Here'!$E934,"")</f>
        <v/>
      </c>
      <c r="K940" s="16" t="str">
        <f>IF('Paste Here'!$F934&lt;&gt;"",'Paste Here'!$F934,"")</f>
        <v/>
      </c>
      <c r="L940" s="16" t="str">
        <f>IF('Paste Here'!$G934&lt;&gt;"",'Paste Here'!$G934,"")</f>
        <v/>
      </c>
      <c r="M940" s="18" t="str">
        <f t="shared" si="29"/>
        <v/>
      </c>
    </row>
    <row r="941" spans="1:13" s="17" customFormat="1" x14ac:dyDescent="0.25">
      <c r="A941" s="16" t="str">
        <f>IF(URN&lt;&gt;"",_xll.mdValue("Resident",_xlnm.Database,$F941),"")</f>
        <v/>
      </c>
      <c r="B941" s="16" t="str">
        <f>IF(PersonId&lt;&gt;"",_xll.mdValue("Resident First Name",_xlnm.Database,$A$8),"")</f>
        <v/>
      </c>
      <c r="C941" s="16" t="str">
        <f>IF(PersonId&lt;&gt;"",_xll.mdValue("Resident Last Name",_xlnm.Database,$A$8),"")</f>
        <v/>
      </c>
      <c r="D941" s="16" t="str">
        <f>IF(PersonId&lt;&gt;"",_xll.mdValue("Person Accomodation Code",_xlnm.Database,$A941),"")</f>
        <v/>
      </c>
      <c r="E941" s="28" t="str">
        <f t="shared" si="28"/>
        <v/>
      </c>
      <c r="F941" s="16" t="str">
        <f>IF('Paste Here'!$A935&lt;&gt;"",'Paste Here'!$A935,"")</f>
        <v/>
      </c>
      <c r="G941" s="16" t="str">
        <f>IF('Paste Here'!$B935&lt;&gt;"",'Paste Here'!$B935,"")</f>
        <v/>
      </c>
      <c r="H941" s="16" t="str">
        <f>IF('Paste Here'!$C935&lt;&gt;"",'Paste Here'!$C935,"")</f>
        <v/>
      </c>
      <c r="I941" s="25" t="str">
        <f>IF('Paste Here'!$D935&lt;&gt;"",'Paste Here'!$D935,"")</f>
        <v/>
      </c>
      <c r="J941" s="27" t="str">
        <f>IF('Paste Here'!$E935&lt;&gt;"",'Paste Here'!$E935,"")</f>
        <v/>
      </c>
      <c r="K941" s="16" t="str">
        <f>IF('Paste Here'!$F935&lt;&gt;"",'Paste Here'!$F935,"")</f>
        <v/>
      </c>
      <c r="L941" s="16" t="str">
        <f>IF('Paste Here'!$G935&lt;&gt;"",'Paste Here'!$G935,"")</f>
        <v/>
      </c>
      <c r="M941" s="18" t="str">
        <f t="shared" si="29"/>
        <v/>
      </c>
    </row>
    <row r="942" spans="1:13" s="17" customFormat="1" x14ac:dyDescent="0.25">
      <c r="A942" s="16" t="str">
        <f>IF(URN&lt;&gt;"",_xll.mdValue("Resident",_xlnm.Database,$F942),"")</f>
        <v/>
      </c>
      <c r="B942" s="16" t="str">
        <f>IF(PersonId&lt;&gt;"",_xll.mdValue("Resident First Name",_xlnm.Database,$A$8),"")</f>
        <v/>
      </c>
      <c r="C942" s="16" t="str">
        <f>IF(PersonId&lt;&gt;"",_xll.mdValue("Resident Last Name",_xlnm.Database,$A$8),"")</f>
        <v/>
      </c>
      <c r="D942" s="16" t="str">
        <f>IF(PersonId&lt;&gt;"",_xll.mdValue("Person Accomodation Code",_xlnm.Database,$A942),"")</f>
        <v/>
      </c>
      <c r="E942" s="28" t="str">
        <f t="shared" si="28"/>
        <v/>
      </c>
      <c r="F942" s="16" t="str">
        <f>IF('Paste Here'!$A936&lt;&gt;"",'Paste Here'!$A936,"")</f>
        <v/>
      </c>
      <c r="G942" s="16" t="str">
        <f>IF('Paste Here'!$B936&lt;&gt;"",'Paste Here'!$B936,"")</f>
        <v/>
      </c>
      <c r="H942" s="16" t="str">
        <f>IF('Paste Here'!$C936&lt;&gt;"",'Paste Here'!$C936,"")</f>
        <v/>
      </c>
      <c r="I942" s="25" t="str">
        <f>IF('Paste Here'!$D936&lt;&gt;"",'Paste Here'!$D936,"")</f>
        <v/>
      </c>
      <c r="J942" s="27" t="str">
        <f>IF('Paste Here'!$E936&lt;&gt;"",'Paste Here'!$E936,"")</f>
        <v/>
      </c>
      <c r="K942" s="16" t="str">
        <f>IF('Paste Here'!$F936&lt;&gt;"",'Paste Here'!$F936,"")</f>
        <v/>
      </c>
      <c r="L942" s="16" t="str">
        <f>IF('Paste Here'!$G936&lt;&gt;"",'Paste Here'!$G936,"")</f>
        <v/>
      </c>
      <c r="M942" s="18" t="str">
        <f t="shared" si="29"/>
        <v/>
      </c>
    </row>
    <row r="943" spans="1:13" s="17" customFormat="1" x14ac:dyDescent="0.25">
      <c r="A943" s="16" t="str">
        <f>IF(URN&lt;&gt;"",_xll.mdValue("Resident",_xlnm.Database,$F943),"")</f>
        <v/>
      </c>
      <c r="B943" s="16" t="str">
        <f>IF(PersonId&lt;&gt;"",_xll.mdValue("Resident First Name",_xlnm.Database,$A$8),"")</f>
        <v/>
      </c>
      <c r="C943" s="16" t="str">
        <f>IF(PersonId&lt;&gt;"",_xll.mdValue("Resident Last Name",_xlnm.Database,$A$8),"")</f>
        <v/>
      </c>
      <c r="D943" s="16" t="str">
        <f>IF(PersonId&lt;&gt;"",_xll.mdValue("Person Accomodation Code",_xlnm.Database,$A943),"")</f>
        <v/>
      </c>
      <c r="E943" s="28" t="str">
        <f t="shared" si="28"/>
        <v/>
      </c>
      <c r="F943" s="16" t="str">
        <f>IF('Paste Here'!$A937&lt;&gt;"",'Paste Here'!$A937,"")</f>
        <v/>
      </c>
      <c r="G943" s="16" t="str">
        <f>IF('Paste Here'!$B937&lt;&gt;"",'Paste Here'!$B937,"")</f>
        <v/>
      </c>
      <c r="H943" s="16" t="str">
        <f>IF('Paste Here'!$C937&lt;&gt;"",'Paste Here'!$C937,"")</f>
        <v/>
      </c>
      <c r="I943" s="25" t="str">
        <f>IF('Paste Here'!$D937&lt;&gt;"",'Paste Here'!$D937,"")</f>
        <v/>
      </c>
      <c r="J943" s="27" t="str">
        <f>IF('Paste Here'!$E937&lt;&gt;"",'Paste Here'!$E937,"")</f>
        <v/>
      </c>
      <c r="K943" s="16" t="str">
        <f>IF('Paste Here'!$F937&lt;&gt;"",'Paste Here'!$F937,"")</f>
        <v/>
      </c>
      <c r="L943" s="16" t="str">
        <f>IF('Paste Here'!$G937&lt;&gt;"",'Paste Here'!$G937,"")</f>
        <v/>
      </c>
      <c r="M943" s="18" t="str">
        <f t="shared" si="29"/>
        <v/>
      </c>
    </row>
    <row r="944" spans="1:13" s="17" customFormat="1" x14ac:dyDescent="0.25">
      <c r="A944" s="16" t="str">
        <f>IF(URN&lt;&gt;"",_xll.mdValue("Resident",_xlnm.Database,$F944),"")</f>
        <v/>
      </c>
      <c r="B944" s="16" t="str">
        <f>IF(PersonId&lt;&gt;"",_xll.mdValue("Resident First Name",_xlnm.Database,$A$8),"")</f>
        <v/>
      </c>
      <c r="C944" s="16" t="str">
        <f>IF(PersonId&lt;&gt;"",_xll.mdValue("Resident Last Name",_xlnm.Database,$A$8),"")</f>
        <v/>
      </c>
      <c r="D944" s="16" t="str">
        <f>IF(PersonId&lt;&gt;"",_xll.mdValue("Person Accomodation Code",_xlnm.Database,$A944),"")</f>
        <v/>
      </c>
      <c r="E944" s="28" t="str">
        <f t="shared" si="28"/>
        <v/>
      </c>
      <c r="F944" s="16" t="str">
        <f>IF('Paste Here'!$A938&lt;&gt;"",'Paste Here'!$A938,"")</f>
        <v/>
      </c>
      <c r="G944" s="16" t="str">
        <f>IF('Paste Here'!$B938&lt;&gt;"",'Paste Here'!$B938,"")</f>
        <v/>
      </c>
      <c r="H944" s="16" t="str">
        <f>IF('Paste Here'!$C938&lt;&gt;"",'Paste Here'!$C938,"")</f>
        <v/>
      </c>
      <c r="I944" s="25" t="str">
        <f>IF('Paste Here'!$D938&lt;&gt;"",'Paste Here'!$D938,"")</f>
        <v/>
      </c>
      <c r="J944" s="27" t="str">
        <f>IF('Paste Here'!$E938&lt;&gt;"",'Paste Here'!$E938,"")</f>
        <v/>
      </c>
      <c r="K944" s="16" t="str">
        <f>IF('Paste Here'!$F938&lt;&gt;"",'Paste Here'!$F938,"")</f>
        <v/>
      </c>
      <c r="L944" s="16" t="str">
        <f>IF('Paste Here'!$G938&lt;&gt;"",'Paste Here'!$G938,"")</f>
        <v/>
      </c>
      <c r="M944" s="18" t="str">
        <f t="shared" si="29"/>
        <v/>
      </c>
    </row>
    <row r="945" spans="1:13" s="17" customFormat="1" x14ac:dyDescent="0.25">
      <c r="A945" s="16" t="str">
        <f>IF(URN&lt;&gt;"",_xll.mdValue("Resident",_xlnm.Database,$F945),"")</f>
        <v/>
      </c>
      <c r="B945" s="16" t="str">
        <f>IF(PersonId&lt;&gt;"",_xll.mdValue("Resident First Name",_xlnm.Database,$A$8),"")</f>
        <v/>
      </c>
      <c r="C945" s="16" t="str">
        <f>IF(PersonId&lt;&gt;"",_xll.mdValue("Resident Last Name",_xlnm.Database,$A$8),"")</f>
        <v/>
      </c>
      <c r="D945" s="16" t="str">
        <f>IF(PersonId&lt;&gt;"",_xll.mdValue("Person Accomodation Code",_xlnm.Database,$A945),"")</f>
        <v/>
      </c>
      <c r="E945" s="28" t="str">
        <f t="shared" si="28"/>
        <v/>
      </c>
      <c r="F945" s="16" t="str">
        <f>IF('Paste Here'!$A939&lt;&gt;"",'Paste Here'!$A939,"")</f>
        <v/>
      </c>
      <c r="G945" s="16" t="str">
        <f>IF('Paste Here'!$B939&lt;&gt;"",'Paste Here'!$B939,"")</f>
        <v/>
      </c>
      <c r="H945" s="16" t="str">
        <f>IF('Paste Here'!$C939&lt;&gt;"",'Paste Here'!$C939,"")</f>
        <v/>
      </c>
      <c r="I945" s="25" t="str">
        <f>IF('Paste Here'!$D939&lt;&gt;"",'Paste Here'!$D939,"")</f>
        <v/>
      </c>
      <c r="J945" s="27" t="str">
        <f>IF('Paste Here'!$E939&lt;&gt;"",'Paste Here'!$E939,"")</f>
        <v/>
      </c>
      <c r="K945" s="16" t="str">
        <f>IF('Paste Here'!$F939&lt;&gt;"",'Paste Here'!$F939,"")</f>
        <v/>
      </c>
      <c r="L945" s="16" t="str">
        <f>IF('Paste Here'!$G939&lt;&gt;"",'Paste Here'!$G939,"")</f>
        <v/>
      </c>
      <c r="M945" s="18" t="str">
        <f t="shared" si="29"/>
        <v/>
      </c>
    </row>
    <row r="946" spans="1:13" s="17" customFormat="1" x14ac:dyDescent="0.25">
      <c r="A946" s="16" t="str">
        <f>IF(URN&lt;&gt;"",_xll.mdValue("Resident",_xlnm.Database,$F946),"")</f>
        <v/>
      </c>
      <c r="B946" s="16" t="str">
        <f>IF(PersonId&lt;&gt;"",_xll.mdValue("Resident First Name",_xlnm.Database,$A$8),"")</f>
        <v/>
      </c>
      <c r="C946" s="16" t="str">
        <f>IF(PersonId&lt;&gt;"",_xll.mdValue("Resident Last Name",_xlnm.Database,$A$8),"")</f>
        <v/>
      </c>
      <c r="D946" s="16" t="str">
        <f>IF(PersonId&lt;&gt;"",_xll.mdValue("Person Accomodation Code",_xlnm.Database,$A946),"")</f>
        <v/>
      </c>
      <c r="E946" s="28" t="str">
        <f t="shared" si="28"/>
        <v/>
      </c>
      <c r="F946" s="16" t="str">
        <f>IF('Paste Here'!$A940&lt;&gt;"",'Paste Here'!$A940,"")</f>
        <v/>
      </c>
      <c r="G946" s="16" t="str">
        <f>IF('Paste Here'!$B940&lt;&gt;"",'Paste Here'!$B940,"")</f>
        <v/>
      </c>
      <c r="H946" s="16" t="str">
        <f>IF('Paste Here'!$C940&lt;&gt;"",'Paste Here'!$C940,"")</f>
        <v/>
      </c>
      <c r="I946" s="25" t="str">
        <f>IF('Paste Here'!$D940&lt;&gt;"",'Paste Here'!$D940,"")</f>
        <v/>
      </c>
      <c r="J946" s="27" t="str">
        <f>IF('Paste Here'!$E940&lt;&gt;"",'Paste Here'!$E940,"")</f>
        <v/>
      </c>
      <c r="K946" s="16" t="str">
        <f>IF('Paste Here'!$F940&lt;&gt;"",'Paste Here'!$F940,"")</f>
        <v/>
      </c>
      <c r="L946" s="16" t="str">
        <f>IF('Paste Here'!$G940&lt;&gt;"",'Paste Here'!$G940,"")</f>
        <v/>
      </c>
      <c r="M946" s="18" t="str">
        <f t="shared" si="29"/>
        <v/>
      </c>
    </row>
    <row r="947" spans="1:13" s="17" customFormat="1" x14ac:dyDescent="0.25">
      <c r="A947" s="16" t="str">
        <f>IF(URN&lt;&gt;"",_xll.mdValue("Resident",_xlnm.Database,$F947),"")</f>
        <v/>
      </c>
      <c r="B947" s="16" t="str">
        <f>IF(PersonId&lt;&gt;"",_xll.mdValue("Resident First Name",_xlnm.Database,$A$8),"")</f>
        <v/>
      </c>
      <c r="C947" s="16" t="str">
        <f>IF(PersonId&lt;&gt;"",_xll.mdValue("Resident Last Name",_xlnm.Database,$A$8),"")</f>
        <v/>
      </c>
      <c r="D947" s="16" t="str">
        <f>IF(PersonId&lt;&gt;"",_xll.mdValue("Person Accomodation Code",_xlnm.Database,$A947),"")</f>
        <v/>
      </c>
      <c r="E947" s="28" t="str">
        <f t="shared" si="28"/>
        <v/>
      </c>
      <c r="F947" s="16" t="str">
        <f>IF('Paste Here'!$A941&lt;&gt;"",'Paste Here'!$A941,"")</f>
        <v/>
      </c>
      <c r="G947" s="16" t="str">
        <f>IF('Paste Here'!$B941&lt;&gt;"",'Paste Here'!$B941,"")</f>
        <v/>
      </c>
      <c r="H947" s="16" t="str">
        <f>IF('Paste Here'!$C941&lt;&gt;"",'Paste Here'!$C941,"")</f>
        <v/>
      </c>
      <c r="I947" s="25" t="str">
        <f>IF('Paste Here'!$D941&lt;&gt;"",'Paste Here'!$D941,"")</f>
        <v/>
      </c>
      <c r="J947" s="27" t="str">
        <f>IF('Paste Here'!$E941&lt;&gt;"",'Paste Here'!$E941,"")</f>
        <v/>
      </c>
      <c r="K947" s="16" t="str">
        <f>IF('Paste Here'!$F941&lt;&gt;"",'Paste Here'!$F941,"")</f>
        <v/>
      </c>
      <c r="L947" s="16" t="str">
        <f>IF('Paste Here'!$G941&lt;&gt;"",'Paste Here'!$G941,"")</f>
        <v/>
      </c>
      <c r="M947" s="18" t="str">
        <f t="shared" si="29"/>
        <v/>
      </c>
    </row>
    <row r="948" spans="1:13" s="17" customFormat="1" x14ac:dyDescent="0.25">
      <c r="A948" s="16" t="str">
        <f>IF(URN&lt;&gt;"",_xll.mdValue("Resident",_xlnm.Database,$F948),"")</f>
        <v/>
      </c>
      <c r="B948" s="16" t="str">
        <f>IF(PersonId&lt;&gt;"",_xll.mdValue("Resident First Name",_xlnm.Database,$A$8),"")</f>
        <v/>
      </c>
      <c r="C948" s="16" t="str">
        <f>IF(PersonId&lt;&gt;"",_xll.mdValue("Resident Last Name",_xlnm.Database,$A$8),"")</f>
        <v/>
      </c>
      <c r="D948" s="16" t="str">
        <f>IF(PersonId&lt;&gt;"",_xll.mdValue("Person Accomodation Code",_xlnm.Database,$A948),"")</f>
        <v/>
      </c>
      <c r="E948" s="28" t="str">
        <f t="shared" si="28"/>
        <v/>
      </c>
      <c r="F948" s="16" t="str">
        <f>IF('Paste Here'!$A942&lt;&gt;"",'Paste Here'!$A942,"")</f>
        <v/>
      </c>
      <c r="G948" s="16" t="str">
        <f>IF('Paste Here'!$B942&lt;&gt;"",'Paste Here'!$B942,"")</f>
        <v/>
      </c>
      <c r="H948" s="16" t="str">
        <f>IF('Paste Here'!$C942&lt;&gt;"",'Paste Here'!$C942,"")</f>
        <v/>
      </c>
      <c r="I948" s="25" t="str">
        <f>IF('Paste Here'!$D942&lt;&gt;"",'Paste Here'!$D942,"")</f>
        <v/>
      </c>
      <c r="J948" s="27" t="str">
        <f>IF('Paste Here'!$E942&lt;&gt;"",'Paste Here'!$E942,"")</f>
        <v/>
      </c>
      <c r="K948" s="16" t="str">
        <f>IF('Paste Here'!$F942&lt;&gt;"",'Paste Here'!$F942,"")</f>
        <v/>
      </c>
      <c r="L948" s="16" t="str">
        <f>IF('Paste Here'!$G942&lt;&gt;"",'Paste Here'!$G942,"")</f>
        <v/>
      </c>
      <c r="M948" s="18" t="str">
        <f t="shared" si="29"/>
        <v/>
      </c>
    </row>
    <row r="949" spans="1:13" s="17" customFormat="1" x14ac:dyDescent="0.25">
      <c r="A949" s="16" t="str">
        <f>IF(URN&lt;&gt;"",_xll.mdValue("Resident",_xlnm.Database,$F949),"")</f>
        <v/>
      </c>
      <c r="B949" s="16" t="str">
        <f>IF(PersonId&lt;&gt;"",_xll.mdValue("Resident First Name",_xlnm.Database,$A$8),"")</f>
        <v/>
      </c>
      <c r="C949" s="16" t="str">
        <f>IF(PersonId&lt;&gt;"",_xll.mdValue("Resident Last Name",_xlnm.Database,$A$8),"")</f>
        <v/>
      </c>
      <c r="D949" s="16" t="str">
        <f>IF(PersonId&lt;&gt;"",_xll.mdValue("Person Accomodation Code",_xlnm.Database,$A949),"")</f>
        <v/>
      </c>
      <c r="E949" s="28" t="str">
        <f t="shared" si="28"/>
        <v/>
      </c>
      <c r="F949" s="16" t="str">
        <f>IF('Paste Here'!$A943&lt;&gt;"",'Paste Here'!$A943,"")</f>
        <v/>
      </c>
      <c r="G949" s="16" t="str">
        <f>IF('Paste Here'!$B943&lt;&gt;"",'Paste Here'!$B943,"")</f>
        <v/>
      </c>
      <c r="H949" s="16" t="str">
        <f>IF('Paste Here'!$C943&lt;&gt;"",'Paste Here'!$C943,"")</f>
        <v/>
      </c>
      <c r="I949" s="25" t="str">
        <f>IF('Paste Here'!$D943&lt;&gt;"",'Paste Here'!$D943,"")</f>
        <v/>
      </c>
      <c r="J949" s="27" t="str">
        <f>IF('Paste Here'!$E943&lt;&gt;"",'Paste Here'!$E943,"")</f>
        <v/>
      </c>
      <c r="K949" s="16" t="str">
        <f>IF('Paste Here'!$F943&lt;&gt;"",'Paste Here'!$F943,"")</f>
        <v/>
      </c>
      <c r="L949" s="16" t="str">
        <f>IF('Paste Here'!$G943&lt;&gt;"",'Paste Here'!$G943,"")</f>
        <v/>
      </c>
      <c r="M949" s="18" t="str">
        <f t="shared" si="29"/>
        <v/>
      </c>
    </row>
    <row r="950" spans="1:13" s="17" customFormat="1" x14ac:dyDescent="0.25">
      <c r="A950" s="16" t="str">
        <f>IF(URN&lt;&gt;"",_xll.mdValue("Resident",_xlnm.Database,$F950),"")</f>
        <v/>
      </c>
      <c r="B950" s="16" t="str">
        <f>IF(PersonId&lt;&gt;"",_xll.mdValue("Resident First Name",_xlnm.Database,$A$8),"")</f>
        <v/>
      </c>
      <c r="C950" s="16" t="str">
        <f>IF(PersonId&lt;&gt;"",_xll.mdValue("Resident Last Name",_xlnm.Database,$A$8),"")</f>
        <v/>
      </c>
      <c r="D950" s="16" t="str">
        <f>IF(PersonId&lt;&gt;"",_xll.mdValue("Person Accomodation Code",_xlnm.Database,$A950),"")</f>
        <v/>
      </c>
      <c r="E950" s="28" t="str">
        <f t="shared" si="28"/>
        <v/>
      </c>
      <c r="F950" s="16" t="str">
        <f>IF('Paste Here'!$A944&lt;&gt;"",'Paste Here'!$A944,"")</f>
        <v/>
      </c>
      <c r="G950" s="16" t="str">
        <f>IF('Paste Here'!$B944&lt;&gt;"",'Paste Here'!$B944,"")</f>
        <v/>
      </c>
      <c r="H950" s="16" t="str">
        <f>IF('Paste Here'!$C944&lt;&gt;"",'Paste Here'!$C944,"")</f>
        <v/>
      </c>
      <c r="I950" s="25" t="str">
        <f>IF('Paste Here'!$D944&lt;&gt;"",'Paste Here'!$D944,"")</f>
        <v/>
      </c>
      <c r="J950" s="27" t="str">
        <f>IF('Paste Here'!$E944&lt;&gt;"",'Paste Here'!$E944,"")</f>
        <v/>
      </c>
      <c r="K950" s="16" t="str">
        <f>IF('Paste Here'!$F944&lt;&gt;"",'Paste Here'!$F944,"")</f>
        <v/>
      </c>
      <c r="L950" s="16" t="str">
        <f>IF('Paste Here'!$G944&lt;&gt;"",'Paste Here'!$G944,"")</f>
        <v/>
      </c>
      <c r="M950" s="18" t="str">
        <f t="shared" si="29"/>
        <v/>
      </c>
    </row>
    <row r="951" spans="1:13" s="17" customFormat="1" x14ac:dyDescent="0.25">
      <c r="A951" s="16" t="str">
        <f>IF(URN&lt;&gt;"",_xll.mdValue("Resident",_xlnm.Database,$F951),"")</f>
        <v/>
      </c>
      <c r="B951" s="16" t="str">
        <f>IF(PersonId&lt;&gt;"",_xll.mdValue("Resident First Name",_xlnm.Database,$A$8),"")</f>
        <v/>
      </c>
      <c r="C951" s="16" t="str">
        <f>IF(PersonId&lt;&gt;"",_xll.mdValue("Resident Last Name",_xlnm.Database,$A$8),"")</f>
        <v/>
      </c>
      <c r="D951" s="16" t="str">
        <f>IF(PersonId&lt;&gt;"",_xll.mdValue("Person Accomodation Code",_xlnm.Database,$A951),"")</f>
        <v/>
      </c>
      <c r="E951" s="28" t="str">
        <f t="shared" si="28"/>
        <v/>
      </c>
      <c r="F951" s="16" t="str">
        <f>IF('Paste Here'!$A945&lt;&gt;"",'Paste Here'!$A945,"")</f>
        <v/>
      </c>
      <c r="G951" s="16" t="str">
        <f>IF('Paste Here'!$B945&lt;&gt;"",'Paste Here'!$B945,"")</f>
        <v/>
      </c>
      <c r="H951" s="16" t="str">
        <f>IF('Paste Here'!$C945&lt;&gt;"",'Paste Here'!$C945,"")</f>
        <v/>
      </c>
      <c r="I951" s="25" t="str">
        <f>IF('Paste Here'!$D945&lt;&gt;"",'Paste Here'!$D945,"")</f>
        <v/>
      </c>
      <c r="J951" s="27" t="str">
        <f>IF('Paste Here'!$E945&lt;&gt;"",'Paste Here'!$E945,"")</f>
        <v/>
      </c>
      <c r="K951" s="16" t="str">
        <f>IF('Paste Here'!$F945&lt;&gt;"",'Paste Here'!$F945,"")</f>
        <v/>
      </c>
      <c r="L951" s="16" t="str">
        <f>IF('Paste Here'!$G945&lt;&gt;"",'Paste Here'!$G945,"")</f>
        <v/>
      </c>
      <c r="M951" s="18" t="str">
        <f t="shared" si="29"/>
        <v/>
      </c>
    </row>
    <row r="952" spans="1:13" s="17" customFormat="1" x14ac:dyDescent="0.25">
      <c r="A952" s="16" t="str">
        <f>IF(URN&lt;&gt;"",_xll.mdValue("Resident",_xlnm.Database,$F952),"")</f>
        <v/>
      </c>
      <c r="B952" s="16" t="str">
        <f>IF(PersonId&lt;&gt;"",_xll.mdValue("Resident First Name",_xlnm.Database,$A$8),"")</f>
        <v/>
      </c>
      <c r="C952" s="16" t="str">
        <f>IF(PersonId&lt;&gt;"",_xll.mdValue("Resident Last Name",_xlnm.Database,$A$8),"")</f>
        <v/>
      </c>
      <c r="D952" s="16" t="str">
        <f>IF(PersonId&lt;&gt;"",_xll.mdValue("Person Accomodation Code",_xlnm.Database,$A952),"")</f>
        <v/>
      </c>
      <c r="E952" s="28" t="str">
        <f t="shared" si="28"/>
        <v/>
      </c>
      <c r="F952" s="16" t="str">
        <f>IF('Paste Here'!$A946&lt;&gt;"",'Paste Here'!$A946,"")</f>
        <v/>
      </c>
      <c r="G952" s="16" t="str">
        <f>IF('Paste Here'!$B946&lt;&gt;"",'Paste Here'!$B946,"")</f>
        <v/>
      </c>
      <c r="H952" s="16" t="str">
        <f>IF('Paste Here'!$C946&lt;&gt;"",'Paste Here'!$C946,"")</f>
        <v/>
      </c>
      <c r="I952" s="25" t="str">
        <f>IF('Paste Here'!$D946&lt;&gt;"",'Paste Here'!$D946,"")</f>
        <v/>
      </c>
      <c r="J952" s="27" t="str">
        <f>IF('Paste Here'!$E946&lt;&gt;"",'Paste Here'!$E946,"")</f>
        <v/>
      </c>
      <c r="K952" s="16" t="str">
        <f>IF('Paste Here'!$F946&lt;&gt;"",'Paste Here'!$F946,"")</f>
        <v/>
      </c>
      <c r="L952" s="16" t="str">
        <f>IF('Paste Here'!$G946&lt;&gt;"",'Paste Here'!$G946,"")</f>
        <v/>
      </c>
      <c r="M952" s="18" t="str">
        <f t="shared" si="29"/>
        <v/>
      </c>
    </row>
    <row r="953" spans="1:13" s="17" customFormat="1" x14ac:dyDescent="0.25">
      <c r="A953" s="16" t="str">
        <f>IF(URN&lt;&gt;"",_xll.mdValue("Resident",_xlnm.Database,$F953),"")</f>
        <v/>
      </c>
      <c r="B953" s="16" t="str">
        <f>IF(PersonId&lt;&gt;"",_xll.mdValue("Resident First Name",_xlnm.Database,$A$8),"")</f>
        <v/>
      </c>
      <c r="C953" s="16" t="str">
        <f>IF(PersonId&lt;&gt;"",_xll.mdValue("Resident Last Name",_xlnm.Database,$A$8),"")</f>
        <v/>
      </c>
      <c r="D953" s="16" t="str">
        <f>IF(PersonId&lt;&gt;"",_xll.mdValue("Person Accomodation Code",_xlnm.Database,$A953),"")</f>
        <v/>
      </c>
      <c r="E953" s="28" t="str">
        <f t="shared" si="28"/>
        <v/>
      </c>
      <c r="F953" s="16" t="str">
        <f>IF('Paste Here'!$A947&lt;&gt;"",'Paste Here'!$A947,"")</f>
        <v/>
      </c>
      <c r="G953" s="16" t="str">
        <f>IF('Paste Here'!$B947&lt;&gt;"",'Paste Here'!$B947,"")</f>
        <v/>
      </c>
      <c r="H953" s="16" t="str">
        <f>IF('Paste Here'!$C947&lt;&gt;"",'Paste Here'!$C947,"")</f>
        <v/>
      </c>
      <c r="I953" s="25" t="str">
        <f>IF('Paste Here'!$D947&lt;&gt;"",'Paste Here'!$D947,"")</f>
        <v/>
      </c>
      <c r="J953" s="27" t="str">
        <f>IF('Paste Here'!$E947&lt;&gt;"",'Paste Here'!$E947,"")</f>
        <v/>
      </c>
      <c r="K953" s="16" t="str">
        <f>IF('Paste Here'!$F947&lt;&gt;"",'Paste Here'!$F947,"")</f>
        <v/>
      </c>
      <c r="L953" s="16" t="str">
        <f>IF('Paste Here'!$G947&lt;&gt;"",'Paste Here'!$G947,"")</f>
        <v/>
      </c>
      <c r="M953" s="18" t="str">
        <f t="shared" si="29"/>
        <v/>
      </c>
    </row>
    <row r="954" spans="1:13" s="17" customFormat="1" x14ac:dyDescent="0.25">
      <c r="A954" s="16" t="str">
        <f>IF(URN&lt;&gt;"",_xll.mdValue("Resident",_xlnm.Database,$F954),"")</f>
        <v/>
      </c>
      <c r="B954" s="16" t="str">
        <f>IF(PersonId&lt;&gt;"",_xll.mdValue("Resident First Name",_xlnm.Database,$A$8),"")</f>
        <v/>
      </c>
      <c r="C954" s="16" t="str">
        <f>IF(PersonId&lt;&gt;"",_xll.mdValue("Resident Last Name",_xlnm.Database,$A$8),"")</f>
        <v/>
      </c>
      <c r="D954" s="16" t="str">
        <f>IF(PersonId&lt;&gt;"",_xll.mdValue("Person Accomodation Code",_xlnm.Database,$A954),"")</f>
        <v/>
      </c>
      <c r="E954" s="28" t="str">
        <f t="shared" si="28"/>
        <v/>
      </c>
      <c r="F954" s="16" t="str">
        <f>IF('Paste Here'!$A948&lt;&gt;"",'Paste Here'!$A948,"")</f>
        <v/>
      </c>
      <c r="G954" s="16" t="str">
        <f>IF('Paste Here'!$B948&lt;&gt;"",'Paste Here'!$B948,"")</f>
        <v/>
      </c>
      <c r="H954" s="16" t="str">
        <f>IF('Paste Here'!$C948&lt;&gt;"",'Paste Here'!$C948,"")</f>
        <v/>
      </c>
      <c r="I954" s="25" t="str">
        <f>IF('Paste Here'!$D948&lt;&gt;"",'Paste Here'!$D948,"")</f>
        <v/>
      </c>
      <c r="J954" s="27" t="str">
        <f>IF('Paste Here'!$E948&lt;&gt;"",'Paste Here'!$E948,"")</f>
        <v/>
      </c>
      <c r="K954" s="16" t="str">
        <f>IF('Paste Here'!$F948&lt;&gt;"",'Paste Here'!$F948,"")</f>
        <v/>
      </c>
      <c r="L954" s="16" t="str">
        <f>IF('Paste Here'!$G948&lt;&gt;"",'Paste Here'!$G948,"")</f>
        <v/>
      </c>
      <c r="M954" s="18" t="str">
        <f t="shared" si="29"/>
        <v/>
      </c>
    </row>
    <row r="955" spans="1:13" s="17" customFormat="1" x14ac:dyDescent="0.25">
      <c r="A955" s="16" t="str">
        <f>IF(URN&lt;&gt;"",_xll.mdValue("Resident",_xlnm.Database,$F955),"")</f>
        <v/>
      </c>
      <c r="B955" s="16" t="str">
        <f>IF(PersonId&lt;&gt;"",_xll.mdValue("Resident First Name",_xlnm.Database,$A$8),"")</f>
        <v/>
      </c>
      <c r="C955" s="16" t="str">
        <f>IF(PersonId&lt;&gt;"",_xll.mdValue("Resident Last Name",_xlnm.Database,$A$8),"")</f>
        <v/>
      </c>
      <c r="D955" s="16" t="str">
        <f>IF(PersonId&lt;&gt;"",_xll.mdValue("Person Accomodation Code",_xlnm.Database,$A955),"")</f>
        <v/>
      </c>
      <c r="E955" s="28" t="str">
        <f t="shared" si="28"/>
        <v/>
      </c>
      <c r="F955" s="16" t="str">
        <f>IF('Paste Here'!$A949&lt;&gt;"",'Paste Here'!$A949,"")</f>
        <v/>
      </c>
      <c r="G955" s="16" t="str">
        <f>IF('Paste Here'!$B949&lt;&gt;"",'Paste Here'!$B949,"")</f>
        <v/>
      </c>
      <c r="H955" s="16" t="str">
        <f>IF('Paste Here'!$C949&lt;&gt;"",'Paste Here'!$C949,"")</f>
        <v/>
      </c>
      <c r="I955" s="25" t="str">
        <f>IF('Paste Here'!$D949&lt;&gt;"",'Paste Here'!$D949,"")</f>
        <v/>
      </c>
      <c r="J955" s="27" t="str">
        <f>IF('Paste Here'!$E949&lt;&gt;"",'Paste Here'!$E949,"")</f>
        <v/>
      </c>
      <c r="K955" s="16" t="str">
        <f>IF('Paste Here'!$F949&lt;&gt;"",'Paste Here'!$F949,"")</f>
        <v/>
      </c>
      <c r="L955" s="16" t="str">
        <f>IF('Paste Here'!$G949&lt;&gt;"",'Paste Here'!$G949,"")</f>
        <v/>
      </c>
      <c r="M955" s="18" t="str">
        <f t="shared" si="29"/>
        <v/>
      </c>
    </row>
    <row r="956" spans="1:13" s="17" customFormat="1" x14ac:dyDescent="0.25">
      <c r="A956" s="16" t="str">
        <f>IF(URN&lt;&gt;"",_xll.mdValue("Resident",_xlnm.Database,$F956),"")</f>
        <v/>
      </c>
      <c r="B956" s="16" t="str">
        <f>IF(PersonId&lt;&gt;"",_xll.mdValue("Resident First Name",_xlnm.Database,$A$8),"")</f>
        <v/>
      </c>
      <c r="C956" s="16" t="str">
        <f>IF(PersonId&lt;&gt;"",_xll.mdValue("Resident Last Name",_xlnm.Database,$A$8),"")</f>
        <v/>
      </c>
      <c r="D956" s="16" t="str">
        <f>IF(PersonId&lt;&gt;"",_xll.mdValue("Person Accomodation Code",_xlnm.Database,$A956),"")</f>
        <v/>
      </c>
      <c r="E956" s="28" t="str">
        <f t="shared" si="28"/>
        <v/>
      </c>
      <c r="F956" s="16" t="str">
        <f>IF('Paste Here'!$A950&lt;&gt;"",'Paste Here'!$A950,"")</f>
        <v/>
      </c>
      <c r="G956" s="16" t="str">
        <f>IF('Paste Here'!$B950&lt;&gt;"",'Paste Here'!$B950,"")</f>
        <v/>
      </c>
      <c r="H956" s="16" t="str">
        <f>IF('Paste Here'!$C950&lt;&gt;"",'Paste Here'!$C950,"")</f>
        <v/>
      </c>
      <c r="I956" s="25" t="str">
        <f>IF('Paste Here'!$D950&lt;&gt;"",'Paste Here'!$D950,"")</f>
        <v/>
      </c>
      <c r="J956" s="27" t="str">
        <f>IF('Paste Here'!$E950&lt;&gt;"",'Paste Here'!$E950,"")</f>
        <v/>
      </c>
      <c r="K956" s="16" t="str">
        <f>IF('Paste Here'!$F950&lt;&gt;"",'Paste Here'!$F950,"")</f>
        <v/>
      </c>
      <c r="L956" s="16" t="str">
        <f>IF('Paste Here'!$G950&lt;&gt;"",'Paste Here'!$G950,"")</f>
        <v/>
      </c>
      <c r="M956" s="18" t="str">
        <f t="shared" si="29"/>
        <v/>
      </c>
    </row>
    <row r="957" spans="1:13" s="17" customFormat="1" x14ac:dyDescent="0.25">
      <c r="A957" s="16" t="str">
        <f>IF(URN&lt;&gt;"",_xll.mdValue("Resident",_xlnm.Database,$F957),"")</f>
        <v/>
      </c>
      <c r="B957" s="16" t="str">
        <f>IF(PersonId&lt;&gt;"",_xll.mdValue("Resident First Name",_xlnm.Database,$A$8),"")</f>
        <v/>
      </c>
      <c r="C957" s="16" t="str">
        <f>IF(PersonId&lt;&gt;"",_xll.mdValue("Resident Last Name",_xlnm.Database,$A$8),"")</f>
        <v/>
      </c>
      <c r="D957" s="16" t="str">
        <f>IF(PersonId&lt;&gt;"",_xll.mdValue("Person Accomodation Code",_xlnm.Database,$A957),"")</f>
        <v/>
      </c>
      <c r="E957" s="28" t="str">
        <f t="shared" si="28"/>
        <v/>
      </c>
      <c r="F957" s="16" t="str">
        <f>IF('Paste Here'!$A951&lt;&gt;"",'Paste Here'!$A951,"")</f>
        <v/>
      </c>
      <c r="G957" s="16" t="str">
        <f>IF('Paste Here'!$B951&lt;&gt;"",'Paste Here'!$B951,"")</f>
        <v/>
      </c>
      <c r="H957" s="16" t="str">
        <f>IF('Paste Here'!$C951&lt;&gt;"",'Paste Here'!$C951,"")</f>
        <v/>
      </c>
      <c r="I957" s="25" t="str">
        <f>IF('Paste Here'!$D951&lt;&gt;"",'Paste Here'!$D951,"")</f>
        <v/>
      </c>
      <c r="J957" s="27" t="str">
        <f>IF('Paste Here'!$E951&lt;&gt;"",'Paste Here'!$E951,"")</f>
        <v/>
      </c>
      <c r="K957" s="16" t="str">
        <f>IF('Paste Here'!$F951&lt;&gt;"",'Paste Here'!$F951,"")</f>
        <v/>
      </c>
      <c r="L957" s="16" t="str">
        <f>IF('Paste Here'!$G951&lt;&gt;"",'Paste Here'!$G951,"")</f>
        <v/>
      </c>
      <c r="M957" s="18" t="str">
        <f t="shared" si="29"/>
        <v/>
      </c>
    </row>
    <row r="958" spans="1:13" s="17" customFormat="1" x14ac:dyDescent="0.25">
      <c r="A958" s="16" t="str">
        <f>IF(URN&lt;&gt;"",_xll.mdValue("Resident",_xlnm.Database,$F958),"")</f>
        <v/>
      </c>
      <c r="B958" s="16" t="str">
        <f>IF(PersonId&lt;&gt;"",_xll.mdValue("Resident First Name",_xlnm.Database,$A$8),"")</f>
        <v/>
      </c>
      <c r="C958" s="16" t="str">
        <f>IF(PersonId&lt;&gt;"",_xll.mdValue("Resident Last Name",_xlnm.Database,$A$8),"")</f>
        <v/>
      </c>
      <c r="D958" s="16" t="str">
        <f>IF(PersonId&lt;&gt;"",_xll.mdValue("Person Accomodation Code",_xlnm.Database,$A958),"")</f>
        <v/>
      </c>
      <c r="E958" s="28" t="str">
        <f t="shared" si="28"/>
        <v/>
      </c>
      <c r="F958" s="16" t="str">
        <f>IF('Paste Here'!$A952&lt;&gt;"",'Paste Here'!$A952,"")</f>
        <v/>
      </c>
      <c r="G958" s="16" t="str">
        <f>IF('Paste Here'!$B952&lt;&gt;"",'Paste Here'!$B952,"")</f>
        <v/>
      </c>
      <c r="H958" s="16" t="str">
        <f>IF('Paste Here'!$C952&lt;&gt;"",'Paste Here'!$C952,"")</f>
        <v/>
      </c>
      <c r="I958" s="25" t="str">
        <f>IF('Paste Here'!$D952&lt;&gt;"",'Paste Here'!$D952,"")</f>
        <v/>
      </c>
      <c r="J958" s="27" t="str">
        <f>IF('Paste Here'!$E952&lt;&gt;"",'Paste Here'!$E952,"")</f>
        <v/>
      </c>
      <c r="K958" s="16" t="str">
        <f>IF('Paste Here'!$F952&lt;&gt;"",'Paste Here'!$F952,"")</f>
        <v/>
      </c>
      <c r="L958" s="16" t="str">
        <f>IF('Paste Here'!$G952&lt;&gt;"",'Paste Here'!$G952,"")</f>
        <v/>
      </c>
      <c r="M958" s="18" t="str">
        <f t="shared" si="29"/>
        <v/>
      </c>
    </row>
    <row r="959" spans="1:13" s="17" customFormat="1" x14ac:dyDescent="0.25">
      <c r="A959" s="16" t="str">
        <f>IF(URN&lt;&gt;"",_xll.mdValue("Resident",_xlnm.Database,$F959),"")</f>
        <v/>
      </c>
      <c r="B959" s="16" t="str">
        <f>IF(PersonId&lt;&gt;"",_xll.mdValue("Resident First Name",_xlnm.Database,$A$8),"")</f>
        <v/>
      </c>
      <c r="C959" s="16" t="str">
        <f>IF(PersonId&lt;&gt;"",_xll.mdValue("Resident Last Name",_xlnm.Database,$A$8),"")</f>
        <v/>
      </c>
      <c r="D959" s="16" t="str">
        <f>IF(PersonId&lt;&gt;"",_xll.mdValue("Person Accomodation Code",_xlnm.Database,$A959),"")</f>
        <v/>
      </c>
      <c r="E959" s="28" t="str">
        <f t="shared" si="28"/>
        <v/>
      </c>
      <c r="F959" s="16" t="str">
        <f>IF('Paste Here'!$A953&lt;&gt;"",'Paste Here'!$A953,"")</f>
        <v/>
      </c>
      <c r="G959" s="16" t="str">
        <f>IF('Paste Here'!$B953&lt;&gt;"",'Paste Here'!$B953,"")</f>
        <v/>
      </c>
      <c r="H959" s="16" t="str">
        <f>IF('Paste Here'!$C953&lt;&gt;"",'Paste Here'!$C953,"")</f>
        <v/>
      </c>
      <c r="I959" s="25" t="str">
        <f>IF('Paste Here'!$D953&lt;&gt;"",'Paste Here'!$D953,"")</f>
        <v/>
      </c>
      <c r="J959" s="27" t="str">
        <f>IF('Paste Here'!$E953&lt;&gt;"",'Paste Here'!$E953,"")</f>
        <v/>
      </c>
      <c r="K959" s="16" t="str">
        <f>IF('Paste Here'!$F953&lt;&gt;"",'Paste Here'!$F953,"")</f>
        <v/>
      </c>
      <c r="L959" s="16" t="str">
        <f>IF('Paste Here'!$G953&lt;&gt;"",'Paste Here'!$G953,"")</f>
        <v/>
      </c>
      <c r="M959" s="18" t="str">
        <f t="shared" si="29"/>
        <v/>
      </c>
    </row>
    <row r="960" spans="1:13" s="17" customFormat="1" x14ac:dyDescent="0.25">
      <c r="A960" s="16" t="str">
        <f>IF(URN&lt;&gt;"",_xll.mdValue("Resident",_xlnm.Database,$F960),"")</f>
        <v/>
      </c>
      <c r="B960" s="16" t="str">
        <f>IF(PersonId&lt;&gt;"",_xll.mdValue("Resident First Name",_xlnm.Database,$A$8),"")</f>
        <v/>
      </c>
      <c r="C960" s="16" t="str">
        <f>IF(PersonId&lt;&gt;"",_xll.mdValue("Resident Last Name",_xlnm.Database,$A$8),"")</f>
        <v/>
      </c>
      <c r="D960" s="16" t="str">
        <f>IF(PersonId&lt;&gt;"",_xll.mdValue("Person Accomodation Code",_xlnm.Database,$A960),"")</f>
        <v/>
      </c>
      <c r="E960" s="28" t="str">
        <f t="shared" si="28"/>
        <v/>
      </c>
      <c r="F960" s="16" t="str">
        <f>IF('Paste Here'!$A954&lt;&gt;"",'Paste Here'!$A954,"")</f>
        <v/>
      </c>
      <c r="G960" s="16" t="str">
        <f>IF('Paste Here'!$B954&lt;&gt;"",'Paste Here'!$B954,"")</f>
        <v/>
      </c>
      <c r="H960" s="16" t="str">
        <f>IF('Paste Here'!$C954&lt;&gt;"",'Paste Here'!$C954,"")</f>
        <v/>
      </c>
      <c r="I960" s="25" t="str">
        <f>IF('Paste Here'!$D954&lt;&gt;"",'Paste Here'!$D954,"")</f>
        <v/>
      </c>
      <c r="J960" s="27" t="str">
        <f>IF('Paste Here'!$E954&lt;&gt;"",'Paste Here'!$E954,"")</f>
        <v/>
      </c>
      <c r="K960" s="16" t="str">
        <f>IF('Paste Here'!$F954&lt;&gt;"",'Paste Here'!$F954,"")</f>
        <v/>
      </c>
      <c r="L960" s="16" t="str">
        <f>IF('Paste Here'!$G954&lt;&gt;"",'Paste Here'!$G954,"")</f>
        <v/>
      </c>
      <c r="M960" s="18" t="str">
        <f t="shared" si="29"/>
        <v/>
      </c>
    </row>
    <row r="961" spans="1:13" s="17" customFormat="1" x14ac:dyDescent="0.25">
      <c r="A961" s="16" t="str">
        <f>IF(URN&lt;&gt;"",_xll.mdValue("Resident",_xlnm.Database,$F961),"")</f>
        <v/>
      </c>
      <c r="B961" s="16" t="str">
        <f>IF(PersonId&lt;&gt;"",_xll.mdValue("Resident First Name",_xlnm.Database,$A$8),"")</f>
        <v/>
      </c>
      <c r="C961" s="16" t="str">
        <f>IF(PersonId&lt;&gt;"",_xll.mdValue("Resident Last Name",_xlnm.Database,$A$8),"")</f>
        <v/>
      </c>
      <c r="D961" s="16" t="str">
        <f>IF(PersonId&lt;&gt;"",_xll.mdValue("Person Accomodation Code",_xlnm.Database,$A961),"")</f>
        <v/>
      </c>
      <c r="E961" s="28" t="str">
        <f t="shared" si="28"/>
        <v/>
      </c>
      <c r="F961" s="16" t="str">
        <f>IF('Paste Here'!$A955&lt;&gt;"",'Paste Here'!$A955,"")</f>
        <v/>
      </c>
      <c r="G961" s="16" t="str">
        <f>IF('Paste Here'!$B955&lt;&gt;"",'Paste Here'!$B955,"")</f>
        <v/>
      </c>
      <c r="H961" s="16" t="str">
        <f>IF('Paste Here'!$C955&lt;&gt;"",'Paste Here'!$C955,"")</f>
        <v/>
      </c>
      <c r="I961" s="25" t="str">
        <f>IF('Paste Here'!$D955&lt;&gt;"",'Paste Here'!$D955,"")</f>
        <v/>
      </c>
      <c r="J961" s="27" t="str">
        <f>IF('Paste Here'!$E955&lt;&gt;"",'Paste Here'!$E955,"")</f>
        <v/>
      </c>
      <c r="K961" s="16" t="str">
        <f>IF('Paste Here'!$F955&lt;&gt;"",'Paste Here'!$F955,"")</f>
        <v/>
      </c>
      <c r="L961" s="16" t="str">
        <f>IF('Paste Here'!$G955&lt;&gt;"",'Paste Here'!$G955,"")</f>
        <v/>
      </c>
      <c r="M961" s="18" t="str">
        <f t="shared" si="29"/>
        <v/>
      </c>
    </row>
    <row r="962" spans="1:13" s="17" customFormat="1" x14ac:dyDescent="0.25">
      <c r="A962" s="16" t="str">
        <f>IF(URN&lt;&gt;"",_xll.mdValue("Resident",_xlnm.Database,$F962),"")</f>
        <v/>
      </c>
      <c r="B962" s="16" t="str">
        <f>IF(PersonId&lt;&gt;"",_xll.mdValue("Resident First Name",_xlnm.Database,$A$8),"")</f>
        <v/>
      </c>
      <c r="C962" s="16" t="str">
        <f>IF(PersonId&lt;&gt;"",_xll.mdValue("Resident Last Name",_xlnm.Database,$A$8),"")</f>
        <v/>
      </c>
      <c r="D962" s="16" t="str">
        <f>IF(PersonId&lt;&gt;"",_xll.mdValue("Person Accomodation Code",_xlnm.Database,$A962),"")</f>
        <v/>
      </c>
      <c r="E962" s="28" t="str">
        <f t="shared" si="28"/>
        <v/>
      </c>
      <c r="F962" s="16" t="str">
        <f>IF('Paste Here'!$A956&lt;&gt;"",'Paste Here'!$A956,"")</f>
        <v/>
      </c>
      <c r="G962" s="16" t="str">
        <f>IF('Paste Here'!$B956&lt;&gt;"",'Paste Here'!$B956,"")</f>
        <v/>
      </c>
      <c r="H962" s="16" t="str">
        <f>IF('Paste Here'!$C956&lt;&gt;"",'Paste Here'!$C956,"")</f>
        <v/>
      </c>
      <c r="I962" s="25" t="str">
        <f>IF('Paste Here'!$D956&lt;&gt;"",'Paste Here'!$D956,"")</f>
        <v/>
      </c>
      <c r="J962" s="27" t="str">
        <f>IF('Paste Here'!$E956&lt;&gt;"",'Paste Here'!$E956,"")</f>
        <v/>
      </c>
      <c r="K962" s="16" t="str">
        <f>IF('Paste Here'!$F956&lt;&gt;"",'Paste Here'!$F956,"")</f>
        <v/>
      </c>
      <c r="L962" s="16" t="str">
        <f>IF('Paste Here'!$G956&lt;&gt;"",'Paste Here'!$G956,"")</f>
        <v/>
      </c>
      <c r="M962" s="18" t="str">
        <f t="shared" si="29"/>
        <v/>
      </c>
    </row>
    <row r="963" spans="1:13" s="17" customFormat="1" x14ac:dyDescent="0.25">
      <c r="A963" s="16" t="str">
        <f>IF(URN&lt;&gt;"",_xll.mdValue("Resident",_xlnm.Database,$F963),"")</f>
        <v/>
      </c>
      <c r="B963" s="16" t="str">
        <f>IF(PersonId&lt;&gt;"",_xll.mdValue("Resident First Name",_xlnm.Database,$A$8),"")</f>
        <v/>
      </c>
      <c r="C963" s="16" t="str">
        <f>IF(PersonId&lt;&gt;"",_xll.mdValue("Resident Last Name",_xlnm.Database,$A$8),"")</f>
        <v/>
      </c>
      <c r="D963" s="16" t="str">
        <f>IF(PersonId&lt;&gt;"",_xll.mdValue("Person Accomodation Code",_xlnm.Database,$A963),"")</f>
        <v/>
      </c>
      <c r="E963" s="28" t="str">
        <f t="shared" si="28"/>
        <v/>
      </c>
      <c r="F963" s="16" t="str">
        <f>IF('Paste Here'!$A957&lt;&gt;"",'Paste Here'!$A957,"")</f>
        <v/>
      </c>
      <c r="G963" s="16" t="str">
        <f>IF('Paste Here'!$B957&lt;&gt;"",'Paste Here'!$B957,"")</f>
        <v/>
      </c>
      <c r="H963" s="16" t="str">
        <f>IF('Paste Here'!$C957&lt;&gt;"",'Paste Here'!$C957,"")</f>
        <v/>
      </c>
      <c r="I963" s="25" t="str">
        <f>IF('Paste Here'!$D957&lt;&gt;"",'Paste Here'!$D957,"")</f>
        <v/>
      </c>
      <c r="J963" s="27" t="str">
        <f>IF('Paste Here'!$E957&lt;&gt;"",'Paste Here'!$E957,"")</f>
        <v/>
      </c>
      <c r="K963" s="16" t="str">
        <f>IF('Paste Here'!$F957&lt;&gt;"",'Paste Here'!$F957,"")</f>
        <v/>
      </c>
      <c r="L963" s="16" t="str">
        <f>IF('Paste Here'!$G957&lt;&gt;"",'Paste Here'!$G957,"")</f>
        <v/>
      </c>
      <c r="M963" s="18" t="str">
        <f t="shared" si="29"/>
        <v/>
      </c>
    </row>
    <row r="964" spans="1:13" s="17" customFormat="1" x14ac:dyDescent="0.25">
      <c r="A964" s="16" t="str">
        <f>IF(URN&lt;&gt;"",_xll.mdValue("Resident",_xlnm.Database,$F964),"")</f>
        <v/>
      </c>
      <c r="B964" s="16" t="str">
        <f>IF(PersonId&lt;&gt;"",_xll.mdValue("Resident First Name",_xlnm.Database,$A$8),"")</f>
        <v/>
      </c>
      <c r="C964" s="16" t="str">
        <f>IF(PersonId&lt;&gt;"",_xll.mdValue("Resident Last Name",_xlnm.Database,$A$8),"")</f>
        <v/>
      </c>
      <c r="D964" s="16" t="str">
        <f>IF(PersonId&lt;&gt;"",_xll.mdValue("Person Accomodation Code",_xlnm.Database,$A964),"")</f>
        <v/>
      </c>
      <c r="E964" s="28" t="str">
        <f t="shared" si="28"/>
        <v/>
      </c>
      <c r="F964" s="16" t="str">
        <f>IF('Paste Here'!$A958&lt;&gt;"",'Paste Here'!$A958,"")</f>
        <v/>
      </c>
      <c r="G964" s="16" t="str">
        <f>IF('Paste Here'!$B958&lt;&gt;"",'Paste Here'!$B958,"")</f>
        <v/>
      </c>
      <c r="H964" s="16" t="str">
        <f>IF('Paste Here'!$C958&lt;&gt;"",'Paste Here'!$C958,"")</f>
        <v/>
      </c>
      <c r="I964" s="25" t="str">
        <f>IF('Paste Here'!$D958&lt;&gt;"",'Paste Here'!$D958,"")</f>
        <v/>
      </c>
      <c r="J964" s="27" t="str">
        <f>IF('Paste Here'!$E958&lt;&gt;"",'Paste Here'!$E958,"")</f>
        <v/>
      </c>
      <c r="K964" s="16" t="str">
        <f>IF('Paste Here'!$F958&lt;&gt;"",'Paste Here'!$F958,"")</f>
        <v/>
      </c>
      <c r="L964" s="16" t="str">
        <f>IF('Paste Here'!$G958&lt;&gt;"",'Paste Here'!$G958,"")</f>
        <v/>
      </c>
      <c r="M964" s="18" t="str">
        <f t="shared" si="29"/>
        <v/>
      </c>
    </row>
    <row r="965" spans="1:13" s="17" customFormat="1" x14ac:dyDescent="0.25">
      <c r="A965" s="16" t="str">
        <f>IF(URN&lt;&gt;"",_xll.mdValue("Resident",_xlnm.Database,$F965),"")</f>
        <v/>
      </c>
      <c r="B965" s="16" t="str">
        <f>IF(PersonId&lt;&gt;"",_xll.mdValue("Resident First Name",_xlnm.Database,$A$8),"")</f>
        <v/>
      </c>
      <c r="C965" s="16" t="str">
        <f>IF(PersonId&lt;&gt;"",_xll.mdValue("Resident Last Name",_xlnm.Database,$A$8),"")</f>
        <v/>
      </c>
      <c r="D965" s="16" t="str">
        <f>IF(PersonId&lt;&gt;"",_xll.mdValue("Person Accomodation Code",_xlnm.Database,$A965),"")</f>
        <v/>
      </c>
      <c r="E965" s="28" t="str">
        <f t="shared" si="28"/>
        <v/>
      </c>
      <c r="F965" s="16" t="str">
        <f>IF('Paste Here'!$A959&lt;&gt;"",'Paste Here'!$A959,"")</f>
        <v/>
      </c>
      <c r="G965" s="16" t="str">
        <f>IF('Paste Here'!$B959&lt;&gt;"",'Paste Here'!$B959,"")</f>
        <v/>
      </c>
      <c r="H965" s="16" t="str">
        <f>IF('Paste Here'!$C959&lt;&gt;"",'Paste Here'!$C959,"")</f>
        <v/>
      </c>
      <c r="I965" s="25" t="str">
        <f>IF('Paste Here'!$D959&lt;&gt;"",'Paste Here'!$D959,"")</f>
        <v/>
      </c>
      <c r="J965" s="27" t="str">
        <f>IF('Paste Here'!$E959&lt;&gt;"",'Paste Here'!$E959,"")</f>
        <v/>
      </c>
      <c r="K965" s="16" t="str">
        <f>IF('Paste Here'!$F959&lt;&gt;"",'Paste Here'!$F959,"")</f>
        <v/>
      </c>
      <c r="L965" s="16" t="str">
        <f>IF('Paste Here'!$G959&lt;&gt;"",'Paste Here'!$G959,"")</f>
        <v/>
      </c>
      <c r="M965" s="18" t="str">
        <f t="shared" si="29"/>
        <v/>
      </c>
    </row>
    <row r="966" spans="1:13" s="17" customFormat="1" x14ac:dyDescent="0.25">
      <c r="A966" s="16" t="str">
        <f>IF(URN&lt;&gt;"",_xll.mdValue("Resident",_xlnm.Database,$F966),"")</f>
        <v/>
      </c>
      <c r="B966" s="16" t="str">
        <f>IF(PersonId&lt;&gt;"",_xll.mdValue("Resident First Name",_xlnm.Database,$A$8),"")</f>
        <v/>
      </c>
      <c r="C966" s="16" t="str">
        <f>IF(PersonId&lt;&gt;"",_xll.mdValue("Resident Last Name",_xlnm.Database,$A$8),"")</f>
        <v/>
      </c>
      <c r="D966" s="16" t="str">
        <f>IF(PersonId&lt;&gt;"",_xll.mdValue("Person Accomodation Code",_xlnm.Database,$A966),"")</f>
        <v/>
      </c>
      <c r="E966" s="28" t="str">
        <f t="shared" si="28"/>
        <v/>
      </c>
      <c r="F966" s="16" t="str">
        <f>IF('Paste Here'!$A960&lt;&gt;"",'Paste Here'!$A960,"")</f>
        <v/>
      </c>
      <c r="G966" s="16" t="str">
        <f>IF('Paste Here'!$B960&lt;&gt;"",'Paste Here'!$B960,"")</f>
        <v/>
      </c>
      <c r="H966" s="16" t="str">
        <f>IF('Paste Here'!$C960&lt;&gt;"",'Paste Here'!$C960,"")</f>
        <v/>
      </c>
      <c r="I966" s="25" t="str">
        <f>IF('Paste Here'!$D960&lt;&gt;"",'Paste Here'!$D960,"")</f>
        <v/>
      </c>
      <c r="J966" s="27" t="str">
        <f>IF('Paste Here'!$E960&lt;&gt;"",'Paste Here'!$E960,"")</f>
        <v/>
      </c>
      <c r="K966" s="16" t="str">
        <f>IF('Paste Here'!$F960&lt;&gt;"",'Paste Here'!$F960,"")</f>
        <v/>
      </c>
      <c r="L966" s="16" t="str">
        <f>IF('Paste Here'!$G960&lt;&gt;"",'Paste Here'!$G960,"")</f>
        <v/>
      </c>
      <c r="M966" s="18" t="str">
        <f t="shared" si="29"/>
        <v/>
      </c>
    </row>
    <row r="967" spans="1:13" s="17" customFormat="1" x14ac:dyDescent="0.25">
      <c r="A967" s="16" t="str">
        <f>IF(URN&lt;&gt;"",_xll.mdValue("Resident",_xlnm.Database,$F967),"")</f>
        <v/>
      </c>
      <c r="B967" s="16" t="str">
        <f>IF(PersonId&lt;&gt;"",_xll.mdValue("Resident First Name",_xlnm.Database,$A$8),"")</f>
        <v/>
      </c>
      <c r="C967" s="16" t="str">
        <f>IF(PersonId&lt;&gt;"",_xll.mdValue("Resident Last Name",_xlnm.Database,$A$8),"")</f>
        <v/>
      </c>
      <c r="D967" s="16" t="str">
        <f>IF(PersonId&lt;&gt;"",_xll.mdValue("Person Accomodation Code",_xlnm.Database,$A967),"")</f>
        <v/>
      </c>
      <c r="E967" s="28" t="str">
        <f t="shared" si="28"/>
        <v/>
      </c>
      <c r="F967" s="16" t="str">
        <f>IF('Paste Here'!$A961&lt;&gt;"",'Paste Here'!$A961,"")</f>
        <v/>
      </c>
      <c r="G967" s="16" t="str">
        <f>IF('Paste Here'!$B961&lt;&gt;"",'Paste Here'!$B961,"")</f>
        <v/>
      </c>
      <c r="H967" s="16" t="str">
        <f>IF('Paste Here'!$C961&lt;&gt;"",'Paste Here'!$C961,"")</f>
        <v/>
      </c>
      <c r="I967" s="25" t="str">
        <f>IF('Paste Here'!$D961&lt;&gt;"",'Paste Here'!$D961,"")</f>
        <v/>
      </c>
      <c r="J967" s="27" t="str">
        <f>IF('Paste Here'!$E961&lt;&gt;"",'Paste Here'!$E961,"")</f>
        <v/>
      </c>
      <c r="K967" s="16" t="str">
        <f>IF('Paste Here'!$F961&lt;&gt;"",'Paste Here'!$F961,"")</f>
        <v/>
      </c>
      <c r="L967" s="16" t="str">
        <f>IF('Paste Here'!$G961&lt;&gt;"",'Paste Here'!$G961,"")</f>
        <v/>
      </c>
      <c r="M967" s="18" t="str">
        <f t="shared" si="29"/>
        <v/>
      </c>
    </row>
    <row r="968" spans="1:13" s="17" customFormat="1" x14ac:dyDescent="0.25">
      <c r="A968" s="16" t="str">
        <f>IF(URN&lt;&gt;"",_xll.mdValue("Resident",_xlnm.Database,$F968),"")</f>
        <v/>
      </c>
      <c r="B968" s="16" t="str">
        <f>IF(PersonId&lt;&gt;"",_xll.mdValue("Resident First Name",_xlnm.Database,$A$8),"")</f>
        <v/>
      </c>
      <c r="C968" s="16" t="str">
        <f>IF(PersonId&lt;&gt;"",_xll.mdValue("Resident Last Name",_xlnm.Database,$A$8),"")</f>
        <v/>
      </c>
      <c r="D968" s="16" t="str">
        <f>IF(PersonId&lt;&gt;"",_xll.mdValue("Person Accomodation Code",_xlnm.Database,$A968),"")</f>
        <v/>
      </c>
      <c r="E968" s="28" t="str">
        <f t="shared" ref="E968:E1009" si="30">IF(ClientCare_Accommodation&lt;&gt;"",IF(ClientCare_Accommodation&lt;&gt;AccommodationCode,"Missing Accommodation",""),"")</f>
        <v/>
      </c>
      <c r="F968" s="16" t="str">
        <f>IF('Paste Here'!$A962&lt;&gt;"",'Paste Here'!$A962,"")</f>
        <v/>
      </c>
      <c r="G968" s="16" t="str">
        <f>IF('Paste Here'!$B962&lt;&gt;"",'Paste Here'!$B962,"")</f>
        <v/>
      </c>
      <c r="H968" s="16" t="str">
        <f>IF('Paste Here'!$C962&lt;&gt;"",'Paste Here'!$C962,"")</f>
        <v/>
      </c>
      <c r="I968" s="25" t="str">
        <f>IF('Paste Here'!$D962&lt;&gt;"",'Paste Here'!$D962,"")</f>
        <v/>
      </c>
      <c r="J968" s="27" t="str">
        <f>IF('Paste Here'!$E962&lt;&gt;"",'Paste Here'!$E962,"")</f>
        <v/>
      </c>
      <c r="K968" s="16" t="str">
        <f>IF('Paste Here'!$F962&lt;&gt;"",'Paste Here'!$F962,"")</f>
        <v/>
      </c>
      <c r="L968" s="16" t="str">
        <f>IF('Paste Here'!$G962&lt;&gt;"",'Paste Here'!$G962,"")</f>
        <v/>
      </c>
      <c r="M968" s="18" t="str">
        <f t="shared" ref="M968:M1009" si="31">IF(PersonId&lt;&gt;"","Normal","")</f>
        <v/>
      </c>
    </row>
    <row r="969" spans="1:13" s="17" customFormat="1" x14ac:dyDescent="0.25">
      <c r="A969" s="16" t="str">
        <f>IF(URN&lt;&gt;"",_xll.mdValue("Resident",_xlnm.Database,$F969),"")</f>
        <v/>
      </c>
      <c r="B969" s="16" t="str">
        <f>IF(PersonId&lt;&gt;"",_xll.mdValue("Resident First Name",_xlnm.Database,$A$8),"")</f>
        <v/>
      </c>
      <c r="C969" s="16" t="str">
        <f>IF(PersonId&lt;&gt;"",_xll.mdValue("Resident Last Name",_xlnm.Database,$A$8),"")</f>
        <v/>
      </c>
      <c r="D969" s="16" t="str">
        <f>IF(PersonId&lt;&gt;"",_xll.mdValue("Person Accomodation Code",_xlnm.Database,$A969),"")</f>
        <v/>
      </c>
      <c r="E969" s="28" t="str">
        <f t="shared" si="30"/>
        <v/>
      </c>
      <c r="F969" s="16" t="str">
        <f>IF('Paste Here'!$A963&lt;&gt;"",'Paste Here'!$A963,"")</f>
        <v/>
      </c>
      <c r="G969" s="16" t="str">
        <f>IF('Paste Here'!$B963&lt;&gt;"",'Paste Here'!$B963,"")</f>
        <v/>
      </c>
      <c r="H969" s="16" t="str">
        <f>IF('Paste Here'!$C963&lt;&gt;"",'Paste Here'!$C963,"")</f>
        <v/>
      </c>
      <c r="I969" s="25" t="str">
        <f>IF('Paste Here'!$D963&lt;&gt;"",'Paste Here'!$D963,"")</f>
        <v/>
      </c>
      <c r="J969" s="27" t="str">
        <f>IF('Paste Here'!$E963&lt;&gt;"",'Paste Here'!$E963,"")</f>
        <v/>
      </c>
      <c r="K969" s="16" t="str">
        <f>IF('Paste Here'!$F963&lt;&gt;"",'Paste Here'!$F963,"")</f>
        <v/>
      </c>
      <c r="L969" s="16" t="str">
        <f>IF('Paste Here'!$G963&lt;&gt;"",'Paste Here'!$G963,"")</f>
        <v/>
      </c>
      <c r="M969" s="18" t="str">
        <f t="shared" si="31"/>
        <v/>
      </c>
    </row>
    <row r="970" spans="1:13" s="17" customFormat="1" x14ac:dyDescent="0.25">
      <c r="A970" s="16" t="str">
        <f>IF(URN&lt;&gt;"",_xll.mdValue("Resident",_xlnm.Database,$F970),"")</f>
        <v/>
      </c>
      <c r="B970" s="16" t="str">
        <f>IF(PersonId&lt;&gt;"",_xll.mdValue("Resident First Name",_xlnm.Database,$A$8),"")</f>
        <v/>
      </c>
      <c r="C970" s="16" t="str">
        <f>IF(PersonId&lt;&gt;"",_xll.mdValue("Resident Last Name",_xlnm.Database,$A$8),"")</f>
        <v/>
      </c>
      <c r="D970" s="16" t="str">
        <f>IF(PersonId&lt;&gt;"",_xll.mdValue("Person Accomodation Code",_xlnm.Database,$A970),"")</f>
        <v/>
      </c>
      <c r="E970" s="28" t="str">
        <f t="shared" si="30"/>
        <v/>
      </c>
      <c r="F970" s="16" t="str">
        <f>IF('Paste Here'!$A964&lt;&gt;"",'Paste Here'!$A964,"")</f>
        <v/>
      </c>
      <c r="G970" s="16" t="str">
        <f>IF('Paste Here'!$B964&lt;&gt;"",'Paste Here'!$B964,"")</f>
        <v/>
      </c>
      <c r="H970" s="16" t="str">
        <f>IF('Paste Here'!$C964&lt;&gt;"",'Paste Here'!$C964,"")</f>
        <v/>
      </c>
      <c r="I970" s="25" t="str">
        <f>IF('Paste Here'!$D964&lt;&gt;"",'Paste Here'!$D964,"")</f>
        <v/>
      </c>
      <c r="J970" s="27" t="str">
        <f>IF('Paste Here'!$E964&lt;&gt;"",'Paste Here'!$E964,"")</f>
        <v/>
      </c>
      <c r="K970" s="16" t="str">
        <f>IF('Paste Here'!$F964&lt;&gt;"",'Paste Here'!$F964,"")</f>
        <v/>
      </c>
      <c r="L970" s="16" t="str">
        <f>IF('Paste Here'!$G964&lt;&gt;"",'Paste Here'!$G964,"")</f>
        <v/>
      </c>
      <c r="M970" s="18" t="str">
        <f t="shared" si="31"/>
        <v/>
      </c>
    </row>
    <row r="971" spans="1:13" s="17" customFormat="1" x14ac:dyDescent="0.25">
      <c r="A971" s="16" t="str">
        <f>IF(URN&lt;&gt;"",_xll.mdValue("Resident",_xlnm.Database,$F971),"")</f>
        <v/>
      </c>
      <c r="B971" s="16" t="str">
        <f>IF(PersonId&lt;&gt;"",_xll.mdValue("Resident First Name",_xlnm.Database,$A$8),"")</f>
        <v/>
      </c>
      <c r="C971" s="16" t="str">
        <f>IF(PersonId&lt;&gt;"",_xll.mdValue("Resident Last Name",_xlnm.Database,$A$8),"")</f>
        <v/>
      </c>
      <c r="D971" s="16" t="str">
        <f>IF(PersonId&lt;&gt;"",_xll.mdValue("Person Accomodation Code",_xlnm.Database,$A971),"")</f>
        <v/>
      </c>
      <c r="E971" s="28" t="str">
        <f t="shared" si="30"/>
        <v/>
      </c>
      <c r="F971" s="16" t="str">
        <f>IF('Paste Here'!$A965&lt;&gt;"",'Paste Here'!$A965,"")</f>
        <v/>
      </c>
      <c r="G971" s="16" t="str">
        <f>IF('Paste Here'!$B965&lt;&gt;"",'Paste Here'!$B965,"")</f>
        <v/>
      </c>
      <c r="H971" s="16" t="str">
        <f>IF('Paste Here'!$C965&lt;&gt;"",'Paste Here'!$C965,"")</f>
        <v/>
      </c>
      <c r="I971" s="25" t="str">
        <f>IF('Paste Here'!$D965&lt;&gt;"",'Paste Here'!$D965,"")</f>
        <v/>
      </c>
      <c r="J971" s="27" t="str">
        <f>IF('Paste Here'!$E965&lt;&gt;"",'Paste Here'!$E965,"")</f>
        <v/>
      </c>
      <c r="K971" s="16" t="str">
        <f>IF('Paste Here'!$F965&lt;&gt;"",'Paste Here'!$F965,"")</f>
        <v/>
      </c>
      <c r="L971" s="16" t="str">
        <f>IF('Paste Here'!$G965&lt;&gt;"",'Paste Here'!$G965,"")</f>
        <v/>
      </c>
      <c r="M971" s="18" t="str">
        <f t="shared" si="31"/>
        <v/>
      </c>
    </row>
    <row r="972" spans="1:13" s="17" customFormat="1" x14ac:dyDescent="0.25">
      <c r="A972" s="16" t="str">
        <f>IF(URN&lt;&gt;"",_xll.mdValue("Resident",_xlnm.Database,$F972),"")</f>
        <v/>
      </c>
      <c r="B972" s="16" t="str">
        <f>IF(PersonId&lt;&gt;"",_xll.mdValue("Resident First Name",_xlnm.Database,$A$8),"")</f>
        <v/>
      </c>
      <c r="C972" s="16" t="str">
        <f>IF(PersonId&lt;&gt;"",_xll.mdValue("Resident Last Name",_xlnm.Database,$A$8),"")</f>
        <v/>
      </c>
      <c r="D972" s="16" t="str">
        <f>IF(PersonId&lt;&gt;"",_xll.mdValue("Person Accomodation Code",_xlnm.Database,$A972),"")</f>
        <v/>
      </c>
      <c r="E972" s="28" t="str">
        <f t="shared" si="30"/>
        <v/>
      </c>
      <c r="F972" s="16" t="str">
        <f>IF('Paste Here'!$A966&lt;&gt;"",'Paste Here'!$A966,"")</f>
        <v/>
      </c>
      <c r="G972" s="16" t="str">
        <f>IF('Paste Here'!$B966&lt;&gt;"",'Paste Here'!$B966,"")</f>
        <v/>
      </c>
      <c r="H972" s="16" t="str">
        <f>IF('Paste Here'!$C966&lt;&gt;"",'Paste Here'!$C966,"")</f>
        <v/>
      </c>
      <c r="I972" s="25" t="str">
        <f>IF('Paste Here'!$D966&lt;&gt;"",'Paste Here'!$D966,"")</f>
        <v/>
      </c>
      <c r="J972" s="27" t="str">
        <f>IF('Paste Here'!$E966&lt;&gt;"",'Paste Here'!$E966,"")</f>
        <v/>
      </c>
      <c r="K972" s="16" t="str">
        <f>IF('Paste Here'!$F966&lt;&gt;"",'Paste Here'!$F966,"")</f>
        <v/>
      </c>
      <c r="L972" s="16" t="str">
        <f>IF('Paste Here'!$G966&lt;&gt;"",'Paste Here'!$G966,"")</f>
        <v/>
      </c>
      <c r="M972" s="18" t="str">
        <f t="shared" si="31"/>
        <v/>
      </c>
    </row>
    <row r="973" spans="1:13" s="17" customFormat="1" x14ac:dyDescent="0.25">
      <c r="A973" s="16" t="str">
        <f>IF(URN&lt;&gt;"",_xll.mdValue("Resident",_xlnm.Database,$F973),"")</f>
        <v/>
      </c>
      <c r="B973" s="16" t="str">
        <f>IF(PersonId&lt;&gt;"",_xll.mdValue("Resident First Name",_xlnm.Database,$A$8),"")</f>
        <v/>
      </c>
      <c r="C973" s="16" t="str">
        <f>IF(PersonId&lt;&gt;"",_xll.mdValue("Resident Last Name",_xlnm.Database,$A$8),"")</f>
        <v/>
      </c>
      <c r="D973" s="16" t="str">
        <f>IF(PersonId&lt;&gt;"",_xll.mdValue("Person Accomodation Code",_xlnm.Database,$A973),"")</f>
        <v/>
      </c>
      <c r="E973" s="28" t="str">
        <f t="shared" si="30"/>
        <v/>
      </c>
      <c r="F973" s="16" t="str">
        <f>IF('Paste Here'!$A967&lt;&gt;"",'Paste Here'!$A967,"")</f>
        <v/>
      </c>
      <c r="G973" s="16" t="str">
        <f>IF('Paste Here'!$B967&lt;&gt;"",'Paste Here'!$B967,"")</f>
        <v/>
      </c>
      <c r="H973" s="16" t="str">
        <f>IF('Paste Here'!$C967&lt;&gt;"",'Paste Here'!$C967,"")</f>
        <v/>
      </c>
      <c r="I973" s="25" t="str">
        <f>IF('Paste Here'!$D967&lt;&gt;"",'Paste Here'!$D967,"")</f>
        <v/>
      </c>
      <c r="J973" s="27" t="str">
        <f>IF('Paste Here'!$E967&lt;&gt;"",'Paste Here'!$E967,"")</f>
        <v/>
      </c>
      <c r="K973" s="16" t="str">
        <f>IF('Paste Here'!$F967&lt;&gt;"",'Paste Here'!$F967,"")</f>
        <v/>
      </c>
      <c r="L973" s="16" t="str">
        <f>IF('Paste Here'!$G967&lt;&gt;"",'Paste Here'!$G967,"")</f>
        <v/>
      </c>
      <c r="M973" s="18" t="str">
        <f t="shared" si="31"/>
        <v/>
      </c>
    </row>
    <row r="974" spans="1:13" s="17" customFormat="1" x14ac:dyDescent="0.25">
      <c r="A974" s="16" t="str">
        <f>IF(URN&lt;&gt;"",_xll.mdValue("Resident",_xlnm.Database,$F974),"")</f>
        <v/>
      </c>
      <c r="B974" s="16" t="str">
        <f>IF(PersonId&lt;&gt;"",_xll.mdValue("Resident First Name",_xlnm.Database,$A$8),"")</f>
        <v/>
      </c>
      <c r="C974" s="16" t="str">
        <f>IF(PersonId&lt;&gt;"",_xll.mdValue("Resident Last Name",_xlnm.Database,$A$8),"")</f>
        <v/>
      </c>
      <c r="D974" s="16" t="str">
        <f>IF(PersonId&lt;&gt;"",_xll.mdValue("Person Accomodation Code",_xlnm.Database,$A974),"")</f>
        <v/>
      </c>
      <c r="E974" s="28" t="str">
        <f t="shared" si="30"/>
        <v/>
      </c>
      <c r="F974" s="16" t="str">
        <f>IF('Paste Here'!$A968&lt;&gt;"",'Paste Here'!$A968,"")</f>
        <v/>
      </c>
      <c r="G974" s="16" t="str">
        <f>IF('Paste Here'!$B968&lt;&gt;"",'Paste Here'!$B968,"")</f>
        <v/>
      </c>
      <c r="H974" s="16" t="str">
        <f>IF('Paste Here'!$C968&lt;&gt;"",'Paste Here'!$C968,"")</f>
        <v/>
      </c>
      <c r="I974" s="25" t="str">
        <f>IF('Paste Here'!$D968&lt;&gt;"",'Paste Here'!$D968,"")</f>
        <v/>
      </c>
      <c r="J974" s="27" t="str">
        <f>IF('Paste Here'!$E968&lt;&gt;"",'Paste Here'!$E968,"")</f>
        <v/>
      </c>
      <c r="K974" s="16" t="str">
        <f>IF('Paste Here'!$F968&lt;&gt;"",'Paste Here'!$F968,"")</f>
        <v/>
      </c>
      <c r="L974" s="16" t="str">
        <f>IF('Paste Here'!$G968&lt;&gt;"",'Paste Here'!$G968,"")</f>
        <v/>
      </c>
      <c r="M974" s="18" t="str">
        <f t="shared" si="31"/>
        <v/>
      </c>
    </row>
    <row r="975" spans="1:13" s="17" customFormat="1" x14ac:dyDescent="0.25">
      <c r="A975" s="16" t="str">
        <f>IF(URN&lt;&gt;"",_xll.mdValue("Resident",_xlnm.Database,$F975),"")</f>
        <v/>
      </c>
      <c r="B975" s="16" t="str">
        <f>IF(PersonId&lt;&gt;"",_xll.mdValue("Resident First Name",_xlnm.Database,$A$8),"")</f>
        <v/>
      </c>
      <c r="C975" s="16" t="str">
        <f>IF(PersonId&lt;&gt;"",_xll.mdValue("Resident Last Name",_xlnm.Database,$A$8),"")</f>
        <v/>
      </c>
      <c r="D975" s="16" t="str">
        <f>IF(PersonId&lt;&gt;"",_xll.mdValue("Person Accomodation Code",_xlnm.Database,$A975),"")</f>
        <v/>
      </c>
      <c r="E975" s="28" t="str">
        <f t="shared" si="30"/>
        <v/>
      </c>
      <c r="F975" s="16" t="str">
        <f>IF('Paste Here'!$A969&lt;&gt;"",'Paste Here'!$A969,"")</f>
        <v/>
      </c>
      <c r="G975" s="16" t="str">
        <f>IF('Paste Here'!$B969&lt;&gt;"",'Paste Here'!$B969,"")</f>
        <v/>
      </c>
      <c r="H975" s="16" t="str">
        <f>IF('Paste Here'!$C969&lt;&gt;"",'Paste Here'!$C969,"")</f>
        <v/>
      </c>
      <c r="I975" s="25" t="str">
        <f>IF('Paste Here'!$D969&lt;&gt;"",'Paste Here'!$D969,"")</f>
        <v/>
      </c>
      <c r="J975" s="27" t="str">
        <f>IF('Paste Here'!$E969&lt;&gt;"",'Paste Here'!$E969,"")</f>
        <v/>
      </c>
      <c r="K975" s="16" t="str">
        <f>IF('Paste Here'!$F969&lt;&gt;"",'Paste Here'!$F969,"")</f>
        <v/>
      </c>
      <c r="L975" s="16" t="str">
        <f>IF('Paste Here'!$G969&lt;&gt;"",'Paste Here'!$G969,"")</f>
        <v/>
      </c>
      <c r="M975" s="18" t="str">
        <f t="shared" si="31"/>
        <v/>
      </c>
    </row>
    <row r="976" spans="1:13" s="17" customFormat="1" x14ac:dyDescent="0.25">
      <c r="A976" s="16" t="str">
        <f>IF(URN&lt;&gt;"",_xll.mdValue("Resident",_xlnm.Database,$F976),"")</f>
        <v/>
      </c>
      <c r="B976" s="16" t="str">
        <f>IF(PersonId&lt;&gt;"",_xll.mdValue("Resident First Name",_xlnm.Database,$A$8),"")</f>
        <v/>
      </c>
      <c r="C976" s="16" t="str">
        <f>IF(PersonId&lt;&gt;"",_xll.mdValue("Resident Last Name",_xlnm.Database,$A$8),"")</f>
        <v/>
      </c>
      <c r="D976" s="16" t="str">
        <f>IF(PersonId&lt;&gt;"",_xll.mdValue("Person Accomodation Code",_xlnm.Database,$A976),"")</f>
        <v/>
      </c>
      <c r="E976" s="28" t="str">
        <f t="shared" si="30"/>
        <v/>
      </c>
      <c r="F976" s="16" t="str">
        <f>IF('Paste Here'!$A970&lt;&gt;"",'Paste Here'!$A970,"")</f>
        <v/>
      </c>
      <c r="G976" s="16" t="str">
        <f>IF('Paste Here'!$B970&lt;&gt;"",'Paste Here'!$B970,"")</f>
        <v/>
      </c>
      <c r="H976" s="16" t="str">
        <f>IF('Paste Here'!$C970&lt;&gt;"",'Paste Here'!$C970,"")</f>
        <v/>
      </c>
      <c r="I976" s="25" t="str">
        <f>IF('Paste Here'!$D970&lt;&gt;"",'Paste Here'!$D970,"")</f>
        <v/>
      </c>
      <c r="J976" s="27" t="str">
        <f>IF('Paste Here'!$E970&lt;&gt;"",'Paste Here'!$E970,"")</f>
        <v/>
      </c>
      <c r="K976" s="16" t="str">
        <f>IF('Paste Here'!$F970&lt;&gt;"",'Paste Here'!$F970,"")</f>
        <v/>
      </c>
      <c r="L976" s="16" t="str">
        <f>IF('Paste Here'!$G970&lt;&gt;"",'Paste Here'!$G970,"")</f>
        <v/>
      </c>
      <c r="M976" s="18" t="str">
        <f t="shared" si="31"/>
        <v/>
      </c>
    </row>
    <row r="977" spans="1:13" s="17" customFormat="1" x14ac:dyDescent="0.25">
      <c r="A977" s="16" t="str">
        <f>IF(URN&lt;&gt;"",_xll.mdValue("Resident",_xlnm.Database,$F977),"")</f>
        <v/>
      </c>
      <c r="B977" s="16" t="str">
        <f>IF(PersonId&lt;&gt;"",_xll.mdValue("Resident First Name",_xlnm.Database,$A$8),"")</f>
        <v/>
      </c>
      <c r="C977" s="16" t="str">
        <f>IF(PersonId&lt;&gt;"",_xll.mdValue("Resident Last Name",_xlnm.Database,$A$8),"")</f>
        <v/>
      </c>
      <c r="D977" s="16" t="str">
        <f>IF(PersonId&lt;&gt;"",_xll.mdValue("Person Accomodation Code",_xlnm.Database,$A977),"")</f>
        <v/>
      </c>
      <c r="E977" s="28" t="str">
        <f t="shared" si="30"/>
        <v/>
      </c>
      <c r="F977" s="16" t="str">
        <f>IF('Paste Here'!$A971&lt;&gt;"",'Paste Here'!$A971,"")</f>
        <v/>
      </c>
      <c r="G977" s="16" t="str">
        <f>IF('Paste Here'!$B971&lt;&gt;"",'Paste Here'!$B971,"")</f>
        <v/>
      </c>
      <c r="H977" s="16" t="str">
        <f>IF('Paste Here'!$C971&lt;&gt;"",'Paste Here'!$C971,"")</f>
        <v/>
      </c>
      <c r="I977" s="25" t="str">
        <f>IF('Paste Here'!$D971&lt;&gt;"",'Paste Here'!$D971,"")</f>
        <v/>
      </c>
      <c r="J977" s="27" t="str">
        <f>IF('Paste Here'!$E971&lt;&gt;"",'Paste Here'!$E971,"")</f>
        <v/>
      </c>
      <c r="K977" s="16" t="str">
        <f>IF('Paste Here'!$F971&lt;&gt;"",'Paste Here'!$F971,"")</f>
        <v/>
      </c>
      <c r="L977" s="16" t="str">
        <f>IF('Paste Here'!$G971&lt;&gt;"",'Paste Here'!$G971,"")</f>
        <v/>
      </c>
      <c r="M977" s="18" t="str">
        <f t="shared" si="31"/>
        <v/>
      </c>
    </row>
    <row r="978" spans="1:13" s="17" customFormat="1" x14ac:dyDescent="0.25">
      <c r="A978" s="16" t="str">
        <f>IF(URN&lt;&gt;"",_xll.mdValue("Resident",_xlnm.Database,$F978),"")</f>
        <v/>
      </c>
      <c r="B978" s="16" t="str">
        <f>IF(PersonId&lt;&gt;"",_xll.mdValue("Resident First Name",_xlnm.Database,$A$8),"")</f>
        <v/>
      </c>
      <c r="C978" s="16" t="str">
        <f>IF(PersonId&lt;&gt;"",_xll.mdValue("Resident Last Name",_xlnm.Database,$A$8),"")</f>
        <v/>
      </c>
      <c r="D978" s="16" t="str">
        <f>IF(PersonId&lt;&gt;"",_xll.mdValue("Person Accomodation Code",_xlnm.Database,$A978),"")</f>
        <v/>
      </c>
      <c r="E978" s="28" t="str">
        <f t="shared" si="30"/>
        <v/>
      </c>
      <c r="F978" s="16" t="str">
        <f>IF('Paste Here'!$A972&lt;&gt;"",'Paste Here'!$A972,"")</f>
        <v/>
      </c>
      <c r="G978" s="16" t="str">
        <f>IF('Paste Here'!$B972&lt;&gt;"",'Paste Here'!$B972,"")</f>
        <v/>
      </c>
      <c r="H978" s="16" t="str">
        <f>IF('Paste Here'!$C972&lt;&gt;"",'Paste Here'!$C972,"")</f>
        <v/>
      </c>
      <c r="I978" s="25" t="str">
        <f>IF('Paste Here'!$D972&lt;&gt;"",'Paste Here'!$D972,"")</f>
        <v/>
      </c>
      <c r="J978" s="27" t="str">
        <f>IF('Paste Here'!$E972&lt;&gt;"",'Paste Here'!$E972,"")</f>
        <v/>
      </c>
      <c r="K978" s="16" t="str">
        <f>IF('Paste Here'!$F972&lt;&gt;"",'Paste Here'!$F972,"")</f>
        <v/>
      </c>
      <c r="L978" s="16" t="str">
        <f>IF('Paste Here'!$G972&lt;&gt;"",'Paste Here'!$G972,"")</f>
        <v/>
      </c>
      <c r="M978" s="18" t="str">
        <f t="shared" si="31"/>
        <v/>
      </c>
    </row>
    <row r="979" spans="1:13" s="17" customFormat="1" x14ac:dyDescent="0.25">
      <c r="A979" s="16" t="str">
        <f>IF(URN&lt;&gt;"",_xll.mdValue("Resident",_xlnm.Database,$F979),"")</f>
        <v/>
      </c>
      <c r="B979" s="16" t="str">
        <f>IF(PersonId&lt;&gt;"",_xll.mdValue("Resident First Name",_xlnm.Database,$A$8),"")</f>
        <v/>
      </c>
      <c r="C979" s="16" t="str">
        <f>IF(PersonId&lt;&gt;"",_xll.mdValue("Resident Last Name",_xlnm.Database,$A$8),"")</f>
        <v/>
      </c>
      <c r="D979" s="16" t="str">
        <f>IF(PersonId&lt;&gt;"",_xll.mdValue("Person Accomodation Code",_xlnm.Database,$A979),"")</f>
        <v/>
      </c>
      <c r="E979" s="28" t="str">
        <f t="shared" si="30"/>
        <v/>
      </c>
      <c r="F979" s="16" t="str">
        <f>IF('Paste Here'!$A973&lt;&gt;"",'Paste Here'!$A973,"")</f>
        <v/>
      </c>
      <c r="G979" s="16" t="str">
        <f>IF('Paste Here'!$B973&lt;&gt;"",'Paste Here'!$B973,"")</f>
        <v/>
      </c>
      <c r="H979" s="16" t="str">
        <f>IF('Paste Here'!$C973&lt;&gt;"",'Paste Here'!$C973,"")</f>
        <v/>
      </c>
      <c r="I979" s="25" t="str">
        <f>IF('Paste Here'!$D973&lt;&gt;"",'Paste Here'!$D973,"")</f>
        <v/>
      </c>
      <c r="J979" s="27" t="str">
        <f>IF('Paste Here'!$E973&lt;&gt;"",'Paste Here'!$E973,"")</f>
        <v/>
      </c>
      <c r="K979" s="16" t="str">
        <f>IF('Paste Here'!$F973&lt;&gt;"",'Paste Here'!$F973,"")</f>
        <v/>
      </c>
      <c r="L979" s="16" t="str">
        <f>IF('Paste Here'!$G973&lt;&gt;"",'Paste Here'!$G973,"")</f>
        <v/>
      </c>
      <c r="M979" s="18" t="str">
        <f t="shared" si="31"/>
        <v/>
      </c>
    </row>
    <row r="980" spans="1:13" s="17" customFormat="1" x14ac:dyDescent="0.25">
      <c r="A980" s="16" t="str">
        <f>IF(URN&lt;&gt;"",_xll.mdValue("Resident",_xlnm.Database,$F980),"")</f>
        <v/>
      </c>
      <c r="B980" s="16" t="str">
        <f>IF(PersonId&lt;&gt;"",_xll.mdValue("Resident First Name",_xlnm.Database,$A$8),"")</f>
        <v/>
      </c>
      <c r="C980" s="16" t="str">
        <f>IF(PersonId&lt;&gt;"",_xll.mdValue("Resident Last Name",_xlnm.Database,$A$8),"")</f>
        <v/>
      </c>
      <c r="D980" s="16" t="str">
        <f>IF(PersonId&lt;&gt;"",_xll.mdValue("Person Accomodation Code",_xlnm.Database,$A980),"")</f>
        <v/>
      </c>
      <c r="E980" s="28" t="str">
        <f t="shared" si="30"/>
        <v/>
      </c>
      <c r="F980" s="16" t="str">
        <f>IF('Paste Here'!$A974&lt;&gt;"",'Paste Here'!$A974,"")</f>
        <v/>
      </c>
      <c r="G980" s="16" t="str">
        <f>IF('Paste Here'!$B974&lt;&gt;"",'Paste Here'!$B974,"")</f>
        <v/>
      </c>
      <c r="H980" s="16" t="str">
        <f>IF('Paste Here'!$C974&lt;&gt;"",'Paste Here'!$C974,"")</f>
        <v/>
      </c>
      <c r="I980" s="25" t="str">
        <f>IF('Paste Here'!$D974&lt;&gt;"",'Paste Here'!$D974,"")</f>
        <v/>
      </c>
      <c r="J980" s="27" t="str">
        <f>IF('Paste Here'!$E974&lt;&gt;"",'Paste Here'!$E974,"")</f>
        <v/>
      </c>
      <c r="K980" s="16" t="str">
        <f>IF('Paste Here'!$F974&lt;&gt;"",'Paste Here'!$F974,"")</f>
        <v/>
      </c>
      <c r="L980" s="16" t="str">
        <f>IF('Paste Here'!$G974&lt;&gt;"",'Paste Here'!$G974,"")</f>
        <v/>
      </c>
      <c r="M980" s="18" t="str">
        <f t="shared" si="31"/>
        <v/>
      </c>
    </row>
    <row r="981" spans="1:13" s="17" customFormat="1" x14ac:dyDescent="0.25">
      <c r="A981" s="16" t="str">
        <f>IF(URN&lt;&gt;"",_xll.mdValue("Resident",_xlnm.Database,$F981),"")</f>
        <v/>
      </c>
      <c r="B981" s="16" t="str">
        <f>IF(PersonId&lt;&gt;"",_xll.mdValue("Resident First Name",_xlnm.Database,$A$8),"")</f>
        <v/>
      </c>
      <c r="C981" s="16" t="str">
        <f>IF(PersonId&lt;&gt;"",_xll.mdValue("Resident Last Name",_xlnm.Database,$A$8),"")</f>
        <v/>
      </c>
      <c r="D981" s="16" t="str">
        <f>IF(PersonId&lt;&gt;"",_xll.mdValue("Person Accomodation Code",_xlnm.Database,$A981),"")</f>
        <v/>
      </c>
      <c r="E981" s="28" t="str">
        <f t="shared" si="30"/>
        <v/>
      </c>
      <c r="F981" s="16" t="str">
        <f>IF('Paste Here'!$A975&lt;&gt;"",'Paste Here'!$A975,"")</f>
        <v/>
      </c>
      <c r="G981" s="16" t="str">
        <f>IF('Paste Here'!$B975&lt;&gt;"",'Paste Here'!$B975,"")</f>
        <v/>
      </c>
      <c r="H981" s="16" t="str">
        <f>IF('Paste Here'!$C975&lt;&gt;"",'Paste Here'!$C975,"")</f>
        <v/>
      </c>
      <c r="I981" s="25" t="str">
        <f>IF('Paste Here'!$D975&lt;&gt;"",'Paste Here'!$D975,"")</f>
        <v/>
      </c>
      <c r="J981" s="27" t="str">
        <f>IF('Paste Here'!$E975&lt;&gt;"",'Paste Here'!$E975,"")</f>
        <v/>
      </c>
      <c r="K981" s="16" t="str">
        <f>IF('Paste Here'!$F975&lt;&gt;"",'Paste Here'!$F975,"")</f>
        <v/>
      </c>
      <c r="L981" s="16" t="str">
        <f>IF('Paste Here'!$G975&lt;&gt;"",'Paste Here'!$G975,"")</f>
        <v/>
      </c>
      <c r="M981" s="18" t="str">
        <f t="shared" si="31"/>
        <v/>
      </c>
    </row>
    <row r="982" spans="1:13" s="17" customFormat="1" x14ac:dyDescent="0.25">
      <c r="A982" s="16" t="str">
        <f>IF(URN&lt;&gt;"",_xll.mdValue("Resident",_xlnm.Database,$F982),"")</f>
        <v/>
      </c>
      <c r="B982" s="16" t="str">
        <f>IF(PersonId&lt;&gt;"",_xll.mdValue("Resident First Name",_xlnm.Database,$A$8),"")</f>
        <v/>
      </c>
      <c r="C982" s="16" t="str">
        <f>IF(PersonId&lt;&gt;"",_xll.mdValue("Resident Last Name",_xlnm.Database,$A$8),"")</f>
        <v/>
      </c>
      <c r="D982" s="16" t="str">
        <f>IF(PersonId&lt;&gt;"",_xll.mdValue("Person Accomodation Code",_xlnm.Database,$A982),"")</f>
        <v/>
      </c>
      <c r="E982" s="28" t="str">
        <f t="shared" si="30"/>
        <v/>
      </c>
      <c r="F982" s="16" t="str">
        <f>IF('Paste Here'!$A976&lt;&gt;"",'Paste Here'!$A976,"")</f>
        <v/>
      </c>
      <c r="G982" s="16" t="str">
        <f>IF('Paste Here'!$B976&lt;&gt;"",'Paste Here'!$B976,"")</f>
        <v/>
      </c>
      <c r="H982" s="16" t="str">
        <f>IF('Paste Here'!$C976&lt;&gt;"",'Paste Here'!$C976,"")</f>
        <v/>
      </c>
      <c r="I982" s="25" t="str">
        <f>IF('Paste Here'!$D976&lt;&gt;"",'Paste Here'!$D976,"")</f>
        <v/>
      </c>
      <c r="J982" s="27" t="str">
        <f>IF('Paste Here'!$E976&lt;&gt;"",'Paste Here'!$E976,"")</f>
        <v/>
      </c>
      <c r="K982" s="16" t="str">
        <f>IF('Paste Here'!$F976&lt;&gt;"",'Paste Here'!$F976,"")</f>
        <v/>
      </c>
      <c r="L982" s="16" t="str">
        <f>IF('Paste Here'!$G976&lt;&gt;"",'Paste Here'!$G976,"")</f>
        <v/>
      </c>
      <c r="M982" s="18" t="str">
        <f t="shared" si="31"/>
        <v/>
      </c>
    </row>
    <row r="983" spans="1:13" s="17" customFormat="1" x14ac:dyDescent="0.25">
      <c r="A983" s="16" t="str">
        <f>IF(URN&lt;&gt;"",_xll.mdValue("Resident",_xlnm.Database,$F983),"")</f>
        <v/>
      </c>
      <c r="B983" s="16" t="str">
        <f>IF(PersonId&lt;&gt;"",_xll.mdValue("Resident First Name",_xlnm.Database,$A$8),"")</f>
        <v/>
      </c>
      <c r="C983" s="16" t="str">
        <f>IF(PersonId&lt;&gt;"",_xll.mdValue("Resident Last Name",_xlnm.Database,$A$8),"")</f>
        <v/>
      </c>
      <c r="D983" s="16" t="str">
        <f>IF(PersonId&lt;&gt;"",_xll.mdValue("Person Accomodation Code",_xlnm.Database,$A983),"")</f>
        <v/>
      </c>
      <c r="E983" s="28" t="str">
        <f t="shared" si="30"/>
        <v/>
      </c>
      <c r="F983" s="16" t="str">
        <f>IF('Paste Here'!$A977&lt;&gt;"",'Paste Here'!$A977,"")</f>
        <v/>
      </c>
      <c r="G983" s="16" t="str">
        <f>IF('Paste Here'!$B977&lt;&gt;"",'Paste Here'!$B977,"")</f>
        <v/>
      </c>
      <c r="H983" s="16" t="str">
        <f>IF('Paste Here'!$C977&lt;&gt;"",'Paste Here'!$C977,"")</f>
        <v/>
      </c>
      <c r="I983" s="25" t="str">
        <f>IF('Paste Here'!$D977&lt;&gt;"",'Paste Here'!$D977,"")</f>
        <v/>
      </c>
      <c r="J983" s="27" t="str">
        <f>IF('Paste Here'!$E977&lt;&gt;"",'Paste Here'!$E977,"")</f>
        <v/>
      </c>
      <c r="K983" s="16" t="str">
        <f>IF('Paste Here'!$F977&lt;&gt;"",'Paste Here'!$F977,"")</f>
        <v/>
      </c>
      <c r="L983" s="16" t="str">
        <f>IF('Paste Here'!$G977&lt;&gt;"",'Paste Here'!$G977,"")</f>
        <v/>
      </c>
      <c r="M983" s="18" t="str">
        <f t="shared" si="31"/>
        <v/>
      </c>
    </row>
    <row r="984" spans="1:13" s="17" customFormat="1" x14ac:dyDescent="0.25">
      <c r="A984" s="16" t="str">
        <f>IF(URN&lt;&gt;"",_xll.mdValue("Resident",_xlnm.Database,$F984),"")</f>
        <v/>
      </c>
      <c r="B984" s="16" t="str">
        <f>IF(PersonId&lt;&gt;"",_xll.mdValue("Resident First Name",_xlnm.Database,$A$8),"")</f>
        <v/>
      </c>
      <c r="C984" s="16" t="str">
        <f>IF(PersonId&lt;&gt;"",_xll.mdValue("Resident Last Name",_xlnm.Database,$A$8),"")</f>
        <v/>
      </c>
      <c r="D984" s="16" t="str">
        <f>IF(PersonId&lt;&gt;"",_xll.mdValue("Person Accomodation Code",_xlnm.Database,$A984),"")</f>
        <v/>
      </c>
      <c r="E984" s="28" t="str">
        <f t="shared" si="30"/>
        <v/>
      </c>
      <c r="F984" s="16" t="str">
        <f>IF('Paste Here'!$A978&lt;&gt;"",'Paste Here'!$A978,"")</f>
        <v/>
      </c>
      <c r="G984" s="16" t="str">
        <f>IF('Paste Here'!$B978&lt;&gt;"",'Paste Here'!$B978,"")</f>
        <v/>
      </c>
      <c r="H984" s="16" t="str">
        <f>IF('Paste Here'!$C978&lt;&gt;"",'Paste Here'!$C978,"")</f>
        <v/>
      </c>
      <c r="I984" s="25" t="str">
        <f>IF('Paste Here'!$D978&lt;&gt;"",'Paste Here'!$D978,"")</f>
        <v/>
      </c>
      <c r="J984" s="27" t="str">
        <f>IF('Paste Here'!$E978&lt;&gt;"",'Paste Here'!$E978,"")</f>
        <v/>
      </c>
      <c r="K984" s="16" t="str">
        <f>IF('Paste Here'!$F978&lt;&gt;"",'Paste Here'!$F978,"")</f>
        <v/>
      </c>
      <c r="L984" s="16" t="str">
        <f>IF('Paste Here'!$G978&lt;&gt;"",'Paste Here'!$G978,"")</f>
        <v/>
      </c>
      <c r="M984" s="18" t="str">
        <f t="shared" si="31"/>
        <v/>
      </c>
    </row>
    <row r="985" spans="1:13" s="17" customFormat="1" x14ac:dyDescent="0.25">
      <c r="A985" s="16" t="str">
        <f>IF(URN&lt;&gt;"",_xll.mdValue("Resident",_xlnm.Database,$F985),"")</f>
        <v/>
      </c>
      <c r="B985" s="16" t="str">
        <f>IF(PersonId&lt;&gt;"",_xll.mdValue("Resident First Name",_xlnm.Database,$A$8),"")</f>
        <v/>
      </c>
      <c r="C985" s="16" t="str">
        <f>IF(PersonId&lt;&gt;"",_xll.mdValue("Resident Last Name",_xlnm.Database,$A$8),"")</f>
        <v/>
      </c>
      <c r="D985" s="16" t="str">
        <f>IF(PersonId&lt;&gt;"",_xll.mdValue("Person Accomodation Code",_xlnm.Database,$A985),"")</f>
        <v/>
      </c>
      <c r="E985" s="28" t="str">
        <f t="shared" si="30"/>
        <v/>
      </c>
      <c r="F985" s="16" t="str">
        <f>IF('Paste Here'!$A979&lt;&gt;"",'Paste Here'!$A979,"")</f>
        <v/>
      </c>
      <c r="G985" s="16" t="str">
        <f>IF('Paste Here'!$B979&lt;&gt;"",'Paste Here'!$B979,"")</f>
        <v/>
      </c>
      <c r="H985" s="16" t="str">
        <f>IF('Paste Here'!$C979&lt;&gt;"",'Paste Here'!$C979,"")</f>
        <v/>
      </c>
      <c r="I985" s="25" t="str">
        <f>IF('Paste Here'!$D979&lt;&gt;"",'Paste Here'!$D979,"")</f>
        <v/>
      </c>
      <c r="J985" s="27" t="str">
        <f>IF('Paste Here'!$E979&lt;&gt;"",'Paste Here'!$E979,"")</f>
        <v/>
      </c>
      <c r="K985" s="16" t="str">
        <f>IF('Paste Here'!$F979&lt;&gt;"",'Paste Here'!$F979,"")</f>
        <v/>
      </c>
      <c r="L985" s="16" t="str">
        <f>IF('Paste Here'!$G979&lt;&gt;"",'Paste Here'!$G979,"")</f>
        <v/>
      </c>
      <c r="M985" s="18" t="str">
        <f t="shared" si="31"/>
        <v/>
      </c>
    </row>
    <row r="986" spans="1:13" s="17" customFormat="1" x14ac:dyDescent="0.25">
      <c r="A986" s="16" t="str">
        <f>IF(URN&lt;&gt;"",_xll.mdValue("Resident",_xlnm.Database,$F986),"")</f>
        <v/>
      </c>
      <c r="B986" s="16" t="str">
        <f>IF(PersonId&lt;&gt;"",_xll.mdValue("Resident First Name",_xlnm.Database,$A$8),"")</f>
        <v/>
      </c>
      <c r="C986" s="16" t="str">
        <f>IF(PersonId&lt;&gt;"",_xll.mdValue("Resident Last Name",_xlnm.Database,$A$8),"")</f>
        <v/>
      </c>
      <c r="D986" s="16" t="str">
        <f>IF(PersonId&lt;&gt;"",_xll.mdValue("Person Accomodation Code",_xlnm.Database,$A986),"")</f>
        <v/>
      </c>
      <c r="E986" s="28" t="str">
        <f t="shared" si="30"/>
        <v/>
      </c>
      <c r="F986" s="16" t="str">
        <f>IF('Paste Here'!$A980&lt;&gt;"",'Paste Here'!$A980,"")</f>
        <v/>
      </c>
      <c r="G986" s="16" t="str">
        <f>IF('Paste Here'!$B980&lt;&gt;"",'Paste Here'!$B980,"")</f>
        <v/>
      </c>
      <c r="H986" s="16" t="str">
        <f>IF('Paste Here'!$C980&lt;&gt;"",'Paste Here'!$C980,"")</f>
        <v/>
      </c>
      <c r="I986" s="25" t="str">
        <f>IF('Paste Here'!$D980&lt;&gt;"",'Paste Here'!$D980,"")</f>
        <v/>
      </c>
      <c r="J986" s="27" t="str">
        <f>IF('Paste Here'!$E980&lt;&gt;"",'Paste Here'!$E980,"")</f>
        <v/>
      </c>
      <c r="K986" s="16" t="str">
        <f>IF('Paste Here'!$F980&lt;&gt;"",'Paste Here'!$F980,"")</f>
        <v/>
      </c>
      <c r="L986" s="16" t="str">
        <f>IF('Paste Here'!$G980&lt;&gt;"",'Paste Here'!$G980,"")</f>
        <v/>
      </c>
      <c r="M986" s="18" t="str">
        <f t="shared" si="31"/>
        <v/>
      </c>
    </row>
    <row r="987" spans="1:13" s="17" customFormat="1" x14ac:dyDescent="0.25">
      <c r="A987" s="16" t="str">
        <f>IF(URN&lt;&gt;"",_xll.mdValue("Resident",_xlnm.Database,$F987),"")</f>
        <v/>
      </c>
      <c r="B987" s="16" t="str">
        <f>IF(PersonId&lt;&gt;"",_xll.mdValue("Resident First Name",_xlnm.Database,$A$8),"")</f>
        <v/>
      </c>
      <c r="C987" s="16" t="str">
        <f>IF(PersonId&lt;&gt;"",_xll.mdValue("Resident Last Name",_xlnm.Database,$A$8),"")</f>
        <v/>
      </c>
      <c r="D987" s="16" t="str">
        <f>IF(PersonId&lt;&gt;"",_xll.mdValue("Person Accomodation Code",_xlnm.Database,$A987),"")</f>
        <v/>
      </c>
      <c r="E987" s="28" t="str">
        <f t="shared" si="30"/>
        <v/>
      </c>
      <c r="F987" s="16" t="str">
        <f>IF('Paste Here'!$A981&lt;&gt;"",'Paste Here'!$A981,"")</f>
        <v/>
      </c>
      <c r="G987" s="16" t="str">
        <f>IF('Paste Here'!$B981&lt;&gt;"",'Paste Here'!$B981,"")</f>
        <v/>
      </c>
      <c r="H987" s="16" t="str">
        <f>IF('Paste Here'!$C981&lt;&gt;"",'Paste Here'!$C981,"")</f>
        <v/>
      </c>
      <c r="I987" s="25" t="str">
        <f>IF('Paste Here'!$D981&lt;&gt;"",'Paste Here'!$D981,"")</f>
        <v/>
      </c>
      <c r="J987" s="27" t="str">
        <f>IF('Paste Here'!$E981&lt;&gt;"",'Paste Here'!$E981,"")</f>
        <v/>
      </c>
      <c r="K987" s="16" t="str">
        <f>IF('Paste Here'!$F981&lt;&gt;"",'Paste Here'!$F981,"")</f>
        <v/>
      </c>
      <c r="L987" s="16" t="str">
        <f>IF('Paste Here'!$G981&lt;&gt;"",'Paste Here'!$G981,"")</f>
        <v/>
      </c>
      <c r="M987" s="18" t="str">
        <f t="shared" si="31"/>
        <v/>
      </c>
    </row>
    <row r="988" spans="1:13" s="17" customFormat="1" x14ac:dyDescent="0.25">
      <c r="A988" s="16" t="str">
        <f>IF(URN&lt;&gt;"",_xll.mdValue("Resident",_xlnm.Database,$F988),"")</f>
        <v/>
      </c>
      <c r="B988" s="16" t="str">
        <f>IF(PersonId&lt;&gt;"",_xll.mdValue("Resident First Name",_xlnm.Database,$A$8),"")</f>
        <v/>
      </c>
      <c r="C988" s="16" t="str">
        <f>IF(PersonId&lt;&gt;"",_xll.mdValue("Resident Last Name",_xlnm.Database,$A$8),"")</f>
        <v/>
      </c>
      <c r="D988" s="16" t="str">
        <f>IF(PersonId&lt;&gt;"",_xll.mdValue("Person Accomodation Code",_xlnm.Database,$A988),"")</f>
        <v/>
      </c>
      <c r="E988" s="28" t="str">
        <f t="shared" si="30"/>
        <v/>
      </c>
      <c r="F988" s="16" t="str">
        <f>IF('Paste Here'!$A982&lt;&gt;"",'Paste Here'!$A982,"")</f>
        <v/>
      </c>
      <c r="G988" s="16" t="str">
        <f>IF('Paste Here'!$B982&lt;&gt;"",'Paste Here'!$B982,"")</f>
        <v/>
      </c>
      <c r="H988" s="16" t="str">
        <f>IF('Paste Here'!$C982&lt;&gt;"",'Paste Here'!$C982,"")</f>
        <v/>
      </c>
      <c r="I988" s="25" t="str">
        <f>IF('Paste Here'!$D982&lt;&gt;"",'Paste Here'!$D982,"")</f>
        <v/>
      </c>
      <c r="J988" s="27" t="str">
        <f>IF('Paste Here'!$E982&lt;&gt;"",'Paste Here'!$E982,"")</f>
        <v/>
      </c>
      <c r="K988" s="16" t="str">
        <f>IF('Paste Here'!$F982&lt;&gt;"",'Paste Here'!$F982,"")</f>
        <v/>
      </c>
      <c r="L988" s="16" t="str">
        <f>IF('Paste Here'!$G982&lt;&gt;"",'Paste Here'!$G982,"")</f>
        <v/>
      </c>
      <c r="M988" s="18" t="str">
        <f t="shared" si="31"/>
        <v/>
      </c>
    </row>
    <row r="989" spans="1:13" s="17" customFormat="1" x14ac:dyDescent="0.25">
      <c r="A989" s="16" t="str">
        <f>IF(URN&lt;&gt;"",_xll.mdValue("Resident",_xlnm.Database,$F989),"")</f>
        <v/>
      </c>
      <c r="B989" s="16" t="str">
        <f>IF(PersonId&lt;&gt;"",_xll.mdValue("Resident First Name",_xlnm.Database,$A$8),"")</f>
        <v/>
      </c>
      <c r="C989" s="16" t="str">
        <f>IF(PersonId&lt;&gt;"",_xll.mdValue("Resident Last Name",_xlnm.Database,$A$8),"")</f>
        <v/>
      </c>
      <c r="D989" s="16" t="str">
        <f>IF(PersonId&lt;&gt;"",_xll.mdValue("Person Accomodation Code",_xlnm.Database,$A989),"")</f>
        <v/>
      </c>
      <c r="E989" s="28" t="str">
        <f t="shared" si="30"/>
        <v/>
      </c>
      <c r="F989" s="16" t="str">
        <f>IF('Paste Here'!$A983&lt;&gt;"",'Paste Here'!$A983,"")</f>
        <v/>
      </c>
      <c r="G989" s="16" t="str">
        <f>IF('Paste Here'!$B983&lt;&gt;"",'Paste Here'!$B983,"")</f>
        <v/>
      </c>
      <c r="H989" s="16" t="str">
        <f>IF('Paste Here'!$C983&lt;&gt;"",'Paste Here'!$C983,"")</f>
        <v/>
      </c>
      <c r="I989" s="25" t="str">
        <f>IF('Paste Here'!$D983&lt;&gt;"",'Paste Here'!$D983,"")</f>
        <v/>
      </c>
      <c r="J989" s="27" t="str">
        <f>IF('Paste Here'!$E983&lt;&gt;"",'Paste Here'!$E983,"")</f>
        <v/>
      </c>
      <c r="K989" s="16" t="str">
        <f>IF('Paste Here'!$F983&lt;&gt;"",'Paste Here'!$F983,"")</f>
        <v/>
      </c>
      <c r="L989" s="16" t="str">
        <f>IF('Paste Here'!$G983&lt;&gt;"",'Paste Here'!$G983,"")</f>
        <v/>
      </c>
      <c r="M989" s="18" t="str">
        <f t="shared" si="31"/>
        <v/>
      </c>
    </row>
    <row r="990" spans="1:13" s="17" customFormat="1" x14ac:dyDescent="0.25">
      <c r="A990" s="16" t="str">
        <f>IF(URN&lt;&gt;"",_xll.mdValue("Resident",_xlnm.Database,$F990),"")</f>
        <v/>
      </c>
      <c r="B990" s="16" t="str">
        <f>IF(PersonId&lt;&gt;"",_xll.mdValue("Resident First Name",_xlnm.Database,$A$8),"")</f>
        <v/>
      </c>
      <c r="C990" s="16" t="str">
        <f>IF(PersonId&lt;&gt;"",_xll.mdValue("Resident Last Name",_xlnm.Database,$A$8),"")</f>
        <v/>
      </c>
      <c r="D990" s="16" t="str">
        <f>IF(PersonId&lt;&gt;"",_xll.mdValue("Person Accomodation Code",_xlnm.Database,$A990),"")</f>
        <v/>
      </c>
      <c r="E990" s="28" t="str">
        <f t="shared" si="30"/>
        <v/>
      </c>
      <c r="F990" s="16" t="str">
        <f>IF('Paste Here'!$A984&lt;&gt;"",'Paste Here'!$A984,"")</f>
        <v/>
      </c>
      <c r="G990" s="16" t="str">
        <f>IF('Paste Here'!$B984&lt;&gt;"",'Paste Here'!$B984,"")</f>
        <v/>
      </c>
      <c r="H990" s="16" t="str">
        <f>IF('Paste Here'!$C984&lt;&gt;"",'Paste Here'!$C984,"")</f>
        <v/>
      </c>
      <c r="I990" s="25" t="str">
        <f>IF('Paste Here'!$D984&lt;&gt;"",'Paste Here'!$D984,"")</f>
        <v/>
      </c>
      <c r="J990" s="27" t="str">
        <f>IF('Paste Here'!$E984&lt;&gt;"",'Paste Here'!$E984,"")</f>
        <v/>
      </c>
      <c r="K990" s="16" t="str">
        <f>IF('Paste Here'!$F984&lt;&gt;"",'Paste Here'!$F984,"")</f>
        <v/>
      </c>
      <c r="L990" s="16" t="str">
        <f>IF('Paste Here'!$G984&lt;&gt;"",'Paste Here'!$G984,"")</f>
        <v/>
      </c>
      <c r="M990" s="18" t="str">
        <f t="shared" si="31"/>
        <v/>
      </c>
    </row>
    <row r="991" spans="1:13" s="17" customFormat="1" x14ac:dyDescent="0.25">
      <c r="A991" s="16" t="str">
        <f>IF(URN&lt;&gt;"",_xll.mdValue("Resident",_xlnm.Database,$F991),"")</f>
        <v/>
      </c>
      <c r="B991" s="16" t="str">
        <f>IF(PersonId&lt;&gt;"",_xll.mdValue("Resident First Name",_xlnm.Database,$A$8),"")</f>
        <v/>
      </c>
      <c r="C991" s="16" t="str">
        <f>IF(PersonId&lt;&gt;"",_xll.mdValue("Resident Last Name",_xlnm.Database,$A$8),"")</f>
        <v/>
      </c>
      <c r="D991" s="16" t="str">
        <f>IF(PersonId&lt;&gt;"",_xll.mdValue("Person Accomodation Code",_xlnm.Database,$A991),"")</f>
        <v/>
      </c>
      <c r="E991" s="28" t="str">
        <f t="shared" si="30"/>
        <v/>
      </c>
      <c r="F991" s="16" t="str">
        <f>IF('Paste Here'!$A985&lt;&gt;"",'Paste Here'!$A985,"")</f>
        <v/>
      </c>
      <c r="G991" s="16" t="str">
        <f>IF('Paste Here'!$B985&lt;&gt;"",'Paste Here'!$B985,"")</f>
        <v/>
      </c>
      <c r="H991" s="16" t="str">
        <f>IF('Paste Here'!$C985&lt;&gt;"",'Paste Here'!$C985,"")</f>
        <v/>
      </c>
      <c r="I991" s="25" t="str">
        <f>IF('Paste Here'!$D985&lt;&gt;"",'Paste Here'!$D985,"")</f>
        <v/>
      </c>
      <c r="J991" s="27" t="str">
        <f>IF('Paste Here'!$E985&lt;&gt;"",'Paste Here'!$E985,"")</f>
        <v/>
      </c>
      <c r="K991" s="16" t="str">
        <f>IF('Paste Here'!$F985&lt;&gt;"",'Paste Here'!$F985,"")</f>
        <v/>
      </c>
      <c r="L991" s="16" t="str">
        <f>IF('Paste Here'!$G985&lt;&gt;"",'Paste Here'!$G985,"")</f>
        <v/>
      </c>
      <c r="M991" s="18" t="str">
        <f t="shared" si="31"/>
        <v/>
      </c>
    </row>
    <row r="992" spans="1:13" s="17" customFormat="1" x14ac:dyDescent="0.25">
      <c r="A992" s="16" t="str">
        <f>IF(URN&lt;&gt;"",_xll.mdValue("Resident",_xlnm.Database,$F992),"")</f>
        <v/>
      </c>
      <c r="B992" s="16" t="str">
        <f>IF(PersonId&lt;&gt;"",_xll.mdValue("Resident First Name",_xlnm.Database,$A$8),"")</f>
        <v/>
      </c>
      <c r="C992" s="16" t="str">
        <f>IF(PersonId&lt;&gt;"",_xll.mdValue("Resident Last Name",_xlnm.Database,$A$8),"")</f>
        <v/>
      </c>
      <c r="D992" s="16" t="str">
        <f>IF(PersonId&lt;&gt;"",_xll.mdValue("Person Accomodation Code",_xlnm.Database,$A992),"")</f>
        <v/>
      </c>
      <c r="E992" s="28" t="str">
        <f t="shared" si="30"/>
        <v/>
      </c>
      <c r="F992" s="16" t="str">
        <f>IF('Paste Here'!$A986&lt;&gt;"",'Paste Here'!$A986,"")</f>
        <v/>
      </c>
      <c r="G992" s="16" t="str">
        <f>IF('Paste Here'!$B986&lt;&gt;"",'Paste Here'!$B986,"")</f>
        <v/>
      </c>
      <c r="H992" s="16" t="str">
        <f>IF('Paste Here'!$C986&lt;&gt;"",'Paste Here'!$C986,"")</f>
        <v/>
      </c>
      <c r="I992" s="25" t="str">
        <f>IF('Paste Here'!$D986&lt;&gt;"",'Paste Here'!$D986,"")</f>
        <v/>
      </c>
      <c r="J992" s="27" t="str">
        <f>IF('Paste Here'!$E986&lt;&gt;"",'Paste Here'!$E986,"")</f>
        <v/>
      </c>
      <c r="K992" s="16" t="str">
        <f>IF('Paste Here'!$F986&lt;&gt;"",'Paste Here'!$F986,"")</f>
        <v/>
      </c>
      <c r="L992" s="16" t="str">
        <f>IF('Paste Here'!$G986&lt;&gt;"",'Paste Here'!$G986,"")</f>
        <v/>
      </c>
      <c r="M992" s="18" t="str">
        <f t="shared" si="31"/>
        <v/>
      </c>
    </row>
    <row r="993" spans="1:13" s="17" customFormat="1" x14ac:dyDescent="0.25">
      <c r="A993" s="16" t="str">
        <f>IF(URN&lt;&gt;"",_xll.mdValue("Resident",_xlnm.Database,$F993),"")</f>
        <v/>
      </c>
      <c r="B993" s="16" t="str">
        <f>IF(PersonId&lt;&gt;"",_xll.mdValue("Resident First Name",_xlnm.Database,$A$8),"")</f>
        <v/>
      </c>
      <c r="C993" s="16" t="str">
        <f>IF(PersonId&lt;&gt;"",_xll.mdValue("Resident Last Name",_xlnm.Database,$A$8),"")</f>
        <v/>
      </c>
      <c r="D993" s="16" t="str">
        <f>IF(PersonId&lt;&gt;"",_xll.mdValue("Person Accomodation Code",_xlnm.Database,$A993),"")</f>
        <v/>
      </c>
      <c r="E993" s="28" t="str">
        <f t="shared" si="30"/>
        <v/>
      </c>
      <c r="F993" s="16" t="str">
        <f>IF('Paste Here'!$A987&lt;&gt;"",'Paste Here'!$A987,"")</f>
        <v/>
      </c>
      <c r="G993" s="16" t="str">
        <f>IF('Paste Here'!$B987&lt;&gt;"",'Paste Here'!$B987,"")</f>
        <v/>
      </c>
      <c r="H993" s="16" t="str">
        <f>IF('Paste Here'!$C987&lt;&gt;"",'Paste Here'!$C987,"")</f>
        <v/>
      </c>
      <c r="I993" s="25" t="str">
        <f>IF('Paste Here'!$D987&lt;&gt;"",'Paste Here'!$D987,"")</f>
        <v/>
      </c>
      <c r="J993" s="27" t="str">
        <f>IF('Paste Here'!$E987&lt;&gt;"",'Paste Here'!$E987,"")</f>
        <v/>
      </c>
      <c r="K993" s="16" t="str">
        <f>IF('Paste Here'!$F987&lt;&gt;"",'Paste Here'!$F987,"")</f>
        <v/>
      </c>
      <c r="L993" s="16" t="str">
        <f>IF('Paste Here'!$G987&lt;&gt;"",'Paste Here'!$G987,"")</f>
        <v/>
      </c>
      <c r="M993" s="18" t="str">
        <f t="shared" si="31"/>
        <v/>
      </c>
    </row>
    <row r="994" spans="1:13" s="17" customFormat="1" x14ac:dyDescent="0.25">
      <c r="A994" s="16" t="str">
        <f>IF(URN&lt;&gt;"",_xll.mdValue("Resident",_xlnm.Database,$F994),"")</f>
        <v/>
      </c>
      <c r="B994" s="16" t="str">
        <f>IF(PersonId&lt;&gt;"",_xll.mdValue("Resident First Name",_xlnm.Database,$A$8),"")</f>
        <v/>
      </c>
      <c r="C994" s="16" t="str">
        <f>IF(PersonId&lt;&gt;"",_xll.mdValue("Resident Last Name",_xlnm.Database,$A$8),"")</f>
        <v/>
      </c>
      <c r="D994" s="16" t="str">
        <f>IF(PersonId&lt;&gt;"",_xll.mdValue("Person Accomodation Code",_xlnm.Database,$A994),"")</f>
        <v/>
      </c>
      <c r="E994" s="28" t="str">
        <f t="shared" si="30"/>
        <v/>
      </c>
      <c r="F994" s="16" t="str">
        <f>IF('Paste Here'!$A988&lt;&gt;"",'Paste Here'!$A988,"")</f>
        <v/>
      </c>
      <c r="G994" s="16" t="str">
        <f>IF('Paste Here'!$B988&lt;&gt;"",'Paste Here'!$B988,"")</f>
        <v/>
      </c>
      <c r="H994" s="16" t="str">
        <f>IF('Paste Here'!$C988&lt;&gt;"",'Paste Here'!$C988,"")</f>
        <v/>
      </c>
      <c r="I994" s="25" t="str">
        <f>IF('Paste Here'!$D988&lt;&gt;"",'Paste Here'!$D988,"")</f>
        <v/>
      </c>
      <c r="J994" s="27" t="str">
        <f>IF('Paste Here'!$E988&lt;&gt;"",'Paste Here'!$E988,"")</f>
        <v/>
      </c>
      <c r="K994" s="16" t="str">
        <f>IF('Paste Here'!$F988&lt;&gt;"",'Paste Here'!$F988,"")</f>
        <v/>
      </c>
      <c r="L994" s="16" t="str">
        <f>IF('Paste Here'!$G988&lt;&gt;"",'Paste Here'!$G988,"")</f>
        <v/>
      </c>
      <c r="M994" s="18" t="str">
        <f t="shared" si="31"/>
        <v/>
      </c>
    </row>
    <row r="995" spans="1:13" s="17" customFormat="1" x14ac:dyDescent="0.25">
      <c r="A995" s="16" t="str">
        <f>IF(URN&lt;&gt;"",_xll.mdValue("Resident",_xlnm.Database,$F995),"")</f>
        <v/>
      </c>
      <c r="B995" s="16" t="str">
        <f>IF(PersonId&lt;&gt;"",_xll.mdValue("Resident First Name",_xlnm.Database,$A$8),"")</f>
        <v/>
      </c>
      <c r="C995" s="16" t="str">
        <f>IF(PersonId&lt;&gt;"",_xll.mdValue("Resident Last Name",_xlnm.Database,$A$8),"")</f>
        <v/>
      </c>
      <c r="D995" s="16" t="str">
        <f>IF(PersonId&lt;&gt;"",_xll.mdValue("Person Accomodation Code",_xlnm.Database,$A995),"")</f>
        <v/>
      </c>
      <c r="E995" s="28" t="str">
        <f t="shared" si="30"/>
        <v/>
      </c>
      <c r="F995" s="16" t="str">
        <f>IF('Paste Here'!$A989&lt;&gt;"",'Paste Here'!$A989,"")</f>
        <v/>
      </c>
      <c r="G995" s="16" t="str">
        <f>IF('Paste Here'!$B989&lt;&gt;"",'Paste Here'!$B989,"")</f>
        <v/>
      </c>
      <c r="H995" s="16" t="str">
        <f>IF('Paste Here'!$C989&lt;&gt;"",'Paste Here'!$C989,"")</f>
        <v/>
      </c>
      <c r="I995" s="25" t="str">
        <f>IF('Paste Here'!$D989&lt;&gt;"",'Paste Here'!$D989,"")</f>
        <v/>
      </c>
      <c r="J995" s="27" t="str">
        <f>IF('Paste Here'!$E989&lt;&gt;"",'Paste Here'!$E989,"")</f>
        <v/>
      </c>
      <c r="K995" s="16" t="str">
        <f>IF('Paste Here'!$F989&lt;&gt;"",'Paste Here'!$F989,"")</f>
        <v/>
      </c>
      <c r="L995" s="16" t="str">
        <f>IF('Paste Here'!$G989&lt;&gt;"",'Paste Here'!$G989,"")</f>
        <v/>
      </c>
      <c r="M995" s="18" t="str">
        <f t="shared" si="31"/>
        <v/>
      </c>
    </row>
    <row r="996" spans="1:13" s="17" customFormat="1" x14ac:dyDescent="0.25">
      <c r="A996" s="16" t="str">
        <f>IF(URN&lt;&gt;"",_xll.mdValue("Resident",_xlnm.Database,$F996),"")</f>
        <v/>
      </c>
      <c r="B996" s="16" t="str">
        <f>IF(PersonId&lt;&gt;"",_xll.mdValue("Resident First Name",_xlnm.Database,$A$8),"")</f>
        <v/>
      </c>
      <c r="C996" s="16" t="str">
        <f>IF(PersonId&lt;&gt;"",_xll.mdValue("Resident Last Name",_xlnm.Database,$A$8),"")</f>
        <v/>
      </c>
      <c r="D996" s="16" t="str">
        <f>IF(PersonId&lt;&gt;"",_xll.mdValue("Person Accomodation Code",_xlnm.Database,$A996),"")</f>
        <v/>
      </c>
      <c r="E996" s="28" t="str">
        <f t="shared" si="30"/>
        <v/>
      </c>
      <c r="F996" s="16" t="str">
        <f>IF('Paste Here'!$A990&lt;&gt;"",'Paste Here'!$A990,"")</f>
        <v/>
      </c>
      <c r="G996" s="16" t="str">
        <f>IF('Paste Here'!$B990&lt;&gt;"",'Paste Here'!$B990,"")</f>
        <v/>
      </c>
      <c r="H996" s="16" t="str">
        <f>IF('Paste Here'!$C990&lt;&gt;"",'Paste Here'!$C990,"")</f>
        <v/>
      </c>
      <c r="I996" s="25" t="str">
        <f>IF('Paste Here'!$D990&lt;&gt;"",'Paste Here'!$D990,"")</f>
        <v/>
      </c>
      <c r="J996" s="27" t="str">
        <f>IF('Paste Here'!$E990&lt;&gt;"",'Paste Here'!$E990,"")</f>
        <v/>
      </c>
      <c r="K996" s="16" t="str">
        <f>IF('Paste Here'!$F990&lt;&gt;"",'Paste Here'!$F990,"")</f>
        <v/>
      </c>
      <c r="L996" s="16" t="str">
        <f>IF('Paste Here'!$G990&lt;&gt;"",'Paste Here'!$G990,"")</f>
        <v/>
      </c>
      <c r="M996" s="18" t="str">
        <f t="shared" si="31"/>
        <v/>
      </c>
    </row>
    <row r="997" spans="1:13" s="17" customFormat="1" x14ac:dyDescent="0.25">
      <c r="A997" s="16" t="str">
        <f>IF(URN&lt;&gt;"",_xll.mdValue("Resident",_xlnm.Database,$F997),"")</f>
        <v/>
      </c>
      <c r="B997" s="16" t="str">
        <f>IF(PersonId&lt;&gt;"",_xll.mdValue("Resident First Name",_xlnm.Database,$A$8),"")</f>
        <v/>
      </c>
      <c r="C997" s="16" t="str">
        <f>IF(PersonId&lt;&gt;"",_xll.mdValue("Resident Last Name",_xlnm.Database,$A$8),"")</f>
        <v/>
      </c>
      <c r="D997" s="16" t="str">
        <f>IF(PersonId&lt;&gt;"",_xll.mdValue("Person Accomodation Code",_xlnm.Database,$A997),"")</f>
        <v/>
      </c>
      <c r="E997" s="28" t="str">
        <f t="shared" si="30"/>
        <v/>
      </c>
      <c r="F997" s="16" t="str">
        <f>IF('Paste Here'!$A991&lt;&gt;"",'Paste Here'!$A991,"")</f>
        <v/>
      </c>
      <c r="G997" s="16" t="str">
        <f>IF('Paste Here'!$B991&lt;&gt;"",'Paste Here'!$B991,"")</f>
        <v/>
      </c>
      <c r="H997" s="16" t="str">
        <f>IF('Paste Here'!$C991&lt;&gt;"",'Paste Here'!$C991,"")</f>
        <v/>
      </c>
      <c r="I997" s="25" t="str">
        <f>IF('Paste Here'!$D991&lt;&gt;"",'Paste Here'!$D991,"")</f>
        <v/>
      </c>
      <c r="J997" s="27" t="str">
        <f>IF('Paste Here'!$E991&lt;&gt;"",'Paste Here'!$E991,"")</f>
        <v/>
      </c>
      <c r="K997" s="16" t="str">
        <f>IF('Paste Here'!$F991&lt;&gt;"",'Paste Here'!$F991,"")</f>
        <v/>
      </c>
      <c r="L997" s="16" t="str">
        <f>IF('Paste Here'!$G991&lt;&gt;"",'Paste Here'!$G991,"")</f>
        <v/>
      </c>
      <c r="M997" s="18" t="str">
        <f t="shared" si="31"/>
        <v/>
      </c>
    </row>
    <row r="998" spans="1:13" s="17" customFormat="1" x14ac:dyDescent="0.25">
      <c r="A998" s="16" t="str">
        <f>IF(URN&lt;&gt;"",_xll.mdValue("Resident",_xlnm.Database,$F998),"")</f>
        <v/>
      </c>
      <c r="B998" s="16" t="str">
        <f>IF(PersonId&lt;&gt;"",_xll.mdValue("Resident First Name",_xlnm.Database,$A$8),"")</f>
        <v/>
      </c>
      <c r="C998" s="16" t="str">
        <f>IF(PersonId&lt;&gt;"",_xll.mdValue("Resident Last Name",_xlnm.Database,$A$8),"")</f>
        <v/>
      </c>
      <c r="D998" s="16" t="str">
        <f>IF(PersonId&lt;&gt;"",_xll.mdValue("Person Accomodation Code",_xlnm.Database,$A998),"")</f>
        <v/>
      </c>
      <c r="E998" s="28" t="str">
        <f t="shared" si="30"/>
        <v/>
      </c>
      <c r="F998" s="16" t="str">
        <f>IF('Paste Here'!$A992&lt;&gt;"",'Paste Here'!$A992,"")</f>
        <v/>
      </c>
      <c r="G998" s="16" t="str">
        <f>IF('Paste Here'!$B992&lt;&gt;"",'Paste Here'!$B992,"")</f>
        <v/>
      </c>
      <c r="H998" s="16" t="str">
        <f>IF('Paste Here'!$C992&lt;&gt;"",'Paste Here'!$C992,"")</f>
        <v/>
      </c>
      <c r="I998" s="25" t="str">
        <f>IF('Paste Here'!$D992&lt;&gt;"",'Paste Here'!$D992,"")</f>
        <v/>
      </c>
      <c r="J998" s="27" t="str">
        <f>IF('Paste Here'!$E992&lt;&gt;"",'Paste Here'!$E992,"")</f>
        <v/>
      </c>
      <c r="K998" s="16" t="str">
        <f>IF('Paste Here'!$F992&lt;&gt;"",'Paste Here'!$F992,"")</f>
        <v/>
      </c>
      <c r="L998" s="16" t="str">
        <f>IF('Paste Here'!$G992&lt;&gt;"",'Paste Here'!$G992,"")</f>
        <v/>
      </c>
      <c r="M998" s="18" t="str">
        <f t="shared" si="31"/>
        <v/>
      </c>
    </row>
    <row r="999" spans="1:13" s="17" customFormat="1" x14ac:dyDescent="0.25">
      <c r="A999" s="16" t="str">
        <f>IF(URN&lt;&gt;"",_xll.mdValue("Resident",_xlnm.Database,$F999),"")</f>
        <v/>
      </c>
      <c r="B999" s="16" t="str">
        <f>IF(PersonId&lt;&gt;"",_xll.mdValue("Resident First Name",_xlnm.Database,$A$8),"")</f>
        <v/>
      </c>
      <c r="C999" s="16" t="str">
        <f>IF(PersonId&lt;&gt;"",_xll.mdValue("Resident Last Name",_xlnm.Database,$A$8),"")</f>
        <v/>
      </c>
      <c r="D999" s="16" t="str">
        <f>IF(PersonId&lt;&gt;"",_xll.mdValue("Person Accomodation Code",_xlnm.Database,$A999),"")</f>
        <v/>
      </c>
      <c r="E999" s="28" t="str">
        <f t="shared" si="30"/>
        <v/>
      </c>
      <c r="F999" s="16" t="str">
        <f>IF('Paste Here'!$A993&lt;&gt;"",'Paste Here'!$A993,"")</f>
        <v/>
      </c>
      <c r="G999" s="16" t="str">
        <f>IF('Paste Here'!$B993&lt;&gt;"",'Paste Here'!$B993,"")</f>
        <v/>
      </c>
      <c r="H999" s="16" t="str">
        <f>IF('Paste Here'!$C993&lt;&gt;"",'Paste Here'!$C993,"")</f>
        <v/>
      </c>
      <c r="I999" s="25" t="str">
        <f>IF('Paste Here'!$D993&lt;&gt;"",'Paste Here'!$D993,"")</f>
        <v/>
      </c>
      <c r="J999" s="27" t="str">
        <f>IF('Paste Here'!$E993&lt;&gt;"",'Paste Here'!$E993,"")</f>
        <v/>
      </c>
      <c r="K999" s="16" t="str">
        <f>IF('Paste Here'!$F993&lt;&gt;"",'Paste Here'!$F993,"")</f>
        <v/>
      </c>
      <c r="L999" s="16" t="str">
        <f>IF('Paste Here'!$G993&lt;&gt;"",'Paste Here'!$G993,"")</f>
        <v/>
      </c>
      <c r="M999" s="18" t="str">
        <f t="shared" si="31"/>
        <v/>
      </c>
    </row>
    <row r="1000" spans="1:13" s="17" customFormat="1" x14ac:dyDescent="0.25">
      <c r="A1000" s="16" t="str">
        <f>IF(URN&lt;&gt;"",_xll.mdValue("Resident",_xlnm.Database,$F1000),"")</f>
        <v/>
      </c>
      <c r="B1000" s="16" t="str">
        <f>IF(PersonId&lt;&gt;"",_xll.mdValue("Resident First Name",_xlnm.Database,$A$8),"")</f>
        <v/>
      </c>
      <c r="C1000" s="16" t="str">
        <f>IF(PersonId&lt;&gt;"",_xll.mdValue("Resident Last Name",_xlnm.Database,$A$8),"")</f>
        <v/>
      </c>
      <c r="D1000" s="16" t="str">
        <f>IF(PersonId&lt;&gt;"",_xll.mdValue("Person Accomodation Code",_xlnm.Database,$A1000),"")</f>
        <v/>
      </c>
      <c r="E1000" s="28" t="str">
        <f t="shared" si="30"/>
        <v/>
      </c>
      <c r="F1000" s="16" t="str">
        <f>IF('Paste Here'!$A994&lt;&gt;"",'Paste Here'!$A994,"")</f>
        <v/>
      </c>
      <c r="G1000" s="16" t="str">
        <f>IF('Paste Here'!$B994&lt;&gt;"",'Paste Here'!$B994,"")</f>
        <v/>
      </c>
      <c r="H1000" s="16" t="str">
        <f>IF('Paste Here'!$C994&lt;&gt;"",'Paste Here'!$C994,"")</f>
        <v/>
      </c>
      <c r="I1000" s="25" t="str">
        <f>IF('Paste Here'!$D994&lt;&gt;"",'Paste Here'!$D994,"")</f>
        <v/>
      </c>
      <c r="J1000" s="27" t="str">
        <f>IF('Paste Here'!$E994&lt;&gt;"",'Paste Here'!$E994,"")</f>
        <v/>
      </c>
      <c r="K1000" s="16" t="str">
        <f>IF('Paste Here'!$F994&lt;&gt;"",'Paste Here'!$F994,"")</f>
        <v/>
      </c>
      <c r="L1000" s="16" t="str">
        <f>IF('Paste Here'!$G994&lt;&gt;"",'Paste Here'!$G994,"")</f>
        <v/>
      </c>
      <c r="M1000" s="18" t="str">
        <f t="shared" si="31"/>
        <v/>
      </c>
    </row>
    <row r="1001" spans="1:13" s="17" customFormat="1" x14ac:dyDescent="0.25">
      <c r="A1001" s="16" t="str">
        <f>IF(URN&lt;&gt;"",_xll.mdValue("Resident",_xlnm.Database,$F1001),"")</f>
        <v/>
      </c>
      <c r="B1001" s="16" t="str">
        <f>IF(PersonId&lt;&gt;"",_xll.mdValue("Resident First Name",_xlnm.Database,$A$8),"")</f>
        <v/>
      </c>
      <c r="C1001" s="16" t="str">
        <f>IF(PersonId&lt;&gt;"",_xll.mdValue("Resident Last Name",_xlnm.Database,$A$8),"")</f>
        <v/>
      </c>
      <c r="D1001" s="16" t="str">
        <f>IF(PersonId&lt;&gt;"",_xll.mdValue("Person Accomodation Code",_xlnm.Database,$A1001),"")</f>
        <v/>
      </c>
      <c r="E1001" s="28" t="str">
        <f t="shared" si="30"/>
        <v/>
      </c>
      <c r="F1001" s="16" t="str">
        <f>IF('Paste Here'!$A995&lt;&gt;"",'Paste Here'!$A995,"")</f>
        <v/>
      </c>
      <c r="G1001" s="16" t="str">
        <f>IF('Paste Here'!$B995&lt;&gt;"",'Paste Here'!$B995,"")</f>
        <v/>
      </c>
      <c r="H1001" s="16" t="str">
        <f>IF('Paste Here'!$C995&lt;&gt;"",'Paste Here'!$C995,"")</f>
        <v/>
      </c>
      <c r="I1001" s="25" t="str">
        <f>IF('Paste Here'!$D995&lt;&gt;"",'Paste Here'!$D995,"")</f>
        <v/>
      </c>
      <c r="J1001" s="27" t="str">
        <f>IF('Paste Here'!$E995&lt;&gt;"",'Paste Here'!$E995,"")</f>
        <v/>
      </c>
      <c r="K1001" s="16" t="str">
        <f>IF('Paste Here'!$F995&lt;&gt;"",'Paste Here'!$F995,"")</f>
        <v/>
      </c>
      <c r="L1001" s="16" t="str">
        <f>IF('Paste Here'!$G995&lt;&gt;"",'Paste Here'!$G995,"")</f>
        <v/>
      </c>
      <c r="M1001" s="18" t="str">
        <f t="shared" si="31"/>
        <v/>
      </c>
    </row>
    <row r="1002" spans="1:13" s="17" customFormat="1" x14ac:dyDescent="0.25">
      <c r="A1002" s="16" t="str">
        <f>IF(URN&lt;&gt;"",_xll.mdValue("Resident",_xlnm.Database,$F1002),"")</f>
        <v/>
      </c>
      <c r="B1002" s="16" t="str">
        <f>IF(PersonId&lt;&gt;"",_xll.mdValue("Resident First Name",_xlnm.Database,$A$8),"")</f>
        <v/>
      </c>
      <c r="C1002" s="16" t="str">
        <f>IF(PersonId&lt;&gt;"",_xll.mdValue("Resident Last Name",_xlnm.Database,$A$8),"")</f>
        <v/>
      </c>
      <c r="D1002" s="16" t="str">
        <f>IF(PersonId&lt;&gt;"",_xll.mdValue("Person Accomodation Code",_xlnm.Database,$A1002),"")</f>
        <v/>
      </c>
      <c r="E1002" s="28" t="str">
        <f t="shared" si="30"/>
        <v/>
      </c>
      <c r="F1002" s="16" t="str">
        <f>IF('Paste Here'!$A996&lt;&gt;"",'Paste Here'!$A996,"")</f>
        <v/>
      </c>
      <c r="G1002" s="16" t="str">
        <f>IF('Paste Here'!$B996&lt;&gt;"",'Paste Here'!$B996,"")</f>
        <v/>
      </c>
      <c r="H1002" s="16" t="str">
        <f>IF('Paste Here'!$C996&lt;&gt;"",'Paste Here'!$C996,"")</f>
        <v/>
      </c>
      <c r="I1002" s="25" t="str">
        <f>IF('Paste Here'!$D996&lt;&gt;"",'Paste Here'!$D996,"")</f>
        <v/>
      </c>
      <c r="J1002" s="27" t="str">
        <f>IF('Paste Here'!$E996&lt;&gt;"",'Paste Here'!$E996,"")</f>
        <v/>
      </c>
      <c r="K1002" s="16" t="str">
        <f>IF('Paste Here'!$F996&lt;&gt;"",'Paste Here'!$F996,"")</f>
        <v/>
      </c>
      <c r="L1002" s="16" t="str">
        <f>IF('Paste Here'!$G996&lt;&gt;"",'Paste Here'!$G996,"")</f>
        <v/>
      </c>
      <c r="M1002" s="18" t="str">
        <f t="shared" si="31"/>
        <v/>
      </c>
    </row>
    <row r="1003" spans="1:13" s="17" customFormat="1" x14ac:dyDescent="0.25">
      <c r="A1003" s="16" t="str">
        <f>IF(URN&lt;&gt;"",_xll.mdValue("Resident",_xlnm.Database,$F1003),"")</f>
        <v/>
      </c>
      <c r="B1003" s="16" t="str">
        <f>IF(PersonId&lt;&gt;"",_xll.mdValue("Resident First Name",_xlnm.Database,$A$8),"")</f>
        <v/>
      </c>
      <c r="C1003" s="16" t="str">
        <f>IF(PersonId&lt;&gt;"",_xll.mdValue("Resident Last Name",_xlnm.Database,$A$8),"")</f>
        <v/>
      </c>
      <c r="D1003" s="16" t="str">
        <f>IF(PersonId&lt;&gt;"",_xll.mdValue("Person Accomodation Code",_xlnm.Database,$A1003),"")</f>
        <v/>
      </c>
      <c r="E1003" s="28" t="str">
        <f t="shared" si="30"/>
        <v/>
      </c>
      <c r="F1003" s="16" t="str">
        <f>IF('Paste Here'!$A997&lt;&gt;"",'Paste Here'!$A997,"")</f>
        <v/>
      </c>
      <c r="G1003" s="16" t="str">
        <f>IF('Paste Here'!$B997&lt;&gt;"",'Paste Here'!$B997,"")</f>
        <v/>
      </c>
      <c r="H1003" s="16" t="str">
        <f>IF('Paste Here'!$C997&lt;&gt;"",'Paste Here'!$C997,"")</f>
        <v/>
      </c>
      <c r="I1003" s="25" t="str">
        <f>IF('Paste Here'!$D997&lt;&gt;"",'Paste Here'!$D997,"")</f>
        <v/>
      </c>
      <c r="J1003" s="27" t="str">
        <f>IF('Paste Here'!$E997&lt;&gt;"",'Paste Here'!$E997,"")</f>
        <v/>
      </c>
      <c r="K1003" s="16" t="str">
        <f>IF('Paste Here'!$F997&lt;&gt;"",'Paste Here'!$F997,"")</f>
        <v/>
      </c>
      <c r="L1003" s="16" t="str">
        <f>IF('Paste Here'!$G997&lt;&gt;"",'Paste Here'!$G997,"")</f>
        <v/>
      </c>
      <c r="M1003" s="18" t="str">
        <f t="shared" si="31"/>
        <v/>
      </c>
    </row>
    <row r="1004" spans="1:13" s="17" customFormat="1" x14ac:dyDescent="0.25">
      <c r="A1004" s="16" t="str">
        <f>IF(URN&lt;&gt;"",_xll.mdValue("Resident",_xlnm.Database,$F1004),"")</f>
        <v/>
      </c>
      <c r="B1004" s="16" t="str">
        <f>IF(PersonId&lt;&gt;"",_xll.mdValue("Resident First Name",_xlnm.Database,$A$8),"")</f>
        <v/>
      </c>
      <c r="C1004" s="16" t="str">
        <f>IF(PersonId&lt;&gt;"",_xll.mdValue("Resident Last Name",_xlnm.Database,$A$8),"")</f>
        <v/>
      </c>
      <c r="D1004" s="16" t="str">
        <f>IF(PersonId&lt;&gt;"",_xll.mdValue("Person Accomodation Code",_xlnm.Database,$A1004),"")</f>
        <v/>
      </c>
      <c r="E1004" s="28" t="str">
        <f t="shared" si="30"/>
        <v/>
      </c>
      <c r="F1004" s="16" t="str">
        <f>IF('Paste Here'!$A998&lt;&gt;"",'Paste Here'!$A998,"")</f>
        <v/>
      </c>
      <c r="G1004" s="16" t="str">
        <f>IF('Paste Here'!$B998&lt;&gt;"",'Paste Here'!$B998,"")</f>
        <v/>
      </c>
      <c r="H1004" s="16" t="str">
        <f>IF('Paste Here'!$C998&lt;&gt;"",'Paste Here'!$C998,"")</f>
        <v/>
      </c>
      <c r="I1004" s="25" t="str">
        <f>IF('Paste Here'!$D998&lt;&gt;"",'Paste Here'!$D998,"")</f>
        <v/>
      </c>
      <c r="J1004" s="27" t="str">
        <f>IF('Paste Here'!$E998&lt;&gt;"",'Paste Here'!$E998,"")</f>
        <v/>
      </c>
      <c r="K1004" s="16" t="str">
        <f>IF('Paste Here'!$F998&lt;&gt;"",'Paste Here'!$F998,"")</f>
        <v/>
      </c>
      <c r="L1004" s="16" t="str">
        <f>IF('Paste Here'!$G998&lt;&gt;"",'Paste Here'!$G998,"")</f>
        <v/>
      </c>
      <c r="M1004" s="18" t="str">
        <f t="shared" si="31"/>
        <v/>
      </c>
    </row>
    <row r="1005" spans="1:13" s="17" customFormat="1" x14ac:dyDescent="0.25">
      <c r="A1005" s="16" t="str">
        <f>IF(URN&lt;&gt;"",_xll.mdValue("Resident",_xlnm.Database,$F1005),"")</f>
        <v/>
      </c>
      <c r="B1005" s="16" t="str">
        <f>IF(PersonId&lt;&gt;"",_xll.mdValue("Resident First Name",_xlnm.Database,$A$8),"")</f>
        <v/>
      </c>
      <c r="C1005" s="16" t="str">
        <f>IF(PersonId&lt;&gt;"",_xll.mdValue("Resident Last Name",_xlnm.Database,$A$8),"")</f>
        <v/>
      </c>
      <c r="D1005" s="16" t="str">
        <f>IF(PersonId&lt;&gt;"",_xll.mdValue("Person Accomodation Code",_xlnm.Database,$A1005),"")</f>
        <v/>
      </c>
      <c r="E1005" s="28" t="str">
        <f t="shared" si="30"/>
        <v/>
      </c>
      <c r="F1005" s="16" t="str">
        <f>IF('Paste Here'!$A999&lt;&gt;"",'Paste Here'!$A999,"")</f>
        <v/>
      </c>
      <c r="G1005" s="16" t="str">
        <f>IF('Paste Here'!$B999&lt;&gt;"",'Paste Here'!$B999,"")</f>
        <v/>
      </c>
      <c r="H1005" s="16" t="str">
        <f>IF('Paste Here'!$C999&lt;&gt;"",'Paste Here'!$C999,"")</f>
        <v/>
      </c>
      <c r="I1005" s="25" t="str">
        <f>IF('Paste Here'!$D999&lt;&gt;"",'Paste Here'!$D999,"")</f>
        <v/>
      </c>
      <c r="J1005" s="27" t="str">
        <f>IF('Paste Here'!$E999&lt;&gt;"",'Paste Here'!$E999,"")</f>
        <v/>
      </c>
      <c r="K1005" s="16" t="str">
        <f>IF('Paste Here'!$F999&lt;&gt;"",'Paste Here'!$F999,"")</f>
        <v/>
      </c>
      <c r="L1005" s="16" t="str">
        <f>IF('Paste Here'!$G999&lt;&gt;"",'Paste Here'!$G999,"")</f>
        <v/>
      </c>
      <c r="M1005" s="18" t="str">
        <f t="shared" si="31"/>
        <v/>
      </c>
    </row>
    <row r="1006" spans="1:13" s="17" customFormat="1" x14ac:dyDescent="0.25">
      <c r="A1006" s="16" t="str">
        <f>IF(URN&lt;&gt;"",_xll.mdValue("Resident",_xlnm.Database,$F1006),"")</f>
        <v/>
      </c>
      <c r="B1006" s="16" t="str">
        <f>IF(PersonId&lt;&gt;"",_xll.mdValue("Resident First Name",_xlnm.Database,$A$8),"")</f>
        <v/>
      </c>
      <c r="C1006" s="16" t="str">
        <f>IF(PersonId&lt;&gt;"",_xll.mdValue("Resident Last Name",_xlnm.Database,$A$8),"")</f>
        <v/>
      </c>
      <c r="D1006" s="16" t="str">
        <f>IF(PersonId&lt;&gt;"",_xll.mdValue("Person Accomodation Code",_xlnm.Database,$A1006),"")</f>
        <v/>
      </c>
      <c r="E1006" s="28" t="str">
        <f t="shared" si="30"/>
        <v/>
      </c>
      <c r="F1006" s="16" t="str">
        <f>IF('Paste Here'!$A1000&lt;&gt;"",'Paste Here'!$A1000,"")</f>
        <v/>
      </c>
      <c r="G1006" s="16" t="str">
        <f>IF('Paste Here'!$B1000&lt;&gt;"",'Paste Here'!$B1000,"")</f>
        <v/>
      </c>
      <c r="H1006" s="16" t="str">
        <f>IF('Paste Here'!$C1000&lt;&gt;"",'Paste Here'!$C1000,"")</f>
        <v/>
      </c>
      <c r="I1006" s="25" t="str">
        <f>IF('Paste Here'!$D1000&lt;&gt;"",'Paste Here'!$D1000,"")</f>
        <v/>
      </c>
      <c r="J1006" s="27" t="str">
        <f>IF('Paste Here'!$E1000&lt;&gt;"",'Paste Here'!$E1000,"")</f>
        <v/>
      </c>
      <c r="K1006" s="16" t="str">
        <f>IF('Paste Here'!$F1000&lt;&gt;"",'Paste Here'!$F1000,"")</f>
        <v/>
      </c>
      <c r="L1006" s="16" t="str">
        <f>IF('Paste Here'!$G1000&lt;&gt;"",'Paste Here'!$G1000,"")</f>
        <v/>
      </c>
      <c r="M1006" s="18" t="str">
        <f t="shared" si="31"/>
        <v/>
      </c>
    </row>
    <row r="1007" spans="1:13" s="17" customFormat="1" x14ac:dyDescent="0.25">
      <c r="A1007" s="16" t="str">
        <f>IF(URN&lt;&gt;"",_xll.mdValue("Resident",_xlnm.Database,$F1007),"")</f>
        <v/>
      </c>
      <c r="B1007" s="16" t="str">
        <f>IF(PersonId&lt;&gt;"",_xll.mdValue("Resident First Name",_xlnm.Database,$A$8),"")</f>
        <v/>
      </c>
      <c r="C1007" s="16" t="str">
        <f>IF(PersonId&lt;&gt;"",_xll.mdValue("Resident Last Name",_xlnm.Database,$A$8),"")</f>
        <v/>
      </c>
      <c r="D1007" s="16" t="str">
        <f>IF(PersonId&lt;&gt;"",_xll.mdValue("Person Accomodation Code",_xlnm.Database,$A1007),"")</f>
        <v/>
      </c>
      <c r="E1007" s="28" t="str">
        <f t="shared" si="30"/>
        <v/>
      </c>
      <c r="F1007" s="16" t="str">
        <f>IF('Paste Here'!$A1001&lt;&gt;"",'Paste Here'!$A1001,"")</f>
        <v/>
      </c>
      <c r="G1007" s="16" t="str">
        <f>IF('Paste Here'!$B1001&lt;&gt;"",'Paste Here'!$B1001,"")</f>
        <v/>
      </c>
      <c r="H1007" s="16" t="str">
        <f>IF('Paste Here'!$C1001&lt;&gt;"",'Paste Here'!$C1001,"")</f>
        <v/>
      </c>
      <c r="I1007" s="25" t="str">
        <f>IF('Paste Here'!$D1001&lt;&gt;"",'Paste Here'!$D1001,"")</f>
        <v/>
      </c>
      <c r="J1007" s="27" t="str">
        <f>IF('Paste Here'!$E1001&lt;&gt;"",'Paste Here'!$E1001,"")</f>
        <v/>
      </c>
      <c r="K1007" s="16" t="str">
        <f>IF('Paste Here'!$F1001&lt;&gt;"",'Paste Here'!$F1001,"")</f>
        <v/>
      </c>
      <c r="L1007" s="16" t="str">
        <f>IF('Paste Here'!$G1001&lt;&gt;"",'Paste Here'!$G1001,"")</f>
        <v/>
      </c>
      <c r="M1007" s="18" t="str">
        <f t="shared" si="31"/>
        <v/>
      </c>
    </row>
    <row r="1008" spans="1:13" s="17" customFormat="1" x14ac:dyDescent="0.25">
      <c r="A1008" s="16" t="str">
        <f>IF(URN&lt;&gt;"",_xll.mdValue("Resident",_xlnm.Database,$F1008),"")</f>
        <v/>
      </c>
      <c r="B1008" s="16" t="str">
        <f>IF(PersonId&lt;&gt;"",_xll.mdValue("Resident First Name",_xlnm.Database,$A$8),"")</f>
        <v/>
      </c>
      <c r="C1008" s="16" t="str">
        <f>IF(PersonId&lt;&gt;"",_xll.mdValue("Resident Last Name",_xlnm.Database,$A$8),"")</f>
        <v/>
      </c>
      <c r="D1008" s="16" t="str">
        <f>IF(PersonId&lt;&gt;"",_xll.mdValue("Person Accomodation Code",_xlnm.Database,$A1008),"")</f>
        <v/>
      </c>
      <c r="E1008" s="28" t="str">
        <f t="shared" si="30"/>
        <v/>
      </c>
      <c r="F1008" s="16" t="str">
        <f>IF('Paste Here'!$A1002&lt;&gt;"",'Paste Here'!$A1002,"")</f>
        <v/>
      </c>
      <c r="G1008" s="16" t="str">
        <f>IF('Paste Here'!$B1002&lt;&gt;"",'Paste Here'!$B1002,"")</f>
        <v/>
      </c>
      <c r="H1008" s="16" t="str">
        <f>IF('Paste Here'!$C1002&lt;&gt;"",'Paste Here'!$C1002,"")</f>
        <v/>
      </c>
      <c r="I1008" s="25" t="str">
        <f>IF('Paste Here'!$D1002&lt;&gt;"",'Paste Here'!$D1002,"")</f>
        <v/>
      </c>
      <c r="J1008" s="27" t="str">
        <f>IF('Paste Here'!$E1002&lt;&gt;"",'Paste Here'!$E1002,"")</f>
        <v/>
      </c>
      <c r="K1008" s="16" t="str">
        <f>IF('Paste Here'!$F1002&lt;&gt;"",'Paste Here'!$F1002,"")</f>
        <v/>
      </c>
      <c r="L1008" s="16" t="str">
        <f>IF('Paste Here'!$G1002&lt;&gt;"",'Paste Here'!$G1002,"")</f>
        <v/>
      </c>
      <c r="M1008" s="18" t="str">
        <f t="shared" si="31"/>
        <v/>
      </c>
    </row>
    <row r="1009" spans="1:14" s="17" customFormat="1" x14ac:dyDescent="0.25">
      <c r="A1009" s="16" t="str">
        <f>IF(URN&lt;&gt;"",_xll.mdValue("Resident",_xlnm.Database,$F1009),"")</f>
        <v/>
      </c>
      <c r="B1009" s="16" t="str">
        <f>IF(PersonId&lt;&gt;"",_xll.mdValue("Resident First Name",_xlnm.Database,$A$8),"")</f>
        <v/>
      </c>
      <c r="C1009" s="16" t="str">
        <f>IF(PersonId&lt;&gt;"",_xll.mdValue("Resident Last Name",_xlnm.Database,$A$8),"")</f>
        <v/>
      </c>
      <c r="D1009" s="16" t="str">
        <f>IF(PersonId&lt;&gt;"",_xll.mdValue("Person Accomodation Code",_xlnm.Database,$A1009),"")</f>
        <v/>
      </c>
      <c r="E1009" s="28" t="str">
        <f t="shared" si="30"/>
        <v/>
      </c>
      <c r="F1009" s="16" t="str">
        <f>IF('Paste Here'!$A1003&lt;&gt;"",'Paste Here'!$A1003,"")</f>
        <v/>
      </c>
      <c r="G1009" s="16" t="str">
        <f>IF('Paste Here'!$B1003&lt;&gt;"",'Paste Here'!$B1003,"")</f>
        <v/>
      </c>
      <c r="H1009" s="16" t="str">
        <f>IF('Paste Here'!$C1003&lt;&gt;"",'Paste Here'!$C1003,"")</f>
        <v/>
      </c>
      <c r="I1009" s="25" t="str">
        <f>IF('Paste Here'!$D1003&lt;&gt;"",'Paste Here'!$D1003,"")</f>
        <v/>
      </c>
      <c r="J1009" s="27" t="str">
        <f>IF('Paste Here'!$E1003&lt;&gt;"",'Paste Here'!$E1003,"")</f>
        <v/>
      </c>
      <c r="K1009" s="16" t="str">
        <f>IF('Paste Here'!$F1003&lt;&gt;"",'Paste Here'!$F1003,"")</f>
        <v/>
      </c>
      <c r="L1009" s="16" t="str">
        <f>IF('Paste Here'!$G1003&lt;&gt;"",'Paste Here'!$G1003,"")</f>
        <v/>
      </c>
      <c r="M1009" s="23" t="str">
        <f t="shared" si="31"/>
        <v/>
      </c>
    </row>
    <row r="1010" spans="1:14" x14ac:dyDescent="0.2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</row>
  </sheetData>
  <autoFilter ref="A7:L1009"/>
  <mergeCells count="7">
    <mergeCell ref="A6:D6"/>
    <mergeCell ref="F6:L6"/>
    <mergeCell ref="J4:L4"/>
    <mergeCell ref="J3:L3"/>
    <mergeCell ref="J2:L2"/>
    <mergeCell ref="C3:D3"/>
    <mergeCell ref="C4:D4"/>
  </mergeCells>
  <dataValidations disablePrompts="1" count="1">
    <dataValidation type="list" allowBlank="1" showInputMessage="1" showErrorMessage="1" sqref="M8:M1009">
      <formula1>"Normal, Change, Deposit Debtor, Deposit Liability"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WorkfileWB">
              <controlPr defaultSize="0" print="0" autoFill="0" autoPict="0" macro="_xll.mdWriteBack">
                <anchor moveWithCells="1" sizeWithCells="1">
                  <from>
                    <xdr:col>6</xdr:col>
                    <xdr:colOff>142875</xdr:colOff>
                    <xdr:row>1</xdr:row>
                    <xdr:rowOff>57150</xdr:rowOff>
                  </from>
                  <to>
                    <xdr:col>6</xdr:col>
                    <xdr:colOff>1514475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gs xmlns="1ad820cf-7762-4b72-8b6f-f606bd710bb6" xsi:nil="true"/>
    <TaxCatchAll xmlns="f66e04f9-cba3-4d73-b8ba-b0e24be2077b"/>
    <TaxKeywordTaxHTField xmlns="f66e04f9-cba3-4d73-b8ba-b0e24be2077b">
      <Terms xmlns="http://schemas.microsoft.com/office/infopath/2007/PartnerControls"/>
    </TaxKeywordTaxHTField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9679C62C856A4DB4E4163CAEA36912" ma:contentTypeVersion="8" ma:contentTypeDescription="Create a new document." ma:contentTypeScope="" ma:versionID="759933370315827e6e9b4a1e93ff2ecf">
  <xsd:schema xmlns:xsd="http://www.w3.org/2001/XMLSchema" xmlns:xs="http://www.w3.org/2001/XMLSchema" xmlns:p="http://schemas.microsoft.com/office/2006/metadata/properties" xmlns:ns2="1ad820cf-7762-4b72-8b6f-f606bd710bb6" xmlns:ns3="f66e04f9-cba3-4d73-b8ba-b0e24be2077b" targetNamespace="http://schemas.microsoft.com/office/2006/metadata/properties" ma:root="true" ma:fieldsID="063ee051b96d1acdcff9f89ecf3d8f3b" ns2:_="" ns3:_="">
    <xsd:import namespace="1ad820cf-7762-4b72-8b6f-f606bd710bb6"/>
    <xsd:import namespace="f66e04f9-cba3-4d73-b8ba-b0e24be2077b"/>
    <xsd:element name="properties">
      <xsd:complexType>
        <xsd:sequence>
          <xsd:element name="documentManagement">
            <xsd:complexType>
              <xsd:all>
                <xsd:element ref="ns2:Tags" minOccurs="0"/>
                <xsd:element ref="ns3:TaxKeywordTaxHTField" minOccurs="0"/>
                <xsd:element ref="ns3:TaxCatchAll" minOccurs="0"/>
                <xsd:element ref="ns3:SharedWithUsers" minOccurs="0"/>
                <xsd:element ref="ns3:SharingHintHash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d820cf-7762-4b72-8b6f-f606bd710bb6" elementFormDefault="qualified">
    <xsd:import namespace="http://schemas.microsoft.com/office/2006/documentManagement/types"/>
    <xsd:import namespace="http://schemas.microsoft.com/office/infopath/2007/PartnerControls"/>
    <xsd:element name="Tags" ma:index="8" nillable="true" ma:displayName="Tags" ma:internalName="Tags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6e04f9-cba3-4d73-b8ba-b0e24be2077b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0" nillable="true" ma:taxonomy="true" ma:internalName="TaxKeywordTaxHTField" ma:taxonomyFieldName="TaxKeyword" ma:displayName="Enterprise Keywords" ma:readOnly="false" ma:fieldId="{23f27201-bee3-471e-b2e7-b64fd8b7ca38}" ma:taxonomyMulti="true" ma:sspId="d13c93ab-84f0-4ec5-a0c0-7b1cf14f662f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1" nillable="true" ma:displayName="Taxonomy Catch All Column" ma:hidden="true" ma:list="{a5c46139-0502-4d61-b099-45503f8b3150}" ma:internalName="TaxCatchAll" ma:showField="CatchAllData" ma:web="f66e04f9-cba3-4d73-b8ba-b0e24be207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3" nillable="true" ma:displayName="Sharing Hint Hash" ma:internalName="SharingHintHash" ma:readOnly="true">
      <xsd:simpleType>
        <xsd:restriction base="dms:Text"/>
      </xsd:simple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1C00F48-115B-4DF9-974A-A15E1250F3BF}">
  <ds:schemaRefs>
    <ds:schemaRef ds:uri="1ad820cf-7762-4b72-8b6f-f606bd710bb6"/>
    <ds:schemaRef ds:uri="f66e04f9-cba3-4d73-b8ba-b0e24be2077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0E726F2D-1C83-40FF-ABBD-040ED833848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53504E-F1A3-454D-82F5-1E755D0F36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d820cf-7762-4b72-8b6f-f606bd710bb6"/>
    <ds:schemaRef ds:uri="f66e04f9-cba3-4d73-b8ba-b0e24be2077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Instructions</vt:lpstr>
      <vt:lpstr>Paste Here</vt:lpstr>
      <vt:lpstr>Writeback</vt:lpstr>
      <vt:lpstr>AccommodationCode</vt:lpstr>
      <vt:lpstr>AccountType</vt:lpstr>
      <vt:lpstr>Amount</vt:lpstr>
      <vt:lpstr>ClientCare_Accommodation</vt:lpstr>
      <vt:lpstr>Database</vt:lpstr>
      <vt:lpstr>EffectDate</vt:lpstr>
      <vt:lpstr>Notes</vt:lpstr>
      <vt:lpstr>PersonId</vt:lpstr>
      <vt:lpstr>Reference</vt:lpstr>
      <vt:lpstr>TransType</vt:lpstr>
      <vt:lpstr>URN</vt:lpstr>
      <vt:lpstr>WorkfileCode</vt:lpstr>
      <vt:lpstr>WorkfileDescription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Luke Goodfellow; Grace Amores (IT Dept)</dc:creator>
  <cp:lastModifiedBy>Juvy Marzan (IT ASA)</cp:lastModifiedBy>
  <dcterms:created xsi:type="dcterms:W3CDTF">2012-02-06T00:46:12Z</dcterms:created>
  <dcterms:modified xsi:type="dcterms:W3CDTF">2016-11-04T02:25:16Z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Keyword">
    <vt:lpwstr/>
  </property>
  <property fmtid="{D5CDD505-2E9C-101B-9397-08002B2CF9AE}" pid="3" name="ContentTypeId">
    <vt:lpwstr>0x010100FE9679C62C856A4DB4E4163CAEA36912</vt:lpwstr>
  </property>
  <property fmtid="{D5CDD505-2E9C-101B-9397-08002B2CF9AE}" pid="4" name="GUID">
    <vt:lpwstr>1c3c9c19-6046-4b0e-9d75-17b7b7e72e41</vt:lpwstr>
  </property>
</Properties>
</file>